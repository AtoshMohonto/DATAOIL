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6524C558-DE5A-4226-B169-0190DA895DD2}" xr6:coauthVersionLast="47" xr6:coauthVersionMax="47" xr10:uidLastSave="{00000000-0000-0000-0000-000000000000}"/>
  <bookViews>
    <workbookView xWindow="10245" yWindow="0" windowWidth="10245" windowHeight="10920" firstSheet="1" activeTab="1" xr2:uid="{00000000-000D-0000-FFFF-FFFF00000000}"/>
  </bookViews>
  <sheets>
    <sheet name="DSO" sheetId="1" r:id="rId1"/>
    <sheet name="Summary" sheetId="3" r:id="rId2"/>
    <sheet name="DSS Summary" sheetId="4" r:id="rId3"/>
    <sheet name="RAW_File" sheetId="2" r:id="rId4"/>
  </sheets>
  <definedNames>
    <definedName name="_xlnm._FilterDatabase" localSheetId="0" hidden="1">DSO!$A$2:$I$1772</definedName>
    <definedName name="_xlnm._FilterDatabase" localSheetId="3" hidden="1">RAW_File!$A$1:$N$1612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4" l="1"/>
  <c r="N2" i="2"/>
  <c r="O2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842" i="2"/>
  <c r="O842" i="2"/>
  <c r="N843" i="2"/>
  <c r="O843" i="2"/>
  <c r="N844" i="2"/>
  <c r="O844" i="2"/>
  <c r="N845" i="2"/>
  <c r="O845" i="2"/>
  <c r="N846" i="2"/>
  <c r="O846" i="2"/>
  <c r="N847" i="2"/>
  <c r="O847" i="2"/>
  <c r="N848" i="2"/>
  <c r="O848" i="2"/>
  <c r="N849" i="2"/>
  <c r="O849" i="2"/>
  <c r="N850" i="2"/>
  <c r="O850" i="2"/>
  <c r="N851" i="2"/>
  <c r="O851" i="2"/>
  <c r="N852" i="2"/>
  <c r="O852" i="2"/>
  <c r="N853" i="2"/>
  <c r="O853" i="2"/>
  <c r="N854" i="2"/>
  <c r="O854" i="2"/>
  <c r="N855" i="2"/>
  <c r="O855" i="2"/>
  <c r="N856" i="2"/>
  <c r="O856" i="2"/>
  <c r="N857" i="2"/>
  <c r="O857" i="2"/>
  <c r="N858" i="2"/>
  <c r="O858" i="2"/>
  <c r="N859" i="2"/>
  <c r="O859" i="2"/>
  <c r="N860" i="2"/>
  <c r="O860" i="2"/>
  <c r="N861" i="2"/>
  <c r="O861" i="2"/>
  <c r="N862" i="2"/>
  <c r="O862" i="2"/>
  <c r="N863" i="2"/>
  <c r="O863" i="2"/>
  <c r="N864" i="2"/>
  <c r="O864" i="2"/>
  <c r="N865" i="2"/>
  <c r="O865" i="2"/>
  <c r="N866" i="2"/>
  <c r="O866" i="2"/>
  <c r="N867" i="2"/>
  <c r="O867" i="2"/>
  <c r="N868" i="2"/>
  <c r="O868" i="2"/>
  <c r="N869" i="2"/>
  <c r="O869" i="2"/>
  <c r="N870" i="2"/>
  <c r="O870" i="2"/>
  <c r="N871" i="2"/>
  <c r="O871" i="2"/>
  <c r="N872" i="2"/>
  <c r="O872" i="2"/>
  <c r="N873" i="2"/>
  <c r="O873" i="2"/>
  <c r="N874" i="2"/>
  <c r="O874" i="2"/>
  <c r="N875" i="2"/>
  <c r="O875" i="2"/>
  <c r="N876" i="2"/>
  <c r="O876" i="2"/>
  <c r="N877" i="2"/>
  <c r="O877" i="2"/>
  <c r="N878" i="2"/>
  <c r="O878" i="2"/>
  <c r="N879" i="2"/>
  <c r="O879" i="2"/>
  <c r="N880" i="2"/>
  <c r="O880" i="2"/>
  <c r="N881" i="2"/>
  <c r="O881" i="2"/>
  <c r="N882" i="2"/>
  <c r="O882" i="2"/>
  <c r="N883" i="2"/>
  <c r="O883" i="2"/>
  <c r="N884" i="2"/>
  <c r="O884" i="2"/>
  <c r="N885" i="2"/>
  <c r="O885" i="2"/>
  <c r="N886" i="2"/>
  <c r="O886" i="2"/>
  <c r="N887" i="2"/>
  <c r="O887" i="2"/>
  <c r="N888" i="2"/>
  <c r="O888" i="2"/>
  <c r="N889" i="2"/>
  <c r="O889" i="2"/>
  <c r="N890" i="2"/>
  <c r="O890" i="2"/>
  <c r="N891" i="2"/>
  <c r="O891" i="2"/>
  <c r="N892" i="2"/>
  <c r="O892" i="2"/>
  <c r="N893" i="2"/>
  <c r="O893" i="2"/>
  <c r="N894" i="2"/>
  <c r="O894" i="2"/>
  <c r="N895" i="2"/>
  <c r="O895" i="2"/>
  <c r="N896" i="2"/>
  <c r="O896" i="2"/>
  <c r="N897" i="2"/>
  <c r="O897" i="2"/>
  <c r="N898" i="2"/>
  <c r="O898" i="2"/>
  <c r="N899" i="2"/>
  <c r="O899" i="2"/>
  <c r="N900" i="2"/>
  <c r="O900" i="2"/>
  <c r="N901" i="2"/>
  <c r="O901" i="2"/>
  <c r="N902" i="2"/>
  <c r="O902" i="2"/>
  <c r="N903" i="2"/>
  <c r="O903" i="2"/>
  <c r="N904" i="2"/>
  <c r="O904" i="2"/>
  <c r="N905" i="2"/>
  <c r="O905" i="2"/>
  <c r="N906" i="2"/>
  <c r="O906" i="2"/>
  <c r="N907" i="2"/>
  <c r="O907" i="2"/>
  <c r="N908" i="2"/>
  <c r="O908" i="2"/>
  <c r="N909" i="2"/>
  <c r="O909" i="2"/>
  <c r="N910" i="2"/>
  <c r="O910" i="2"/>
  <c r="N911" i="2"/>
  <c r="O911" i="2"/>
  <c r="N912" i="2"/>
  <c r="O912" i="2"/>
  <c r="N913" i="2"/>
  <c r="O913" i="2"/>
  <c r="N914" i="2"/>
  <c r="O914" i="2"/>
  <c r="N915" i="2"/>
  <c r="O915" i="2"/>
  <c r="N916" i="2"/>
  <c r="O916" i="2"/>
  <c r="N917" i="2"/>
  <c r="O917" i="2"/>
  <c r="N918" i="2"/>
  <c r="O918" i="2"/>
  <c r="N919" i="2"/>
  <c r="O919" i="2"/>
  <c r="N920" i="2"/>
  <c r="O920" i="2"/>
  <c r="N921" i="2"/>
  <c r="O921" i="2"/>
  <c r="N922" i="2"/>
  <c r="O922" i="2"/>
  <c r="N923" i="2"/>
  <c r="O923" i="2"/>
  <c r="N924" i="2"/>
  <c r="O924" i="2"/>
  <c r="N925" i="2"/>
  <c r="O925" i="2"/>
  <c r="N926" i="2"/>
  <c r="O926" i="2"/>
  <c r="N927" i="2"/>
  <c r="O927" i="2"/>
  <c r="N928" i="2"/>
  <c r="O928" i="2"/>
  <c r="N929" i="2"/>
  <c r="O929" i="2"/>
  <c r="N930" i="2"/>
  <c r="O930" i="2"/>
  <c r="N931" i="2"/>
  <c r="O931" i="2"/>
  <c r="N932" i="2"/>
  <c r="O932" i="2"/>
  <c r="N933" i="2"/>
  <c r="O933" i="2"/>
  <c r="N934" i="2"/>
  <c r="O934" i="2"/>
  <c r="N935" i="2"/>
  <c r="O935" i="2"/>
  <c r="N936" i="2"/>
  <c r="O936" i="2"/>
  <c r="N937" i="2"/>
  <c r="O937" i="2"/>
  <c r="N938" i="2"/>
  <c r="O938" i="2"/>
  <c r="N939" i="2"/>
  <c r="O939" i="2"/>
  <c r="N940" i="2"/>
  <c r="O940" i="2"/>
  <c r="N941" i="2"/>
  <c r="O941" i="2"/>
  <c r="N942" i="2"/>
  <c r="O942" i="2"/>
  <c r="N943" i="2"/>
  <c r="O943" i="2"/>
  <c r="N944" i="2"/>
  <c r="O944" i="2"/>
  <c r="N945" i="2"/>
  <c r="O945" i="2"/>
  <c r="N946" i="2"/>
  <c r="O946" i="2"/>
  <c r="N947" i="2"/>
  <c r="O947" i="2"/>
  <c r="N948" i="2"/>
  <c r="O948" i="2"/>
  <c r="N949" i="2"/>
  <c r="O949" i="2"/>
  <c r="N950" i="2"/>
  <c r="O950" i="2"/>
  <c r="N951" i="2"/>
  <c r="O951" i="2"/>
  <c r="N952" i="2"/>
  <c r="O952" i="2"/>
  <c r="N953" i="2"/>
  <c r="O953" i="2"/>
  <c r="N954" i="2"/>
  <c r="O954" i="2"/>
  <c r="N955" i="2"/>
  <c r="O955" i="2"/>
  <c r="N956" i="2"/>
  <c r="O956" i="2"/>
  <c r="N957" i="2"/>
  <c r="O957" i="2"/>
  <c r="N958" i="2"/>
  <c r="O958" i="2"/>
  <c r="N959" i="2"/>
  <c r="O959" i="2"/>
  <c r="N960" i="2"/>
  <c r="O960" i="2"/>
  <c r="N961" i="2"/>
  <c r="O961" i="2"/>
  <c r="N962" i="2"/>
  <c r="O962" i="2"/>
  <c r="N963" i="2"/>
  <c r="O963" i="2"/>
  <c r="N964" i="2"/>
  <c r="O964" i="2"/>
  <c r="N965" i="2"/>
  <c r="O965" i="2"/>
  <c r="N966" i="2"/>
  <c r="O966" i="2"/>
  <c r="N967" i="2"/>
  <c r="O967" i="2"/>
  <c r="N968" i="2"/>
  <c r="O968" i="2"/>
  <c r="N969" i="2"/>
  <c r="O969" i="2"/>
  <c r="N970" i="2"/>
  <c r="O970" i="2"/>
  <c r="N971" i="2"/>
  <c r="O971" i="2"/>
  <c r="N972" i="2"/>
  <c r="O972" i="2"/>
  <c r="N973" i="2"/>
  <c r="O973" i="2"/>
  <c r="N974" i="2"/>
  <c r="O974" i="2"/>
  <c r="N975" i="2"/>
  <c r="O975" i="2"/>
  <c r="N976" i="2"/>
  <c r="O976" i="2"/>
  <c r="N977" i="2"/>
  <c r="O977" i="2"/>
  <c r="N978" i="2"/>
  <c r="O978" i="2"/>
  <c r="N979" i="2"/>
  <c r="O979" i="2"/>
  <c r="N980" i="2"/>
  <c r="O980" i="2"/>
  <c r="N981" i="2"/>
  <c r="O981" i="2"/>
  <c r="N982" i="2"/>
  <c r="O982" i="2"/>
  <c r="N983" i="2"/>
  <c r="O983" i="2"/>
  <c r="N984" i="2"/>
  <c r="O984" i="2"/>
  <c r="N985" i="2"/>
  <c r="O985" i="2"/>
  <c r="N986" i="2"/>
  <c r="O986" i="2"/>
  <c r="N987" i="2"/>
  <c r="O987" i="2"/>
  <c r="N988" i="2"/>
  <c r="O988" i="2"/>
  <c r="N989" i="2"/>
  <c r="O989" i="2"/>
  <c r="N990" i="2"/>
  <c r="O990" i="2"/>
  <c r="N991" i="2"/>
  <c r="O991" i="2"/>
  <c r="N992" i="2"/>
  <c r="O992" i="2"/>
  <c r="N993" i="2"/>
  <c r="O993" i="2"/>
  <c r="N994" i="2"/>
  <c r="O994" i="2"/>
  <c r="N995" i="2"/>
  <c r="O995" i="2"/>
  <c r="N996" i="2"/>
  <c r="O996" i="2"/>
  <c r="N997" i="2"/>
  <c r="O997" i="2"/>
  <c r="N998" i="2"/>
  <c r="O998" i="2"/>
  <c r="N999" i="2"/>
  <c r="O999" i="2"/>
  <c r="N1000" i="2"/>
  <c r="O1000" i="2"/>
  <c r="N1001" i="2"/>
  <c r="O1001" i="2"/>
  <c r="N1002" i="2"/>
  <c r="O1002" i="2"/>
  <c r="N1003" i="2"/>
  <c r="O1003" i="2"/>
  <c r="N1004" i="2"/>
  <c r="O1004" i="2"/>
  <c r="N1005" i="2"/>
  <c r="O1005" i="2"/>
  <c r="N1006" i="2"/>
  <c r="O1006" i="2"/>
  <c r="N1007" i="2"/>
  <c r="O1007" i="2"/>
  <c r="N1008" i="2"/>
  <c r="O1008" i="2"/>
  <c r="N1009" i="2"/>
  <c r="O1009" i="2"/>
  <c r="N1010" i="2"/>
  <c r="O1010" i="2"/>
  <c r="N1011" i="2"/>
  <c r="O1011" i="2"/>
  <c r="N1012" i="2"/>
  <c r="O1012" i="2"/>
  <c r="N1013" i="2"/>
  <c r="O1013" i="2"/>
  <c r="N1014" i="2"/>
  <c r="O1014" i="2"/>
  <c r="N1015" i="2"/>
  <c r="O1015" i="2"/>
  <c r="N1016" i="2"/>
  <c r="O1016" i="2"/>
  <c r="N1017" i="2"/>
  <c r="O1017" i="2"/>
  <c r="N1018" i="2"/>
  <c r="O1018" i="2"/>
  <c r="N1019" i="2"/>
  <c r="O1019" i="2"/>
  <c r="N1020" i="2"/>
  <c r="O1020" i="2"/>
  <c r="N1021" i="2"/>
  <c r="O1021" i="2"/>
  <c r="N1022" i="2"/>
  <c r="O1022" i="2"/>
  <c r="N1023" i="2"/>
  <c r="O1023" i="2"/>
  <c r="N1024" i="2"/>
  <c r="O1024" i="2"/>
  <c r="N1025" i="2"/>
  <c r="O1025" i="2"/>
  <c r="N1026" i="2"/>
  <c r="O1026" i="2"/>
  <c r="N1027" i="2"/>
  <c r="O1027" i="2"/>
  <c r="N1028" i="2"/>
  <c r="O1028" i="2"/>
  <c r="N1029" i="2"/>
  <c r="O1029" i="2"/>
  <c r="N1030" i="2"/>
  <c r="O1030" i="2"/>
  <c r="N1031" i="2"/>
  <c r="O1031" i="2"/>
  <c r="N1032" i="2"/>
  <c r="O1032" i="2"/>
  <c r="N1033" i="2"/>
  <c r="O1033" i="2"/>
  <c r="N1034" i="2"/>
  <c r="O1034" i="2"/>
  <c r="N1035" i="2"/>
  <c r="O1035" i="2"/>
  <c r="N1036" i="2"/>
  <c r="O1036" i="2"/>
  <c r="N1037" i="2"/>
  <c r="O1037" i="2"/>
  <c r="N1038" i="2"/>
  <c r="O1038" i="2"/>
  <c r="N1039" i="2"/>
  <c r="O1039" i="2"/>
  <c r="N1040" i="2"/>
  <c r="O1040" i="2"/>
  <c r="N1041" i="2"/>
  <c r="O1041" i="2"/>
  <c r="N1042" i="2"/>
  <c r="O1042" i="2"/>
  <c r="N1043" i="2"/>
  <c r="O1043" i="2"/>
  <c r="N1044" i="2"/>
  <c r="O1044" i="2"/>
  <c r="N1045" i="2"/>
  <c r="O1045" i="2"/>
  <c r="N1046" i="2"/>
  <c r="O1046" i="2"/>
  <c r="N1047" i="2"/>
  <c r="O1047" i="2"/>
  <c r="N1048" i="2"/>
  <c r="O1048" i="2"/>
  <c r="N1049" i="2"/>
  <c r="O1049" i="2"/>
  <c r="N1050" i="2"/>
  <c r="O1050" i="2"/>
  <c r="N1051" i="2"/>
  <c r="O1051" i="2"/>
  <c r="N1052" i="2"/>
  <c r="O1052" i="2"/>
  <c r="N1053" i="2"/>
  <c r="O1053" i="2"/>
  <c r="N1054" i="2"/>
  <c r="O1054" i="2"/>
  <c r="N1055" i="2"/>
  <c r="O1055" i="2"/>
  <c r="N1056" i="2"/>
  <c r="O1056" i="2"/>
  <c r="N1057" i="2"/>
  <c r="O1057" i="2"/>
  <c r="N1058" i="2"/>
  <c r="O1058" i="2"/>
  <c r="N1059" i="2"/>
  <c r="O1059" i="2"/>
  <c r="N1060" i="2"/>
  <c r="O1060" i="2"/>
  <c r="N1061" i="2"/>
  <c r="O1061" i="2"/>
  <c r="N1062" i="2"/>
  <c r="O1062" i="2"/>
  <c r="N1063" i="2"/>
  <c r="O1063" i="2"/>
  <c r="N1064" i="2"/>
  <c r="O1064" i="2"/>
  <c r="N1065" i="2"/>
  <c r="O1065" i="2"/>
  <c r="N1066" i="2"/>
  <c r="O1066" i="2"/>
  <c r="N1067" i="2"/>
  <c r="O1067" i="2"/>
  <c r="N1068" i="2"/>
  <c r="O1068" i="2"/>
  <c r="N1069" i="2"/>
  <c r="O1069" i="2"/>
  <c r="N1070" i="2"/>
  <c r="O1070" i="2"/>
  <c r="N1071" i="2"/>
  <c r="O1071" i="2"/>
  <c r="N1072" i="2"/>
  <c r="O1072" i="2"/>
  <c r="N1073" i="2"/>
  <c r="O1073" i="2"/>
  <c r="N1074" i="2"/>
  <c r="O1074" i="2"/>
  <c r="N1075" i="2"/>
  <c r="O1075" i="2"/>
  <c r="N1076" i="2"/>
  <c r="O1076" i="2"/>
  <c r="N1077" i="2"/>
  <c r="O1077" i="2"/>
  <c r="N1078" i="2"/>
  <c r="O1078" i="2"/>
  <c r="N1079" i="2"/>
  <c r="O1079" i="2"/>
  <c r="N1080" i="2"/>
  <c r="O1080" i="2"/>
  <c r="N1081" i="2"/>
  <c r="O1081" i="2"/>
  <c r="N1082" i="2"/>
  <c r="O1082" i="2"/>
  <c r="N1083" i="2"/>
  <c r="O1083" i="2"/>
  <c r="N1084" i="2"/>
  <c r="O1084" i="2"/>
  <c r="N1085" i="2"/>
  <c r="O1085" i="2"/>
  <c r="N1086" i="2"/>
  <c r="O1086" i="2"/>
  <c r="N1087" i="2"/>
  <c r="O1087" i="2"/>
  <c r="N1088" i="2"/>
  <c r="O1088" i="2"/>
  <c r="N1089" i="2"/>
  <c r="O1089" i="2"/>
  <c r="N1090" i="2"/>
  <c r="O1090" i="2"/>
  <c r="N1091" i="2"/>
  <c r="O1091" i="2"/>
  <c r="N1092" i="2"/>
  <c r="O1092" i="2"/>
  <c r="N1093" i="2"/>
  <c r="O1093" i="2"/>
  <c r="N1094" i="2"/>
  <c r="O1094" i="2"/>
  <c r="N1095" i="2"/>
  <c r="O1095" i="2"/>
  <c r="N1096" i="2"/>
  <c r="O1096" i="2"/>
  <c r="N1097" i="2"/>
  <c r="O1097" i="2"/>
  <c r="N1098" i="2"/>
  <c r="O1098" i="2"/>
  <c r="N1099" i="2"/>
  <c r="O1099" i="2"/>
  <c r="N1100" i="2"/>
  <c r="O1100" i="2"/>
  <c r="N1101" i="2"/>
  <c r="O1101" i="2"/>
  <c r="N1102" i="2"/>
  <c r="O1102" i="2"/>
  <c r="N1103" i="2"/>
  <c r="O1103" i="2"/>
  <c r="N1104" i="2"/>
  <c r="O1104" i="2"/>
  <c r="N1105" i="2"/>
  <c r="O1105" i="2"/>
  <c r="N1106" i="2"/>
  <c r="O1106" i="2"/>
  <c r="N1107" i="2"/>
  <c r="O1107" i="2"/>
  <c r="N1108" i="2"/>
  <c r="O1108" i="2"/>
  <c r="N1109" i="2"/>
  <c r="O1109" i="2"/>
  <c r="N1110" i="2"/>
  <c r="O1110" i="2"/>
  <c r="N1111" i="2"/>
  <c r="O1111" i="2"/>
  <c r="N1112" i="2"/>
  <c r="O1112" i="2"/>
  <c r="N1113" i="2"/>
  <c r="O1113" i="2"/>
  <c r="N1114" i="2"/>
  <c r="O1114" i="2"/>
  <c r="N1115" i="2"/>
  <c r="O1115" i="2"/>
  <c r="N1116" i="2"/>
  <c r="O1116" i="2"/>
  <c r="N1117" i="2"/>
  <c r="O1117" i="2"/>
  <c r="N1118" i="2"/>
  <c r="O1118" i="2"/>
  <c r="N1119" i="2"/>
  <c r="O1119" i="2"/>
  <c r="N1120" i="2"/>
  <c r="O1120" i="2"/>
  <c r="N1121" i="2"/>
  <c r="O1121" i="2"/>
  <c r="N1122" i="2"/>
  <c r="O1122" i="2"/>
  <c r="N1123" i="2"/>
  <c r="O1123" i="2"/>
  <c r="N1124" i="2"/>
  <c r="O1124" i="2"/>
  <c r="N1125" i="2"/>
  <c r="O1125" i="2"/>
  <c r="N1126" i="2"/>
  <c r="O1126" i="2"/>
  <c r="N1127" i="2"/>
  <c r="O1127" i="2"/>
  <c r="N1128" i="2"/>
  <c r="O1128" i="2"/>
  <c r="N1129" i="2"/>
  <c r="O1129" i="2"/>
  <c r="N1130" i="2"/>
  <c r="O1130" i="2"/>
  <c r="N1131" i="2"/>
  <c r="O1131" i="2"/>
  <c r="N1132" i="2"/>
  <c r="O1132" i="2"/>
  <c r="N1133" i="2"/>
  <c r="O1133" i="2"/>
  <c r="N1134" i="2"/>
  <c r="O1134" i="2"/>
  <c r="N1135" i="2"/>
  <c r="O1135" i="2"/>
  <c r="N1136" i="2"/>
  <c r="O1136" i="2"/>
  <c r="N1137" i="2"/>
  <c r="O1137" i="2"/>
  <c r="N1138" i="2"/>
  <c r="O1138" i="2"/>
  <c r="N1139" i="2"/>
  <c r="O1139" i="2"/>
  <c r="N1140" i="2"/>
  <c r="O1140" i="2"/>
  <c r="N1141" i="2"/>
  <c r="O1141" i="2"/>
  <c r="N1142" i="2"/>
  <c r="O1142" i="2"/>
  <c r="N1143" i="2"/>
  <c r="O1143" i="2"/>
  <c r="N1144" i="2"/>
  <c r="O1144" i="2"/>
  <c r="N1145" i="2"/>
  <c r="O1145" i="2"/>
  <c r="N1146" i="2"/>
  <c r="O1146" i="2"/>
  <c r="N1147" i="2"/>
  <c r="O1147" i="2"/>
  <c r="N1148" i="2"/>
  <c r="O1148" i="2"/>
  <c r="N1149" i="2"/>
  <c r="O1149" i="2"/>
  <c r="N1150" i="2"/>
  <c r="O1150" i="2"/>
  <c r="N1151" i="2"/>
  <c r="O1151" i="2"/>
  <c r="N1152" i="2"/>
  <c r="O1152" i="2"/>
  <c r="N1153" i="2"/>
  <c r="O1153" i="2"/>
  <c r="N1154" i="2"/>
  <c r="O1154" i="2"/>
  <c r="N1155" i="2"/>
  <c r="O1155" i="2"/>
  <c r="N1156" i="2"/>
  <c r="O1156" i="2"/>
  <c r="N1157" i="2"/>
  <c r="O1157" i="2"/>
  <c r="N1158" i="2"/>
  <c r="O1158" i="2"/>
  <c r="N1159" i="2"/>
  <c r="O1159" i="2"/>
  <c r="N1160" i="2"/>
  <c r="O1160" i="2"/>
  <c r="N1161" i="2"/>
  <c r="O1161" i="2"/>
  <c r="N1162" i="2"/>
  <c r="O1162" i="2"/>
  <c r="N1163" i="2"/>
  <c r="O1163" i="2"/>
  <c r="N1164" i="2"/>
  <c r="O1164" i="2"/>
  <c r="N1165" i="2"/>
  <c r="O1165" i="2"/>
  <c r="N1166" i="2"/>
  <c r="O1166" i="2"/>
  <c r="N1167" i="2"/>
  <c r="O1167" i="2"/>
  <c r="N1168" i="2"/>
  <c r="O1168" i="2"/>
  <c r="N1169" i="2"/>
  <c r="O1169" i="2"/>
  <c r="N1170" i="2"/>
  <c r="O1170" i="2"/>
  <c r="N1171" i="2"/>
  <c r="O1171" i="2"/>
  <c r="N1172" i="2"/>
  <c r="O1172" i="2"/>
  <c r="N1173" i="2"/>
  <c r="O1173" i="2"/>
  <c r="N1174" i="2"/>
  <c r="O1174" i="2"/>
  <c r="N1175" i="2"/>
  <c r="O1175" i="2"/>
  <c r="N1176" i="2"/>
  <c r="O1176" i="2"/>
  <c r="N1177" i="2"/>
  <c r="O1177" i="2"/>
  <c r="N1178" i="2"/>
  <c r="O1178" i="2"/>
  <c r="N1179" i="2"/>
  <c r="O1179" i="2"/>
  <c r="N1180" i="2"/>
  <c r="O1180" i="2"/>
  <c r="N1181" i="2"/>
  <c r="O1181" i="2"/>
  <c r="N1182" i="2"/>
  <c r="O1182" i="2"/>
  <c r="N1183" i="2"/>
  <c r="O1183" i="2"/>
  <c r="N1184" i="2"/>
  <c r="O1184" i="2"/>
  <c r="N1185" i="2"/>
  <c r="O1185" i="2"/>
  <c r="N1186" i="2"/>
  <c r="O1186" i="2"/>
  <c r="N1187" i="2"/>
  <c r="O1187" i="2"/>
  <c r="N1188" i="2"/>
  <c r="O1188" i="2"/>
  <c r="N1189" i="2"/>
  <c r="O1189" i="2"/>
  <c r="N1190" i="2"/>
  <c r="O1190" i="2"/>
  <c r="N1191" i="2"/>
  <c r="O1191" i="2"/>
  <c r="N1192" i="2"/>
  <c r="O1192" i="2"/>
  <c r="N1193" i="2"/>
  <c r="O1193" i="2"/>
  <c r="N1194" i="2"/>
  <c r="O1194" i="2"/>
  <c r="N1195" i="2"/>
  <c r="O1195" i="2"/>
  <c r="N1196" i="2"/>
  <c r="O1196" i="2"/>
  <c r="N1197" i="2"/>
  <c r="O1197" i="2"/>
  <c r="N1198" i="2"/>
  <c r="O1198" i="2"/>
  <c r="N1199" i="2"/>
  <c r="O1199" i="2"/>
  <c r="N1200" i="2"/>
  <c r="O1200" i="2"/>
  <c r="N1201" i="2"/>
  <c r="O1201" i="2"/>
  <c r="N1202" i="2"/>
  <c r="O1202" i="2"/>
  <c r="N1203" i="2"/>
  <c r="O1203" i="2"/>
  <c r="N1204" i="2"/>
  <c r="O1204" i="2"/>
  <c r="N1205" i="2"/>
  <c r="O1205" i="2"/>
  <c r="N1206" i="2"/>
  <c r="O1206" i="2"/>
  <c r="N1207" i="2"/>
  <c r="O1207" i="2"/>
  <c r="N1208" i="2"/>
  <c r="O1208" i="2"/>
  <c r="N1209" i="2"/>
  <c r="O1209" i="2"/>
  <c r="N1210" i="2"/>
  <c r="O1210" i="2"/>
  <c r="N1211" i="2"/>
  <c r="O1211" i="2"/>
  <c r="N1212" i="2"/>
  <c r="O1212" i="2"/>
  <c r="N1213" i="2"/>
  <c r="O1213" i="2"/>
  <c r="N1214" i="2"/>
  <c r="O1214" i="2"/>
  <c r="N1215" i="2"/>
  <c r="O1215" i="2"/>
  <c r="N1216" i="2"/>
  <c r="O1216" i="2"/>
  <c r="N1217" i="2"/>
  <c r="O1217" i="2"/>
  <c r="N1218" i="2"/>
  <c r="O1218" i="2"/>
  <c r="N1219" i="2"/>
  <c r="O1219" i="2"/>
  <c r="N1220" i="2"/>
  <c r="O1220" i="2"/>
  <c r="N1221" i="2"/>
  <c r="O1221" i="2"/>
  <c r="N1222" i="2"/>
  <c r="O1222" i="2"/>
  <c r="N1223" i="2"/>
  <c r="O1223" i="2"/>
  <c r="N1224" i="2"/>
  <c r="O1224" i="2"/>
  <c r="N1225" i="2"/>
  <c r="O1225" i="2"/>
  <c r="N1226" i="2"/>
  <c r="O1226" i="2"/>
  <c r="N1227" i="2"/>
  <c r="O1227" i="2"/>
  <c r="N1228" i="2"/>
  <c r="O1228" i="2"/>
  <c r="N1229" i="2"/>
  <c r="O1229" i="2"/>
  <c r="N1230" i="2"/>
  <c r="O1230" i="2"/>
  <c r="N1231" i="2"/>
  <c r="O1231" i="2"/>
  <c r="N1232" i="2"/>
  <c r="O1232" i="2"/>
  <c r="N1233" i="2"/>
  <c r="O1233" i="2"/>
  <c r="N1234" i="2"/>
  <c r="O1234" i="2"/>
  <c r="N1235" i="2"/>
  <c r="O1235" i="2"/>
  <c r="N1236" i="2"/>
  <c r="O1236" i="2"/>
  <c r="N1237" i="2"/>
  <c r="O1237" i="2"/>
  <c r="N1238" i="2"/>
  <c r="O1238" i="2"/>
  <c r="N1239" i="2"/>
  <c r="O1239" i="2"/>
  <c r="N1240" i="2"/>
  <c r="O1240" i="2"/>
  <c r="N1241" i="2"/>
  <c r="O1241" i="2"/>
  <c r="N1242" i="2"/>
  <c r="O1242" i="2"/>
  <c r="N1243" i="2"/>
  <c r="O1243" i="2"/>
  <c r="N1244" i="2"/>
  <c r="O1244" i="2"/>
  <c r="N1245" i="2"/>
  <c r="O1245" i="2"/>
  <c r="N1246" i="2"/>
  <c r="O1246" i="2"/>
  <c r="N1247" i="2"/>
  <c r="O1247" i="2"/>
  <c r="N1248" i="2"/>
  <c r="O1248" i="2"/>
  <c r="N1249" i="2"/>
  <c r="O1249" i="2"/>
  <c r="N1250" i="2"/>
  <c r="O1250" i="2"/>
  <c r="N1251" i="2"/>
  <c r="O1251" i="2"/>
  <c r="N1252" i="2"/>
  <c r="O1252" i="2"/>
  <c r="N1253" i="2"/>
  <c r="O1253" i="2"/>
  <c r="N1254" i="2"/>
  <c r="O1254" i="2"/>
  <c r="N1255" i="2"/>
  <c r="O1255" i="2"/>
  <c r="N1256" i="2"/>
  <c r="O1256" i="2"/>
  <c r="N1257" i="2"/>
  <c r="O1257" i="2"/>
  <c r="N1258" i="2"/>
  <c r="O1258" i="2"/>
  <c r="N1259" i="2"/>
  <c r="O1259" i="2"/>
  <c r="N1260" i="2"/>
  <c r="O1260" i="2"/>
  <c r="N1261" i="2"/>
  <c r="O1261" i="2"/>
  <c r="N1262" i="2"/>
  <c r="O1262" i="2"/>
  <c r="N1263" i="2"/>
  <c r="O1263" i="2"/>
  <c r="N1264" i="2"/>
  <c r="O1264" i="2"/>
  <c r="N1265" i="2"/>
  <c r="O1265" i="2"/>
  <c r="N1266" i="2"/>
  <c r="O1266" i="2"/>
  <c r="N1267" i="2"/>
  <c r="O1267" i="2"/>
  <c r="N1268" i="2"/>
  <c r="O1268" i="2"/>
  <c r="N1269" i="2"/>
  <c r="O1269" i="2"/>
  <c r="N1270" i="2"/>
  <c r="O1270" i="2"/>
  <c r="N1271" i="2"/>
  <c r="O1271" i="2"/>
  <c r="N1272" i="2"/>
  <c r="O1272" i="2"/>
  <c r="N1273" i="2"/>
  <c r="O1273" i="2"/>
  <c r="N1274" i="2"/>
  <c r="O1274" i="2"/>
  <c r="N1275" i="2"/>
  <c r="O1275" i="2"/>
  <c r="N1276" i="2"/>
  <c r="O1276" i="2"/>
  <c r="N1277" i="2"/>
  <c r="O1277" i="2"/>
  <c r="N1278" i="2"/>
  <c r="O1278" i="2"/>
  <c r="N1279" i="2"/>
  <c r="O1279" i="2"/>
  <c r="N1280" i="2"/>
  <c r="O1280" i="2"/>
  <c r="N1281" i="2"/>
  <c r="O1281" i="2"/>
  <c r="N1282" i="2"/>
  <c r="O1282" i="2"/>
  <c r="N1283" i="2"/>
  <c r="O1283" i="2"/>
  <c r="N1284" i="2"/>
  <c r="O1284" i="2"/>
  <c r="N1285" i="2"/>
  <c r="O1285" i="2"/>
  <c r="N1286" i="2"/>
  <c r="O1286" i="2"/>
  <c r="N1287" i="2"/>
  <c r="O1287" i="2"/>
  <c r="N1288" i="2"/>
  <c r="O1288" i="2"/>
  <c r="N1289" i="2"/>
  <c r="O1289" i="2"/>
  <c r="N1290" i="2"/>
  <c r="O1290" i="2"/>
  <c r="N1291" i="2"/>
  <c r="O1291" i="2"/>
  <c r="N1292" i="2"/>
  <c r="O1292" i="2"/>
  <c r="N1293" i="2"/>
  <c r="O1293" i="2"/>
  <c r="N1294" i="2"/>
  <c r="O1294" i="2"/>
  <c r="N1295" i="2"/>
  <c r="O1295" i="2"/>
  <c r="N1296" i="2"/>
  <c r="O1296" i="2"/>
  <c r="N1297" i="2"/>
  <c r="O1297" i="2"/>
  <c r="N1298" i="2"/>
  <c r="O1298" i="2"/>
  <c r="N1299" i="2"/>
  <c r="O1299" i="2"/>
  <c r="N1300" i="2"/>
  <c r="O1300" i="2"/>
  <c r="N1301" i="2"/>
  <c r="O1301" i="2"/>
  <c r="N1302" i="2"/>
  <c r="O1302" i="2"/>
  <c r="N1303" i="2"/>
  <c r="O1303" i="2"/>
  <c r="N1304" i="2"/>
  <c r="O1304" i="2"/>
  <c r="N1305" i="2"/>
  <c r="O1305" i="2"/>
  <c r="N1306" i="2"/>
  <c r="O1306" i="2"/>
  <c r="N1307" i="2"/>
  <c r="O1307" i="2"/>
  <c r="N1308" i="2"/>
  <c r="O1308" i="2"/>
  <c r="N1309" i="2"/>
  <c r="O1309" i="2"/>
  <c r="N1310" i="2"/>
  <c r="O1310" i="2"/>
  <c r="N1311" i="2"/>
  <c r="O1311" i="2"/>
  <c r="N1312" i="2"/>
  <c r="O1312" i="2"/>
  <c r="N1313" i="2"/>
  <c r="O1313" i="2"/>
  <c r="N1314" i="2"/>
  <c r="O1314" i="2"/>
  <c r="N1315" i="2"/>
  <c r="O1315" i="2"/>
  <c r="N1316" i="2"/>
  <c r="O1316" i="2"/>
  <c r="N1317" i="2"/>
  <c r="O1317" i="2"/>
  <c r="N1318" i="2"/>
  <c r="O1318" i="2"/>
  <c r="N1319" i="2"/>
  <c r="O1319" i="2"/>
  <c r="N1320" i="2"/>
  <c r="O1320" i="2"/>
  <c r="N1321" i="2"/>
  <c r="O1321" i="2"/>
  <c r="N1322" i="2"/>
  <c r="O1322" i="2"/>
  <c r="N1323" i="2"/>
  <c r="O1323" i="2"/>
  <c r="N1324" i="2"/>
  <c r="O1324" i="2"/>
  <c r="N1325" i="2"/>
  <c r="O1325" i="2"/>
  <c r="N1326" i="2"/>
  <c r="O1326" i="2"/>
  <c r="N1327" i="2"/>
  <c r="O1327" i="2"/>
  <c r="N1328" i="2"/>
  <c r="O1328" i="2"/>
  <c r="N1329" i="2"/>
  <c r="O1329" i="2"/>
  <c r="N1330" i="2"/>
  <c r="O1330" i="2"/>
  <c r="N1331" i="2"/>
  <c r="O1331" i="2"/>
  <c r="N1332" i="2"/>
  <c r="O1332" i="2"/>
  <c r="N1333" i="2"/>
  <c r="O1333" i="2"/>
  <c r="N1334" i="2"/>
  <c r="O1334" i="2"/>
  <c r="N1335" i="2"/>
  <c r="O1335" i="2"/>
  <c r="N1336" i="2"/>
  <c r="O1336" i="2"/>
  <c r="N1337" i="2"/>
  <c r="O1337" i="2"/>
  <c r="N1338" i="2"/>
  <c r="O1338" i="2"/>
  <c r="N1339" i="2"/>
  <c r="O1339" i="2"/>
  <c r="N1340" i="2"/>
  <c r="O1340" i="2"/>
  <c r="N1341" i="2"/>
  <c r="O1341" i="2"/>
  <c r="N1342" i="2"/>
  <c r="O1342" i="2"/>
  <c r="N1343" i="2"/>
  <c r="O1343" i="2"/>
  <c r="N1344" i="2"/>
  <c r="O1344" i="2"/>
  <c r="N1345" i="2"/>
  <c r="O1345" i="2"/>
  <c r="N1346" i="2"/>
  <c r="O1346" i="2"/>
  <c r="N1347" i="2"/>
  <c r="O1347" i="2"/>
  <c r="N1348" i="2"/>
  <c r="O1348" i="2"/>
  <c r="N1349" i="2"/>
  <c r="O1349" i="2"/>
  <c r="N1350" i="2"/>
  <c r="O1350" i="2"/>
  <c r="N1351" i="2"/>
  <c r="O1351" i="2"/>
  <c r="N1352" i="2"/>
  <c r="O1352" i="2"/>
  <c r="N1353" i="2"/>
  <c r="O1353" i="2"/>
  <c r="N1354" i="2"/>
  <c r="O1354" i="2"/>
  <c r="N1355" i="2"/>
  <c r="O1355" i="2"/>
  <c r="N1356" i="2"/>
  <c r="O1356" i="2"/>
  <c r="N1357" i="2"/>
  <c r="O1357" i="2"/>
  <c r="N1358" i="2"/>
  <c r="O1358" i="2"/>
  <c r="N1359" i="2"/>
  <c r="O1359" i="2"/>
  <c r="N1360" i="2"/>
  <c r="O1360" i="2"/>
  <c r="N1361" i="2"/>
  <c r="O1361" i="2"/>
  <c r="N1362" i="2"/>
  <c r="O1362" i="2"/>
  <c r="N1363" i="2"/>
  <c r="O1363" i="2"/>
  <c r="N1364" i="2"/>
  <c r="O1364" i="2"/>
  <c r="N1365" i="2"/>
  <c r="O1365" i="2"/>
  <c r="N1366" i="2"/>
  <c r="O1366" i="2"/>
  <c r="N1367" i="2"/>
  <c r="O1367" i="2"/>
  <c r="N1368" i="2"/>
  <c r="O1368" i="2"/>
  <c r="N1369" i="2"/>
  <c r="O1369" i="2"/>
  <c r="N1370" i="2"/>
  <c r="O1370" i="2"/>
  <c r="N1371" i="2"/>
  <c r="O1371" i="2"/>
  <c r="N1372" i="2"/>
  <c r="O1372" i="2"/>
  <c r="N1373" i="2"/>
  <c r="O1373" i="2"/>
  <c r="N1374" i="2"/>
  <c r="O1374" i="2"/>
  <c r="N1375" i="2"/>
  <c r="O1375" i="2"/>
  <c r="N1376" i="2"/>
  <c r="O1376" i="2"/>
  <c r="N1377" i="2"/>
  <c r="O1377" i="2"/>
  <c r="N1378" i="2"/>
  <c r="O1378" i="2"/>
  <c r="N1379" i="2"/>
  <c r="O1379" i="2"/>
  <c r="N1380" i="2"/>
  <c r="O1380" i="2"/>
  <c r="N1381" i="2"/>
  <c r="O1381" i="2"/>
  <c r="N1382" i="2"/>
  <c r="O1382" i="2"/>
  <c r="N1383" i="2"/>
  <c r="O1383" i="2"/>
  <c r="N1384" i="2"/>
  <c r="O1384" i="2"/>
  <c r="N1385" i="2"/>
  <c r="O1385" i="2"/>
  <c r="N1386" i="2"/>
  <c r="O1386" i="2"/>
  <c r="N1387" i="2"/>
  <c r="O1387" i="2"/>
  <c r="N1388" i="2"/>
  <c r="O1388" i="2"/>
  <c r="N1389" i="2"/>
  <c r="O1389" i="2"/>
  <c r="N1390" i="2"/>
  <c r="O1390" i="2"/>
  <c r="N1391" i="2"/>
  <c r="O1391" i="2"/>
  <c r="N1392" i="2"/>
  <c r="O1392" i="2"/>
  <c r="N1393" i="2"/>
  <c r="O1393" i="2"/>
  <c r="N1394" i="2"/>
  <c r="O1394" i="2"/>
  <c r="N1395" i="2"/>
  <c r="O1395" i="2"/>
  <c r="N1396" i="2"/>
  <c r="O1396" i="2"/>
  <c r="N1397" i="2"/>
  <c r="O1397" i="2"/>
  <c r="N1398" i="2"/>
  <c r="O1398" i="2"/>
  <c r="N1399" i="2"/>
  <c r="O1399" i="2"/>
  <c r="N1400" i="2"/>
  <c r="O1400" i="2"/>
  <c r="N1401" i="2"/>
  <c r="O1401" i="2"/>
  <c r="N1402" i="2"/>
  <c r="O1402" i="2"/>
  <c r="N1403" i="2"/>
  <c r="O1403" i="2"/>
  <c r="N1404" i="2"/>
  <c r="O1404" i="2"/>
  <c r="N1405" i="2"/>
  <c r="O1405" i="2"/>
  <c r="N1406" i="2"/>
  <c r="O1406" i="2"/>
  <c r="N1407" i="2"/>
  <c r="O1407" i="2"/>
  <c r="N1408" i="2"/>
  <c r="O1408" i="2"/>
  <c r="N1409" i="2"/>
  <c r="O1409" i="2"/>
  <c r="N1410" i="2"/>
  <c r="O1410" i="2"/>
  <c r="N1411" i="2"/>
  <c r="O1411" i="2"/>
  <c r="N1412" i="2"/>
  <c r="O1412" i="2"/>
  <c r="N1413" i="2"/>
  <c r="O1413" i="2"/>
  <c r="N1414" i="2"/>
  <c r="O1414" i="2"/>
  <c r="N1415" i="2"/>
  <c r="O1415" i="2"/>
  <c r="N1416" i="2"/>
  <c r="O1416" i="2"/>
  <c r="N1417" i="2"/>
  <c r="O1417" i="2"/>
  <c r="N1418" i="2"/>
  <c r="O1418" i="2"/>
  <c r="N1419" i="2"/>
  <c r="O1419" i="2"/>
  <c r="N1420" i="2"/>
  <c r="O1420" i="2"/>
  <c r="N1421" i="2"/>
  <c r="O1421" i="2"/>
  <c r="N1422" i="2"/>
  <c r="O1422" i="2"/>
  <c r="N1423" i="2"/>
  <c r="O1423" i="2"/>
  <c r="N1424" i="2"/>
  <c r="O1424" i="2"/>
  <c r="N1425" i="2"/>
  <c r="O1425" i="2"/>
  <c r="N1426" i="2"/>
  <c r="O1426" i="2"/>
  <c r="N1427" i="2"/>
  <c r="O1427" i="2"/>
  <c r="N1428" i="2"/>
  <c r="O1428" i="2"/>
  <c r="N1429" i="2"/>
  <c r="O1429" i="2"/>
  <c r="N1430" i="2"/>
  <c r="O1430" i="2"/>
  <c r="N1431" i="2"/>
  <c r="O1431" i="2"/>
  <c r="N1432" i="2"/>
  <c r="O1432" i="2"/>
  <c r="N1433" i="2"/>
  <c r="O1433" i="2"/>
  <c r="N1434" i="2"/>
  <c r="O1434" i="2"/>
  <c r="N1435" i="2"/>
  <c r="O1435" i="2"/>
  <c r="N1436" i="2"/>
  <c r="O1436" i="2"/>
  <c r="N1437" i="2"/>
  <c r="O1437" i="2"/>
  <c r="N1438" i="2"/>
  <c r="O1438" i="2"/>
  <c r="N1439" i="2"/>
  <c r="O1439" i="2"/>
  <c r="N1440" i="2"/>
  <c r="O1440" i="2"/>
  <c r="N1441" i="2"/>
  <c r="O1441" i="2"/>
  <c r="N1442" i="2"/>
  <c r="O1442" i="2"/>
  <c r="N1443" i="2"/>
  <c r="O1443" i="2"/>
  <c r="N1444" i="2"/>
  <c r="O1444" i="2"/>
  <c r="N1445" i="2"/>
  <c r="O1445" i="2"/>
  <c r="N1446" i="2"/>
  <c r="O1446" i="2"/>
  <c r="N1447" i="2"/>
  <c r="O1447" i="2"/>
  <c r="N1448" i="2"/>
  <c r="O1448" i="2"/>
  <c r="N1449" i="2"/>
  <c r="O1449" i="2"/>
  <c r="N1450" i="2"/>
  <c r="O1450" i="2"/>
  <c r="N1451" i="2"/>
  <c r="O1451" i="2"/>
  <c r="N1452" i="2"/>
  <c r="O1452" i="2"/>
  <c r="N1453" i="2"/>
  <c r="O1453" i="2"/>
  <c r="N1454" i="2"/>
  <c r="O1454" i="2"/>
  <c r="N1455" i="2"/>
  <c r="O1455" i="2"/>
  <c r="N1456" i="2"/>
  <c r="O1456" i="2"/>
  <c r="N1457" i="2"/>
  <c r="O1457" i="2"/>
  <c r="N1458" i="2"/>
  <c r="O1458" i="2"/>
  <c r="N1459" i="2"/>
  <c r="O1459" i="2"/>
  <c r="N1460" i="2"/>
  <c r="O1460" i="2"/>
  <c r="N1461" i="2"/>
  <c r="O1461" i="2"/>
  <c r="N1462" i="2"/>
  <c r="O1462" i="2"/>
  <c r="N1463" i="2"/>
  <c r="O1463" i="2"/>
  <c r="N1464" i="2"/>
  <c r="O1464" i="2"/>
  <c r="N1465" i="2"/>
  <c r="O1465" i="2"/>
  <c r="N1466" i="2"/>
  <c r="O1466" i="2"/>
  <c r="N1467" i="2"/>
  <c r="O1467" i="2"/>
  <c r="N1468" i="2"/>
  <c r="O1468" i="2"/>
  <c r="N1469" i="2"/>
  <c r="O1469" i="2"/>
  <c r="N1470" i="2"/>
  <c r="O1470" i="2"/>
  <c r="N1471" i="2"/>
  <c r="O1471" i="2"/>
  <c r="N1472" i="2"/>
  <c r="O1472" i="2"/>
  <c r="N1473" i="2"/>
  <c r="O1473" i="2"/>
  <c r="N1474" i="2"/>
  <c r="O1474" i="2"/>
  <c r="N1475" i="2"/>
  <c r="O1475" i="2"/>
  <c r="N1476" i="2"/>
  <c r="O1476" i="2"/>
  <c r="N1477" i="2"/>
  <c r="O1477" i="2"/>
  <c r="N1478" i="2"/>
  <c r="O1478" i="2"/>
  <c r="N1479" i="2"/>
  <c r="O1479" i="2"/>
  <c r="N1480" i="2"/>
  <c r="O1480" i="2"/>
  <c r="N1481" i="2"/>
  <c r="O1481" i="2"/>
  <c r="N1482" i="2"/>
  <c r="O1482" i="2"/>
  <c r="N1483" i="2"/>
  <c r="O1483" i="2"/>
  <c r="N1484" i="2"/>
  <c r="O1484" i="2"/>
  <c r="N1485" i="2"/>
  <c r="O1485" i="2"/>
  <c r="N1486" i="2"/>
  <c r="O1486" i="2"/>
  <c r="N1487" i="2"/>
  <c r="O1487" i="2"/>
  <c r="N1488" i="2"/>
  <c r="O1488" i="2"/>
  <c r="N1489" i="2"/>
  <c r="O1489" i="2"/>
  <c r="N1490" i="2"/>
  <c r="O1490" i="2"/>
  <c r="N1491" i="2"/>
  <c r="O1491" i="2"/>
  <c r="N1492" i="2"/>
  <c r="O1492" i="2"/>
  <c r="N1493" i="2"/>
  <c r="O1493" i="2"/>
  <c r="N1494" i="2"/>
  <c r="O1494" i="2"/>
  <c r="N1495" i="2"/>
  <c r="O1495" i="2"/>
  <c r="N1496" i="2"/>
  <c r="O1496" i="2"/>
  <c r="N1497" i="2"/>
  <c r="O1497" i="2"/>
  <c r="N1498" i="2"/>
  <c r="O1498" i="2"/>
  <c r="N1499" i="2"/>
  <c r="O1499" i="2"/>
  <c r="N1500" i="2"/>
  <c r="O1500" i="2"/>
  <c r="N1501" i="2"/>
  <c r="O1501" i="2"/>
  <c r="N1502" i="2"/>
  <c r="O1502" i="2"/>
  <c r="N1503" i="2"/>
  <c r="O1503" i="2"/>
  <c r="N1504" i="2"/>
  <c r="O1504" i="2"/>
  <c r="N1505" i="2"/>
  <c r="O1505" i="2"/>
  <c r="N1506" i="2"/>
  <c r="O1506" i="2"/>
  <c r="N1507" i="2"/>
  <c r="O1507" i="2"/>
  <c r="N1508" i="2"/>
  <c r="O1508" i="2"/>
  <c r="N1509" i="2"/>
  <c r="O1509" i="2"/>
  <c r="N1510" i="2"/>
  <c r="O1510" i="2"/>
  <c r="N1511" i="2"/>
  <c r="O1511" i="2"/>
  <c r="N1512" i="2"/>
  <c r="O1512" i="2"/>
  <c r="N1513" i="2"/>
  <c r="O1513" i="2"/>
  <c r="N1514" i="2"/>
  <c r="O1514" i="2"/>
  <c r="N1515" i="2"/>
  <c r="O1515" i="2"/>
  <c r="N1516" i="2"/>
  <c r="O1516" i="2"/>
  <c r="N1517" i="2"/>
  <c r="O1517" i="2"/>
  <c r="N1518" i="2"/>
  <c r="O1518" i="2"/>
  <c r="N1519" i="2"/>
  <c r="O1519" i="2"/>
  <c r="N1520" i="2"/>
  <c r="O1520" i="2"/>
  <c r="N1521" i="2"/>
  <c r="O1521" i="2"/>
  <c r="N1522" i="2"/>
  <c r="O1522" i="2"/>
  <c r="N1523" i="2"/>
  <c r="O1523" i="2"/>
  <c r="N1524" i="2"/>
  <c r="O1524" i="2"/>
  <c r="N1525" i="2"/>
  <c r="O1525" i="2"/>
  <c r="N1526" i="2"/>
  <c r="O1526" i="2"/>
  <c r="N1527" i="2"/>
  <c r="O1527" i="2"/>
  <c r="N1528" i="2"/>
  <c r="O1528" i="2"/>
  <c r="N1529" i="2"/>
  <c r="O1529" i="2"/>
  <c r="N1530" i="2"/>
  <c r="O1530" i="2"/>
  <c r="N1531" i="2"/>
  <c r="O1531" i="2"/>
  <c r="N1532" i="2"/>
  <c r="O1532" i="2"/>
  <c r="N1533" i="2"/>
  <c r="O1533" i="2"/>
  <c r="N1534" i="2"/>
  <c r="O1534" i="2"/>
  <c r="N1535" i="2"/>
  <c r="O1535" i="2"/>
  <c r="N1536" i="2"/>
  <c r="O1536" i="2"/>
  <c r="N1537" i="2"/>
  <c r="O1537" i="2"/>
  <c r="N1538" i="2"/>
  <c r="O1538" i="2"/>
  <c r="N1539" i="2"/>
  <c r="O1539" i="2"/>
  <c r="N1540" i="2"/>
  <c r="O1540" i="2"/>
  <c r="N1541" i="2"/>
  <c r="O1541" i="2"/>
  <c r="N1542" i="2"/>
  <c r="O1542" i="2"/>
  <c r="N1543" i="2"/>
  <c r="O1543" i="2"/>
  <c r="N1544" i="2"/>
  <c r="O1544" i="2"/>
  <c r="N1545" i="2"/>
  <c r="O1545" i="2"/>
  <c r="N1546" i="2"/>
  <c r="O1546" i="2"/>
  <c r="N1547" i="2"/>
  <c r="O1547" i="2"/>
  <c r="N1548" i="2"/>
  <c r="O1548" i="2"/>
  <c r="N1549" i="2"/>
  <c r="O1549" i="2"/>
  <c r="N1550" i="2"/>
  <c r="O1550" i="2"/>
  <c r="N1551" i="2"/>
  <c r="O1551" i="2"/>
  <c r="N1552" i="2"/>
  <c r="O1552" i="2"/>
  <c r="N1553" i="2"/>
  <c r="O1553" i="2"/>
  <c r="N1554" i="2"/>
  <c r="O1554" i="2"/>
  <c r="N1555" i="2"/>
  <c r="O1555" i="2"/>
  <c r="N1556" i="2"/>
  <c r="O1556" i="2"/>
  <c r="N1557" i="2"/>
  <c r="O1557" i="2"/>
  <c r="N1558" i="2"/>
  <c r="O1558" i="2"/>
  <c r="N1559" i="2"/>
  <c r="O1559" i="2"/>
  <c r="N1560" i="2"/>
  <c r="O1560" i="2"/>
  <c r="N1561" i="2"/>
  <c r="O1561" i="2"/>
  <c r="N1562" i="2"/>
  <c r="O1562" i="2"/>
  <c r="N1563" i="2"/>
  <c r="O1563" i="2"/>
  <c r="N1564" i="2"/>
  <c r="O1564" i="2"/>
  <c r="N1565" i="2"/>
  <c r="O1565" i="2"/>
  <c r="N1566" i="2"/>
  <c r="O1566" i="2"/>
  <c r="N1567" i="2"/>
  <c r="O1567" i="2"/>
  <c r="N1568" i="2"/>
  <c r="O1568" i="2"/>
  <c r="N1569" i="2"/>
  <c r="O1569" i="2"/>
  <c r="N1570" i="2"/>
  <c r="O1570" i="2"/>
  <c r="N1571" i="2"/>
  <c r="O1571" i="2"/>
  <c r="N1572" i="2"/>
  <c r="O1572" i="2"/>
  <c r="N1573" i="2"/>
  <c r="O1573" i="2"/>
  <c r="N1574" i="2"/>
  <c r="O1574" i="2"/>
  <c r="N1575" i="2"/>
  <c r="O1575" i="2"/>
  <c r="N1576" i="2"/>
  <c r="O1576" i="2"/>
  <c r="N1577" i="2"/>
  <c r="O1577" i="2"/>
  <c r="N1578" i="2"/>
  <c r="O1578" i="2"/>
  <c r="N1579" i="2"/>
  <c r="O1579" i="2"/>
  <c r="N1580" i="2"/>
  <c r="O1580" i="2"/>
  <c r="N1581" i="2"/>
  <c r="O1581" i="2"/>
  <c r="N1582" i="2"/>
  <c r="O1582" i="2"/>
  <c r="N1583" i="2"/>
  <c r="O1583" i="2"/>
  <c r="N1584" i="2"/>
  <c r="O1584" i="2"/>
  <c r="N1585" i="2"/>
  <c r="O1585" i="2"/>
  <c r="N1586" i="2"/>
  <c r="O1586" i="2"/>
  <c r="N1587" i="2"/>
  <c r="O1587" i="2"/>
  <c r="N1588" i="2"/>
  <c r="O1588" i="2"/>
  <c r="N1589" i="2"/>
  <c r="O1589" i="2"/>
  <c r="N1590" i="2"/>
  <c r="O1590" i="2"/>
  <c r="N1591" i="2"/>
  <c r="O1591" i="2"/>
  <c r="N1592" i="2"/>
  <c r="O1592" i="2"/>
  <c r="N1593" i="2"/>
  <c r="O1593" i="2"/>
  <c r="N1594" i="2"/>
  <c r="O1594" i="2"/>
  <c r="N1595" i="2"/>
  <c r="O1595" i="2"/>
  <c r="N1596" i="2"/>
  <c r="O1596" i="2"/>
  <c r="N1597" i="2"/>
  <c r="O1597" i="2"/>
  <c r="N1598" i="2"/>
  <c r="O1598" i="2"/>
  <c r="N1599" i="2"/>
  <c r="O1599" i="2"/>
  <c r="N1600" i="2"/>
  <c r="O1600" i="2"/>
  <c r="N1601" i="2"/>
  <c r="O1601" i="2"/>
  <c r="N1602" i="2"/>
  <c r="O1602" i="2"/>
  <c r="N1603" i="2"/>
  <c r="O1603" i="2"/>
  <c r="N1604" i="2"/>
  <c r="O1604" i="2"/>
  <c r="N1605" i="2"/>
  <c r="O1605" i="2"/>
  <c r="N1606" i="2"/>
  <c r="O1606" i="2"/>
  <c r="N1607" i="2"/>
  <c r="O1607" i="2"/>
  <c r="N1608" i="2"/>
  <c r="O1608" i="2"/>
  <c r="N1609" i="2"/>
  <c r="O1609" i="2"/>
  <c r="N1610" i="2"/>
  <c r="O1610" i="2"/>
  <c r="N1611" i="2"/>
  <c r="O1611" i="2"/>
  <c r="N1612" i="2"/>
  <c r="O1612" i="2"/>
  <c r="N1613" i="2"/>
  <c r="O1613" i="2"/>
  <c r="N1614" i="2"/>
  <c r="O1614" i="2"/>
  <c r="N1615" i="2"/>
  <c r="O1615" i="2"/>
  <c r="N1616" i="2"/>
  <c r="O1616" i="2"/>
  <c r="N1617" i="2"/>
  <c r="O1617" i="2"/>
  <c r="N1618" i="2"/>
  <c r="O1618" i="2"/>
  <c r="N1619" i="2"/>
  <c r="O1619" i="2"/>
  <c r="N1620" i="2"/>
  <c r="O1620" i="2"/>
  <c r="N1621" i="2"/>
  <c r="O1621" i="2"/>
  <c r="N1622" i="2"/>
  <c r="O1622" i="2"/>
  <c r="N1623" i="2"/>
  <c r="O1623" i="2"/>
  <c r="N1624" i="2"/>
  <c r="O1624" i="2"/>
  <c r="N1625" i="2"/>
  <c r="O1625" i="2"/>
  <c r="N1626" i="2"/>
  <c r="O1626" i="2"/>
  <c r="N1627" i="2"/>
  <c r="O1627" i="2"/>
  <c r="N1628" i="2"/>
  <c r="O1628" i="2"/>
  <c r="N1629" i="2"/>
  <c r="O1629" i="2"/>
  <c r="N1630" i="2"/>
  <c r="O1630" i="2"/>
  <c r="N1631" i="2"/>
  <c r="O1631" i="2"/>
  <c r="N1632" i="2"/>
  <c r="O1632" i="2"/>
  <c r="N1633" i="2"/>
  <c r="O1633" i="2"/>
  <c r="N1634" i="2"/>
  <c r="O1634" i="2"/>
  <c r="N1635" i="2"/>
  <c r="O1635" i="2"/>
  <c r="N1636" i="2"/>
  <c r="O1636" i="2"/>
  <c r="N1637" i="2"/>
  <c r="O1637" i="2"/>
  <c r="N1638" i="2"/>
  <c r="O1638" i="2"/>
  <c r="N1639" i="2"/>
  <c r="O1639" i="2"/>
  <c r="N1640" i="2"/>
  <c r="O1640" i="2"/>
  <c r="N1641" i="2"/>
  <c r="O1641" i="2"/>
  <c r="N1642" i="2"/>
  <c r="O1642" i="2"/>
  <c r="N1643" i="2"/>
  <c r="O1643" i="2"/>
  <c r="N1644" i="2"/>
  <c r="O1644" i="2"/>
  <c r="N1645" i="2"/>
  <c r="O1645" i="2"/>
  <c r="N1646" i="2"/>
  <c r="O1646" i="2"/>
  <c r="N1647" i="2"/>
  <c r="O1647" i="2"/>
  <c r="N1648" i="2"/>
  <c r="O1648" i="2"/>
  <c r="N1649" i="2"/>
  <c r="O1649" i="2"/>
  <c r="N1650" i="2"/>
  <c r="O1650" i="2"/>
  <c r="N1651" i="2"/>
  <c r="O1651" i="2"/>
  <c r="N1652" i="2"/>
  <c r="O1652" i="2"/>
  <c r="N1653" i="2"/>
  <c r="O1653" i="2"/>
  <c r="N1654" i="2"/>
  <c r="O1654" i="2"/>
  <c r="N1655" i="2"/>
  <c r="O1655" i="2"/>
  <c r="N1656" i="2"/>
  <c r="O1656" i="2"/>
  <c r="N1657" i="2"/>
  <c r="O1657" i="2"/>
  <c r="N1658" i="2"/>
  <c r="O1658" i="2"/>
  <c r="N1659" i="2"/>
  <c r="O1659" i="2"/>
  <c r="N1660" i="2"/>
  <c r="O1660" i="2"/>
  <c r="N1661" i="2"/>
  <c r="O1661" i="2"/>
  <c r="N1662" i="2"/>
  <c r="O1662" i="2"/>
  <c r="N1663" i="2"/>
  <c r="O1663" i="2"/>
  <c r="N1664" i="2"/>
  <c r="O1664" i="2"/>
  <c r="N1665" i="2"/>
  <c r="O1665" i="2"/>
  <c r="N1666" i="2"/>
  <c r="O1666" i="2"/>
  <c r="N1667" i="2"/>
  <c r="O1667" i="2"/>
  <c r="N1668" i="2"/>
  <c r="O1668" i="2"/>
  <c r="N1669" i="2"/>
  <c r="O1669" i="2"/>
  <c r="N1670" i="2"/>
  <c r="O1670" i="2"/>
  <c r="N1671" i="2"/>
  <c r="O1671" i="2"/>
  <c r="N1672" i="2"/>
  <c r="O1672" i="2"/>
  <c r="N1673" i="2"/>
  <c r="O1673" i="2"/>
  <c r="N1674" i="2"/>
  <c r="O1674" i="2"/>
  <c r="N1675" i="2"/>
  <c r="O1675" i="2"/>
  <c r="N1676" i="2"/>
  <c r="O1676" i="2"/>
  <c r="N1677" i="2"/>
  <c r="O1677" i="2"/>
  <c r="N1678" i="2"/>
  <c r="O1678" i="2"/>
  <c r="N1679" i="2"/>
  <c r="O1679" i="2"/>
  <c r="N1680" i="2"/>
  <c r="O1680" i="2"/>
  <c r="N1681" i="2"/>
  <c r="O1681" i="2"/>
  <c r="N1682" i="2"/>
  <c r="O1682" i="2"/>
  <c r="N1683" i="2"/>
  <c r="O1683" i="2"/>
  <c r="N1684" i="2"/>
  <c r="O1684" i="2"/>
  <c r="N1685" i="2"/>
  <c r="O1685" i="2"/>
  <c r="N1686" i="2"/>
  <c r="O1686" i="2"/>
  <c r="N1687" i="2"/>
  <c r="O1687" i="2"/>
  <c r="N1688" i="2"/>
  <c r="O1688" i="2"/>
  <c r="N1689" i="2"/>
  <c r="O1689" i="2"/>
  <c r="N1690" i="2"/>
  <c r="O1690" i="2"/>
  <c r="N1691" i="2"/>
  <c r="O1691" i="2"/>
  <c r="N1692" i="2"/>
  <c r="O1692" i="2"/>
  <c r="N1693" i="2"/>
  <c r="O1693" i="2"/>
  <c r="N1694" i="2"/>
  <c r="O1694" i="2"/>
  <c r="N1695" i="2"/>
  <c r="O1695" i="2"/>
  <c r="N1696" i="2"/>
  <c r="O1696" i="2"/>
  <c r="N1697" i="2"/>
  <c r="O1697" i="2"/>
  <c r="N1698" i="2"/>
  <c r="O1698" i="2"/>
  <c r="N1699" i="2"/>
  <c r="O1699" i="2"/>
  <c r="N1700" i="2"/>
  <c r="O1700" i="2"/>
  <c r="N1701" i="2"/>
  <c r="O1701" i="2"/>
  <c r="N1702" i="2"/>
  <c r="O1702" i="2"/>
  <c r="N1703" i="2"/>
  <c r="O1703" i="2"/>
  <c r="N1704" i="2"/>
  <c r="O1704" i="2"/>
  <c r="N1705" i="2"/>
  <c r="O1705" i="2"/>
  <c r="N1706" i="2"/>
  <c r="O1706" i="2"/>
  <c r="N1707" i="2"/>
  <c r="O1707" i="2"/>
  <c r="N1708" i="2"/>
  <c r="O1708" i="2"/>
  <c r="N1709" i="2"/>
  <c r="O1709" i="2"/>
  <c r="N1710" i="2"/>
  <c r="O1710" i="2"/>
  <c r="N1711" i="2"/>
  <c r="O1711" i="2"/>
  <c r="N1712" i="2"/>
  <c r="O1712" i="2"/>
  <c r="N1713" i="2"/>
  <c r="O1713" i="2"/>
  <c r="N1714" i="2"/>
  <c r="O1714" i="2"/>
  <c r="N1715" i="2"/>
  <c r="O1715" i="2"/>
  <c r="N1716" i="2"/>
  <c r="O1716" i="2"/>
  <c r="N1717" i="2"/>
  <c r="O1717" i="2"/>
  <c r="N1718" i="2"/>
  <c r="O1718" i="2"/>
  <c r="N1719" i="2"/>
  <c r="O1719" i="2"/>
  <c r="N1720" i="2"/>
  <c r="O1720" i="2"/>
  <c r="N1721" i="2"/>
  <c r="O1721" i="2"/>
  <c r="N1722" i="2"/>
  <c r="O1722" i="2"/>
  <c r="N1723" i="2"/>
  <c r="O1723" i="2"/>
  <c r="N1724" i="2"/>
  <c r="O1724" i="2"/>
  <c r="N1725" i="2"/>
  <c r="O1725" i="2"/>
  <c r="N1726" i="2"/>
  <c r="O1726" i="2"/>
  <c r="N1727" i="2"/>
  <c r="O1727" i="2"/>
  <c r="N1728" i="2"/>
  <c r="O1728" i="2"/>
  <c r="N1729" i="2"/>
  <c r="O1729" i="2"/>
  <c r="N1730" i="2"/>
  <c r="O1730" i="2"/>
  <c r="N1731" i="2"/>
  <c r="O1731" i="2"/>
  <c r="N1732" i="2"/>
  <c r="O1732" i="2"/>
  <c r="N1733" i="2"/>
  <c r="O1733" i="2"/>
  <c r="N1734" i="2"/>
  <c r="O1734" i="2"/>
  <c r="N1735" i="2"/>
  <c r="O1735" i="2"/>
  <c r="N1736" i="2"/>
  <c r="O1736" i="2"/>
  <c r="N1737" i="2"/>
  <c r="O1737" i="2"/>
  <c r="N1738" i="2"/>
  <c r="O1738" i="2"/>
  <c r="N1739" i="2"/>
  <c r="O1739" i="2"/>
  <c r="N1740" i="2"/>
  <c r="O1740" i="2"/>
  <c r="N1741" i="2"/>
  <c r="O1741" i="2"/>
  <c r="N1742" i="2"/>
  <c r="O1742" i="2"/>
  <c r="N1743" i="2"/>
  <c r="O1743" i="2"/>
  <c r="N1744" i="2"/>
  <c r="O1744" i="2"/>
  <c r="N1745" i="2"/>
  <c r="O1745" i="2"/>
  <c r="N1746" i="2"/>
  <c r="O1746" i="2"/>
  <c r="N1747" i="2"/>
  <c r="O1747" i="2"/>
  <c r="N1748" i="2"/>
  <c r="O1748" i="2"/>
  <c r="N1749" i="2"/>
  <c r="O1749" i="2"/>
  <c r="N1750" i="2"/>
  <c r="O1750" i="2"/>
  <c r="N1751" i="2"/>
  <c r="O1751" i="2"/>
  <c r="N1752" i="2"/>
  <c r="O1752" i="2"/>
  <c r="N1753" i="2"/>
  <c r="O1753" i="2"/>
  <c r="N1754" i="2"/>
  <c r="O1754" i="2"/>
  <c r="N1755" i="2"/>
  <c r="O1755" i="2"/>
  <c r="N1756" i="2"/>
  <c r="O1756" i="2"/>
  <c r="N1757" i="2"/>
  <c r="O1757" i="2"/>
  <c r="N1758" i="2"/>
  <c r="O1758" i="2"/>
  <c r="N1759" i="2"/>
  <c r="O1759" i="2"/>
  <c r="N1760" i="2"/>
  <c r="O1760" i="2"/>
  <c r="N1761" i="2"/>
  <c r="O1761" i="2"/>
  <c r="N1762" i="2"/>
  <c r="O1762" i="2"/>
  <c r="N1763" i="2"/>
  <c r="O1763" i="2"/>
  <c r="N1764" i="2"/>
  <c r="O1764" i="2"/>
  <c r="N1765" i="2"/>
  <c r="O1765" i="2"/>
  <c r="N1766" i="2"/>
  <c r="O1766" i="2"/>
  <c r="N1767" i="2"/>
  <c r="O1767" i="2"/>
  <c r="N1768" i="2"/>
  <c r="O1768" i="2"/>
  <c r="N1769" i="2"/>
  <c r="O1769" i="2"/>
  <c r="N1770" i="2"/>
  <c r="O1770" i="2"/>
  <c r="N1771" i="2"/>
  <c r="O1771" i="2"/>
  <c r="N1772" i="2"/>
  <c r="O1772" i="2"/>
  <c r="N1773" i="2"/>
  <c r="O1773" i="2"/>
  <c r="N1774" i="2"/>
  <c r="O1774" i="2"/>
  <c r="N1775" i="2"/>
  <c r="O1775" i="2"/>
  <c r="N1776" i="2"/>
  <c r="O1776" i="2"/>
  <c r="N1777" i="2"/>
  <c r="O1777" i="2"/>
  <c r="N1778" i="2"/>
  <c r="O1778" i="2"/>
  <c r="N1779" i="2"/>
  <c r="O1779" i="2"/>
  <c r="N1780" i="2"/>
  <c r="O1780" i="2"/>
  <c r="N1781" i="2"/>
  <c r="O1781" i="2"/>
  <c r="N1782" i="2"/>
  <c r="O1782" i="2"/>
  <c r="N1783" i="2"/>
  <c r="O1783" i="2"/>
  <c r="N1784" i="2"/>
  <c r="O1784" i="2"/>
  <c r="N1785" i="2"/>
  <c r="O1785" i="2"/>
  <c r="N1786" i="2"/>
  <c r="O1786" i="2"/>
  <c r="N1787" i="2"/>
  <c r="O1787" i="2"/>
  <c r="N1788" i="2"/>
  <c r="O1788" i="2"/>
  <c r="N1789" i="2"/>
  <c r="O1789" i="2"/>
  <c r="N1790" i="2"/>
  <c r="O1790" i="2"/>
  <c r="N1791" i="2"/>
  <c r="O1791" i="2"/>
  <c r="N1792" i="2"/>
  <c r="O1792" i="2"/>
  <c r="N1793" i="2"/>
  <c r="O1793" i="2"/>
  <c r="N1794" i="2"/>
  <c r="O1794" i="2"/>
  <c r="N1795" i="2"/>
  <c r="O1795" i="2"/>
  <c r="N1796" i="2"/>
  <c r="O1796" i="2"/>
  <c r="N1797" i="2"/>
  <c r="O1797" i="2"/>
  <c r="N1798" i="2"/>
  <c r="O1798" i="2"/>
  <c r="N1799" i="2"/>
  <c r="O1799" i="2"/>
  <c r="N1800" i="2"/>
  <c r="O1800" i="2"/>
  <c r="N1801" i="2"/>
  <c r="O1801" i="2"/>
  <c r="N1802" i="2"/>
  <c r="O1802" i="2"/>
  <c r="N1803" i="2"/>
  <c r="O1803" i="2"/>
  <c r="N1804" i="2"/>
  <c r="O1804" i="2"/>
  <c r="N1805" i="2"/>
  <c r="O1805" i="2"/>
  <c r="N1806" i="2"/>
  <c r="O1806" i="2"/>
  <c r="N1807" i="2"/>
  <c r="O1807" i="2"/>
  <c r="N1808" i="2"/>
  <c r="O1808" i="2"/>
  <c r="N1809" i="2"/>
  <c r="O1809" i="2"/>
  <c r="N1810" i="2"/>
  <c r="O1810" i="2"/>
  <c r="N1811" i="2"/>
  <c r="O1811" i="2"/>
  <c r="N1812" i="2"/>
  <c r="O1812" i="2"/>
  <c r="N1813" i="2"/>
  <c r="O1813" i="2"/>
  <c r="N1814" i="2"/>
  <c r="O1814" i="2"/>
  <c r="N1815" i="2"/>
  <c r="O1815" i="2"/>
  <c r="N1816" i="2"/>
  <c r="O1816" i="2"/>
  <c r="N1817" i="2"/>
  <c r="O1817" i="2"/>
  <c r="N1818" i="2"/>
  <c r="O1818" i="2"/>
  <c r="N1819" i="2"/>
  <c r="O1819" i="2"/>
  <c r="N1820" i="2"/>
  <c r="O1820" i="2"/>
  <c r="N1821" i="2"/>
  <c r="O1821" i="2"/>
  <c r="N1822" i="2"/>
  <c r="O1822" i="2"/>
  <c r="N1823" i="2"/>
  <c r="O1823" i="2"/>
  <c r="N1824" i="2"/>
  <c r="O1824" i="2"/>
  <c r="N1825" i="2"/>
  <c r="O1825" i="2"/>
  <c r="N1826" i="2"/>
  <c r="O1826" i="2"/>
  <c r="N1827" i="2"/>
  <c r="O1827" i="2"/>
  <c r="N1828" i="2"/>
  <c r="O1828" i="2"/>
  <c r="N1829" i="2"/>
  <c r="O1829" i="2"/>
  <c r="N1830" i="2"/>
  <c r="O1830" i="2"/>
  <c r="N1831" i="2"/>
  <c r="O1831" i="2"/>
  <c r="N1832" i="2"/>
  <c r="O1832" i="2"/>
  <c r="N1833" i="2"/>
  <c r="O1833" i="2"/>
  <c r="N1834" i="2"/>
  <c r="O1834" i="2"/>
  <c r="N1835" i="2"/>
  <c r="O1835" i="2"/>
  <c r="N1836" i="2"/>
  <c r="O1836" i="2"/>
  <c r="N1837" i="2"/>
  <c r="O1837" i="2"/>
  <c r="N1838" i="2"/>
  <c r="O1838" i="2"/>
  <c r="N1839" i="2"/>
  <c r="O1839" i="2"/>
  <c r="N1840" i="2"/>
  <c r="O1840" i="2"/>
  <c r="N1841" i="2"/>
  <c r="O1841" i="2"/>
  <c r="N1842" i="2"/>
  <c r="O1842" i="2"/>
  <c r="N1843" i="2"/>
  <c r="O1843" i="2"/>
  <c r="N1844" i="2"/>
  <c r="O1844" i="2"/>
  <c r="N1845" i="2"/>
  <c r="O1845" i="2"/>
  <c r="N1846" i="2"/>
  <c r="O1846" i="2"/>
  <c r="N1847" i="2"/>
  <c r="O1847" i="2"/>
  <c r="N1848" i="2"/>
  <c r="O1848" i="2"/>
  <c r="N1849" i="2"/>
  <c r="O1849" i="2"/>
  <c r="N1850" i="2"/>
  <c r="O1850" i="2"/>
  <c r="N1851" i="2"/>
  <c r="O1851" i="2"/>
  <c r="N1852" i="2"/>
  <c r="O1852" i="2"/>
  <c r="N1853" i="2"/>
  <c r="O1853" i="2"/>
  <c r="N1854" i="2"/>
  <c r="O1854" i="2"/>
  <c r="N1855" i="2"/>
  <c r="O1855" i="2"/>
  <c r="N1856" i="2"/>
  <c r="O1856" i="2"/>
  <c r="N1857" i="2"/>
  <c r="O1857" i="2"/>
  <c r="N1858" i="2"/>
  <c r="O1858" i="2"/>
  <c r="N1859" i="2"/>
  <c r="O1859" i="2"/>
  <c r="N1860" i="2"/>
  <c r="O1860" i="2"/>
  <c r="N1861" i="2"/>
  <c r="O1861" i="2"/>
  <c r="N1862" i="2"/>
  <c r="O1862" i="2"/>
  <c r="N1863" i="2"/>
  <c r="O1863" i="2"/>
  <c r="N1864" i="2"/>
  <c r="O1864" i="2"/>
  <c r="N1865" i="2"/>
  <c r="O1865" i="2"/>
  <c r="N1866" i="2"/>
  <c r="O1866" i="2"/>
  <c r="N1867" i="2"/>
  <c r="O1867" i="2"/>
  <c r="N1868" i="2"/>
  <c r="O1868" i="2"/>
  <c r="N1869" i="2"/>
  <c r="O1869" i="2"/>
  <c r="N1870" i="2"/>
  <c r="O1870" i="2"/>
  <c r="N1871" i="2"/>
  <c r="O1871" i="2"/>
  <c r="N1872" i="2"/>
  <c r="O1872" i="2"/>
  <c r="N1873" i="2"/>
  <c r="O1873" i="2"/>
  <c r="N1874" i="2"/>
  <c r="O1874" i="2"/>
  <c r="N1875" i="2"/>
  <c r="O1875" i="2"/>
  <c r="N1876" i="2"/>
  <c r="O1876" i="2"/>
  <c r="N1877" i="2"/>
  <c r="O1877" i="2"/>
  <c r="N1878" i="2"/>
  <c r="O1878" i="2"/>
  <c r="N1879" i="2"/>
  <c r="O1879" i="2"/>
  <c r="N1880" i="2"/>
  <c r="O1880" i="2"/>
  <c r="N1881" i="2"/>
  <c r="O1881" i="2"/>
  <c r="N1882" i="2"/>
  <c r="O1882" i="2"/>
  <c r="N1883" i="2"/>
  <c r="O1883" i="2"/>
  <c r="N1884" i="2"/>
  <c r="O1884" i="2"/>
  <c r="N1885" i="2"/>
  <c r="O1885" i="2"/>
  <c r="N1886" i="2"/>
  <c r="O1886" i="2"/>
  <c r="N1887" i="2"/>
  <c r="O1887" i="2"/>
  <c r="N1888" i="2"/>
  <c r="O1888" i="2"/>
  <c r="N1889" i="2"/>
  <c r="O1889" i="2"/>
  <c r="N1890" i="2"/>
  <c r="O1890" i="2"/>
  <c r="N1891" i="2"/>
  <c r="O1891" i="2"/>
  <c r="N1892" i="2"/>
  <c r="O1892" i="2"/>
  <c r="N1893" i="2"/>
  <c r="O1893" i="2"/>
  <c r="N1894" i="2"/>
  <c r="O1894" i="2"/>
  <c r="N1895" i="2"/>
  <c r="O1895" i="2"/>
  <c r="N1896" i="2"/>
  <c r="O1896" i="2"/>
  <c r="N1897" i="2"/>
  <c r="O1897" i="2"/>
  <c r="N1898" i="2"/>
  <c r="O1898" i="2"/>
  <c r="N1899" i="2"/>
  <c r="O1899" i="2"/>
  <c r="N1900" i="2"/>
  <c r="O1900" i="2"/>
  <c r="N1901" i="2"/>
  <c r="O1901" i="2"/>
  <c r="N1902" i="2"/>
  <c r="O1902" i="2"/>
  <c r="N1903" i="2"/>
  <c r="O1903" i="2"/>
  <c r="N1904" i="2"/>
  <c r="O1904" i="2"/>
  <c r="N1905" i="2"/>
  <c r="O1905" i="2"/>
  <c r="N1906" i="2"/>
  <c r="O1906" i="2"/>
  <c r="N1907" i="2"/>
  <c r="O1907" i="2"/>
  <c r="N1908" i="2"/>
  <c r="O1908" i="2"/>
  <c r="N1909" i="2"/>
  <c r="O1909" i="2"/>
  <c r="N1910" i="2"/>
  <c r="O1910" i="2"/>
  <c r="N1911" i="2"/>
  <c r="O1911" i="2"/>
  <c r="N1912" i="2"/>
  <c r="O1912" i="2"/>
  <c r="N1913" i="2"/>
  <c r="O1913" i="2"/>
  <c r="N1914" i="2"/>
  <c r="O1914" i="2"/>
  <c r="N1915" i="2"/>
  <c r="O1915" i="2"/>
  <c r="N1916" i="2"/>
  <c r="O1916" i="2"/>
  <c r="N1917" i="2"/>
  <c r="O1917" i="2"/>
  <c r="N1918" i="2"/>
  <c r="O1918" i="2"/>
  <c r="N1919" i="2"/>
  <c r="O1919" i="2"/>
  <c r="N1920" i="2"/>
  <c r="O1920" i="2"/>
  <c r="N1921" i="2"/>
  <c r="O1921" i="2"/>
  <c r="N1922" i="2"/>
  <c r="O1922" i="2"/>
  <c r="N1923" i="2"/>
  <c r="O1923" i="2"/>
  <c r="N1924" i="2"/>
  <c r="O1924" i="2"/>
  <c r="N1925" i="2"/>
  <c r="O1925" i="2"/>
  <c r="N1926" i="2"/>
  <c r="O1926" i="2"/>
  <c r="N1927" i="2"/>
  <c r="O1927" i="2"/>
  <c r="N1928" i="2"/>
  <c r="O1928" i="2"/>
  <c r="N1929" i="2"/>
  <c r="O1929" i="2"/>
  <c r="N1930" i="2"/>
  <c r="O1930" i="2"/>
  <c r="N1931" i="2"/>
  <c r="O1931" i="2"/>
  <c r="N1932" i="2"/>
  <c r="O1932" i="2"/>
  <c r="N1933" i="2"/>
  <c r="O1933" i="2"/>
  <c r="N1934" i="2"/>
  <c r="O1934" i="2"/>
  <c r="N1935" i="2"/>
  <c r="O1935" i="2"/>
  <c r="N1936" i="2"/>
  <c r="O1936" i="2"/>
  <c r="N1937" i="2"/>
  <c r="O1937" i="2"/>
  <c r="N1938" i="2"/>
  <c r="O1938" i="2"/>
  <c r="N1939" i="2"/>
  <c r="O1939" i="2"/>
  <c r="N1940" i="2"/>
  <c r="O1940" i="2"/>
  <c r="N1941" i="2"/>
  <c r="O1941" i="2"/>
  <c r="N1942" i="2"/>
  <c r="O1942" i="2"/>
  <c r="N1943" i="2"/>
  <c r="O1943" i="2"/>
  <c r="N1944" i="2"/>
  <c r="O1944" i="2"/>
  <c r="N1945" i="2"/>
  <c r="O1945" i="2"/>
  <c r="N1946" i="2"/>
  <c r="O1946" i="2"/>
  <c r="N1947" i="2"/>
  <c r="O1947" i="2"/>
  <c r="N1948" i="2"/>
  <c r="O1948" i="2"/>
  <c r="N1949" i="2"/>
  <c r="O1949" i="2"/>
  <c r="N1950" i="2"/>
  <c r="O1950" i="2"/>
  <c r="N1951" i="2"/>
  <c r="O1951" i="2"/>
  <c r="N1952" i="2"/>
  <c r="O1952" i="2"/>
  <c r="N1953" i="2"/>
  <c r="O1953" i="2"/>
  <c r="N1954" i="2"/>
  <c r="O1954" i="2"/>
  <c r="N1955" i="2"/>
  <c r="O1955" i="2"/>
  <c r="N1956" i="2"/>
  <c r="O1956" i="2"/>
  <c r="N1957" i="2"/>
  <c r="O1957" i="2"/>
  <c r="N1958" i="2"/>
  <c r="O1958" i="2"/>
  <c r="N1959" i="2"/>
  <c r="O1959" i="2"/>
  <c r="N1960" i="2"/>
  <c r="O1960" i="2"/>
  <c r="N1961" i="2"/>
  <c r="O1961" i="2"/>
  <c r="N1962" i="2"/>
  <c r="O1962" i="2"/>
  <c r="N1963" i="2"/>
  <c r="O1963" i="2"/>
  <c r="N1964" i="2"/>
  <c r="O1964" i="2"/>
  <c r="N1965" i="2"/>
  <c r="O1965" i="2"/>
  <c r="N1966" i="2"/>
  <c r="O1966" i="2"/>
  <c r="N1967" i="2"/>
  <c r="O1967" i="2"/>
  <c r="N1968" i="2"/>
  <c r="O1968" i="2"/>
  <c r="N1969" i="2"/>
  <c r="O1969" i="2"/>
  <c r="N1970" i="2"/>
  <c r="O1970" i="2"/>
  <c r="N1971" i="2"/>
  <c r="O1971" i="2"/>
  <c r="N1972" i="2"/>
  <c r="O1972" i="2"/>
  <c r="N1973" i="2"/>
  <c r="O1973" i="2"/>
  <c r="N1974" i="2"/>
  <c r="O1974" i="2"/>
  <c r="N1975" i="2"/>
  <c r="O1975" i="2"/>
  <c r="N1976" i="2"/>
  <c r="O1976" i="2"/>
  <c r="N1977" i="2"/>
  <c r="O1977" i="2"/>
  <c r="N1978" i="2"/>
  <c r="O1978" i="2"/>
  <c r="N1979" i="2"/>
  <c r="O1979" i="2"/>
  <c r="N1980" i="2"/>
  <c r="O1980" i="2"/>
  <c r="N1981" i="2"/>
  <c r="O1981" i="2"/>
  <c r="N1982" i="2"/>
  <c r="O1982" i="2"/>
  <c r="N1983" i="2"/>
  <c r="O1983" i="2"/>
  <c r="N1984" i="2"/>
  <c r="O1984" i="2"/>
  <c r="N1985" i="2"/>
  <c r="O1985" i="2"/>
  <c r="N1986" i="2"/>
  <c r="O1986" i="2"/>
  <c r="N1987" i="2"/>
  <c r="O1987" i="2"/>
  <c r="N1988" i="2"/>
  <c r="O1988" i="2"/>
  <c r="N1989" i="2"/>
  <c r="O1989" i="2"/>
  <c r="N1990" i="2"/>
  <c r="O1990" i="2"/>
  <c r="N1991" i="2"/>
  <c r="O1991" i="2"/>
  <c r="N1992" i="2"/>
  <c r="O1992" i="2"/>
  <c r="N1993" i="2"/>
  <c r="O1993" i="2"/>
  <c r="N1994" i="2"/>
  <c r="O1994" i="2"/>
  <c r="N1995" i="2"/>
  <c r="O1995" i="2"/>
  <c r="N1996" i="2"/>
  <c r="O1996" i="2"/>
  <c r="N1997" i="2"/>
  <c r="O1997" i="2"/>
  <c r="N1998" i="2"/>
  <c r="O1998" i="2"/>
  <c r="N1999" i="2"/>
  <c r="O1999" i="2"/>
  <c r="N2000" i="2"/>
  <c r="O2000" i="2"/>
  <c r="N2001" i="2"/>
  <c r="O2001" i="2"/>
  <c r="N2002" i="2"/>
  <c r="O2002" i="2"/>
  <c r="N2003" i="2"/>
  <c r="O2003" i="2"/>
  <c r="N2004" i="2"/>
  <c r="O2004" i="2"/>
  <c r="N2005" i="2"/>
  <c r="O2005" i="2"/>
  <c r="N2006" i="2"/>
  <c r="O2006" i="2"/>
  <c r="N2007" i="2"/>
  <c r="O2007" i="2"/>
  <c r="N2008" i="2"/>
  <c r="O2008" i="2"/>
  <c r="N2009" i="2"/>
  <c r="O2009" i="2"/>
  <c r="N2010" i="2"/>
  <c r="O2010" i="2"/>
  <c r="N2011" i="2"/>
  <c r="O2011" i="2"/>
  <c r="N2012" i="2"/>
  <c r="O2012" i="2"/>
  <c r="N2013" i="2"/>
  <c r="O2013" i="2"/>
  <c r="N2014" i="2"/>
  <c r="O2014" i="2"/>
  <c r="N2015" i="2"/>
  <c r="O2015" i="2"/>
  <c r="N2016" i="2"/>
  <c r="O2016" i="2"/>
  <c r="N2017" i="2"/>
  <c r="O2017" i="2"/>
  <c r="N2018" i="2"/>
  <c r="O2018" i="2"/>
  <c r="N2019" i="2"/>
  <c r="O2019" i="2"/>
  <c r="N2020" i="2"/>
  <c r="O2020" i="2"/>
  <c r="N2021" i="2"/>
  <c r="O2021" i="2"/>
  <c r="N2022" i="2"/>
  <c r="O2022" i="2"/>
  <c r="N2023" i="2"/>
  <c r="O2023" i="2"/>
  <c r="N2024" i="2"/>
  <c r="O2024" i="2"/>
  <c r="N2025" i="2"/>
  <c r="O2025" i="2"/>
  <c r="N2026" i="2"/>
  <c r="O2026" i="2"/>
  <c r="N2027" i="2"/>
  <c r="O2027" i="2"/>
  <c r="N2028" i="2"/>
  <c r="O2028" i="2"/>
  <c r="N2029" i="2"/>
  <c r="O2029" i="2"/>
  <c r="N2030" i="2"/>
  <c r="O2030" i="2"/>
  <c r="N2031" i="2"/>
  <c r="O2031" i="2"/>
  <c r="N2032" i="2"/>
  <c r="O2032" i="2"/>
  <c r="N2033" i="2"/>
  <c r="O2033" i="2"/>
  <c r="N2034" i="2"/>
  <c r="O2034" i="2"/>
  <c r="N2035" i="2"/>
  <c r="O2035" i="2"/>
  <c r="N2036" i="2"/>
  <c r="O2036" i="2"/>
  <c r="N2037" i="2"/>
  <c r="O2037" i="2"/>
  <c r="N2038" i="2"/>
  <c r="O2038" i="2"/>
  <c r="N2039" i="2"/>
  <c r="O2039" i="2"/>
  <c r="N2040" i="2"/>
  <c r="O2040" i="2"/>
  <c r="N2041" i="2"/>
  <c r="O2041" i="2"/>
  <c r="N2042" i="2"/>
  <c r="O2042" i="2"/>
  <c r="N2043" i="2"/>
  <c r="O2043" i="2"/>
  <c r="N2044" i="2"/>
  <c r="O2044" i="2"/>
  <c r="N2045" i="2"/>
  <c r="O2045" i="2"/>
  <c r="N2046" i="2"/>
  <c r="O2046" i="2"/>
  <c r="N2047" i="2"/>
  <c r="O2047" i="2"/>
  <c r="N2048" i="2"/>
  <c r="O2048" i="2"/>
  <c r="N2049" i="2"/>
  <c r="O2049" i="2"/>
  <c r="N2050" i="2"/>
  <c r="O2050" i="2"/>
  <c r="N2051" i="2"/>
  <c r="O2051" i="2"/>
  <c r="N2052" i="2"/>
  <c r="O2052" i="2"/>
  <c r="N2053" i="2"/>
  <c r="O2053" i="2"/>
  <c r="N2054" i="2"/>
  <c r="O2054" i="2"/>
  <c r="N2055" i="2"/>
  <c r="O2055" i="2"/>
  <c r="N2056" i="2"/>
  <c r="O2056" i="2"/>
  <c r="N2057" i="2"/>
  <c r="O2057" i="2"/>
  <c r="N2058" i="2"/>
  <c r="O2058" i="2"/>
  <c r="N2059" i="2"/>
  <c r="O2059" i="2"/>
  <c r="N2060" i="2"/>
  <c r="O2060" i="2"/>
  <c r="N2061" i="2"/>
  <c r="O2061" i="2"/>
  <c r="N2062" i="2"/>
  <c r="O2062" i="2"/>
  <c r="N2063" i="2"/>
  <c r="O2063" i="2"/>
  <c r="N2064" i="2"/>
  <c r="O2064" i="2"/>
  <c r="N2065" i="2"/>
  <c r="O2065" i="2"/>
  <c r="N2066" i="2"/>
  <c r="O2066" i="2"/>
  <c r="N2067" i="2"/>
  <c r="O2067" i="2"/>
  <c r="N2068" i="2"/>
  <c r="O2068" i="2"/>
  <c r="N2069" i="2"/>
  <c r="O2069" i="2"/>
  <c r="N2070" i="2"/>
  <c r="O2070" i="2"/>
  <c r="N2071" i="2"/>
  <c r="O2071" i="2"/>
  <c r="N2072" i="2"/>
  <c r="O2072" i="2"/>
  <c r="N2073" i="2"/>
  <c r="O2073" i="2"/>
  <c r="N2074" i="2"/>
  <c r="O2074" i="2"/>
  <c r="N2075" i="2"/>
  <c r="O2075" i="2"/>
  <c r="N2076" i="2"/>
  <c r="O2076" i="2"/>
  <c r="N2077" i="2"/>
  <c r="O2077" i="2"/>
  <c r="N2078" i="2"/>
  <c r="O2078" i="2"/>
  <c r="N2079" i="2"/>
  <c r="O2079" i="2"/>
  <c r="N2080" i="2"/>
  <c r="O2080" i="2"/>
  <c r="N2081" i="2"/>
  <c r="O2081" i="2"/>
  <c r="N2082" i="2"/>
  <c r="O2082" i="2"/>
  <c r="N2083" i="2"/>
  <c r="O2083" i="2"/>
  <c r="N2084" i="2"/>
  <c r="O2084" i="2"/>
  <c r="N2085" i="2"/>
  <c r="O2085" i="2"/>
  <c r="N2086" i="2"/>
  <c r="O2086" i="2"/>
  <c r="N2087" i="2"/>
  <c r="O2087" i="2"/>
  <c r="N2088" i="2"/>
  <c r="O2088" i="2"/>
  <c r="N2089" i="2"/>
  <c r="O2089" i="2"/>
  <c r="N2090" i="2"/>
  <c r="O2090" i="2"/>
  <c r="N2091" i="2"/>
  <c r="O2091" i="2"/>
  <c r="N2092" i="2"/>
  <c r="O2092" i="2"/>
  <c r="N2093" i="2"/>
  <c r="O2093" i="2"/>
  <c r="N2094" i="2"/>
  <c r="O2094" i="2"/>
  <c r="N2095" i="2"/>
  <c r="O2095" i="2"/>
  <c r="N2096" i="2"/>
  <c r="O2096" i="2"/>
  <c r="N2097" i="2"/>
  <c r="O2097" i="2"/>
  <c r="N2098" i="2"/>
  <c r="O2098" i="2"/>
  <c r="N2099" i="2"/>
  <c r="O2099" i="2"/>
  <c r="N2100" i="2"/>
  <c r="O2100" i="2"/>
  <c r="N2101" i="2"/>
  <c r="O2101" i="2"/>
  <c r="N2102" i="2"/>
  <c r="O2102" i="2"/>
  <c r="N2103" i="2"/>
  <c r="O2103" i="2"/>
  <c r="N2104" i="2"/>
  <c r="O2104" i="2"/>
  <c r="N2105" i="2"/>
  <c r="O2105" i="2"/>
  <c r="N2106" i="2"/>
  <c r="O2106" i="2"/>
  <c r="N2107" i="2"/>
  <c r="O2107" i="2"/>
  <c r="N2108" i="2"/>
  <c r="O2108" i="2"/>
  <c r="N2109" i="2"/>
  <c r="O2109" i="2"/>
  <c r="N2110" i="2"/>
  <c r="O2110" i="2"/>
  <c r="N2111" i="2"/>
  <c r="O2111" i="2"/>
  <c r="N2112" i="2"/>
  <c r="O2112" i="2"/>
  <c r="N2113" i="2"/>
  <c r="O2113" i="2"/>
  <c r="N2114" i="2"/>
  <c r="O2114" i="2"/>
  <c r="N2115" i="2"/>
  <c r="O2115" i="2"/>
  <c r="N2116" i="2"/>
  <c r="O2116" i="2"/>
  <c r="N2117" i="2"/>
  <c r="O2117" i="2"/>
  <c r="N2118" i="2"/>
  <c r="O2118" i="2"/>
  <c r="N2119" i="2"/>
  <c r="O2119" i="2"/>
  <c r="N2120" i="2"/>
  <c r="O2120" i="2"/>
  <c r="N2121" i="2"/>
  <c r="O2121" i="2"/>
  <c r="N2122" i="2"/>
  <c r="O2122" i="2"/>
  <c r="N2123" i="2"/>
  <c r="O2123" i="2"/>
  <c r="N2124" i="2"/>
  <c r="O2124" i="2"/>
  <c r="N2125" i="2"/>
  <c r="O2125" i="2"/>
  <c r="N2126" i="2"/>
  <c r="O2126" i="2"/>
  <c r="N2127" i="2"/>
  <c r="O2127" i="2"/>
  <c r="N2128" i="2"/>
  <c r="O2128" i="2"/>
  <c r="N2129" i="2"/>
  <c r="O2129" i="2"/>
  <c r="N2130" i="2"/>
  <c r="O2130" i="2"/>
  <c r="N2131" i="2"/>
  <c r="O2131" i="2"/>
  <c r="N2132" i="2"/>
  <c r="O2132" i="2"/>
  <c r="N2133" i="2"/>
  <c r="O2133" i="2"/>
  <c r="N2134" i="2"/>
  <c r="O2134" i="2"/>
  <c r="N2135" i="2"/>
  <c r="O2135" i="2"/>
  <c r="N2136" i="2"/>
  <c r="O2136" i="2"/>
  <c r="N2137" i="2"/>
  <c r="O2137" i="2"/>
  <c r="N2138" i="2"/>
  <c r="O2138" i="2"/>
  <c r="N2139" i="2"/>
  <c r="O2139" i="2"/>
  <c r="N2140" i="2"/>
  <c r="O2140" i="2"/>
  <c r="N2141" i="2"/>
  <c r="O2141" i="2"/>
  <c r="N2142" i="2"/>
  <c r="O2142" i="2"/>
  <c r="N2143" i="2"/>
  <c r="O2143" i="2"/>
  <c r="N2144" i="2"/>
  <c r="O2144" i="2"/>
  <c r="N2145" i="2"/>
  <c r="O2145" i="2"/>
  <c r="N2146" i="2"/>
  <c r="O2146" i="2"/>
  <c r="N2147" i="2"/>
  <c r="O2147" i="2"/>
  <c r="N2148" i="2"/>
  <c r="O2148" i="2"/>
  <c r="N2149" i="2"/>
  <c r="O2149" i="2"/>
  <c r="N2150" i="2"/>
  <c r="O2150" i="2"/>
  <c r="N2151" i="2"/>
  <c r="O2151" i="2"/>
  <c r="N2152" i="2"/>
  <c r="O2152" i="2"/>
  <c r="N2153" i="2"/>
  <c r="O2153" i="2"/>
  <c r="N2154" i="2"/>
  <c r="O2154" i="2"/>
  <c r="N2155" i="2"/>
  <c r="O2155" i="2"/>
  <c r="N2156" i="2"/>
  <c r="O2156" i="2"/>
  <c r="N2157" i="2"/>
  <c r="O2157" i="2"/>
  <c r="N2158" i="2"/>
  <c r="O2158" i="2"/>
  <c r="N2159" i="2"/>
  <c r="O2159" i="2"/>
  <c r="N2160" i="2"/>
  <c r="O2160" i="2"/>
  <c r="N2161" i="2"/>
  <c r="O2161" i="2"/>
  <c r="N2162" i="2"/>
  <c r="O2162" i="2"/>
  <c r="N2163" i="2"/>
  <c r="O2163" i="2"/>
  <c r="N2164" i="2"/>
  <c r="O2164" i="2"/>
  <c r="N2165" i="2"/>
  <c r="O2165" i="2"/>
  <c r="N2166" i="2"/>
  <c r="O2166" i="2"/>
  <c r="N2167" i="2"/>
  <c r="O2167" i="2"/>
  <c r="N2168" i="2"/>
  <c r="O2168" i="2"/>
  <c r="N2169" i="2"/>
  <c r="O2169" i="2"/>
  <c r="N2170" i="2"/>
  <c r="O2170" i="2"/>
  <c r="N2171" i="2"/>
  <c r="O2171" i="2"/>
  <c r="N2172" i="2"/>
  <c r="O2172" i="2"/>
  <c r="N2173" i="2"/>
  <c r="O2173" i="2"/>
  <c r="N2174" i="2"/>
  <c r="O2174" i="2"/>
  <c r="N2175" i="2"/>
  <c r="O2175" i="2"/>
  <c r="N2176" i="2"/>
  <c r="O2176" i="2"/>
  <c r="N2177" i="2"/>
  <c r="O2177" i="2"/>
  <c r="N2178" i="2"/>
  <c r="O2178" i="2"/>
  <c r="N2179" i="2"/>
  <c r="O2179" i="2"/>
  <c r="N2180" i="2"/>
  <c r="O2180" i="2"/>
  <c r="N2181" i="2"/>
  <c r="O2181" i="2"/>
  <c r="N2182" i="2"/>
  <c r="O2182" i="2"/>
  <c r="N2183" i="2"/>
  <c r="O2183" i="2"/>
  <c r="N2184" i="2"/>
  <c r="O2184" i="2"/>
  <c r="N2185" i="2"/>
  <c r="O2185" i="2"/>
  <c r="N2186" i="2"/>
  <c r="O2186" i="2"/>
  <c r="N2187" i="2"/>
  <c r="O2187" i="2"/>
  <c r="N2188" i="2"/>
  <c r="O2188" i="2"/>
  <c r="N2189" i="2"/>
  <c r="O2189" i="2"/>
  <c r="N2190" i="2"/>
  <c r="O2190" i="2"/>
  <c r="N2191" i="2"/>
  <c r="O2191" i="2"/>
  <c r="N2192" i="2"/>
  <c r="O2192" i="2"/>
  <c r="N2193" i="2"/>
  <c r="O2193" i="2"/>
  <c r="N2194" i="2"/>
  <c r="O2194" i="2"/>
  <c r="N2195" i="2"/>
  <c r="O2195" i="2"/>
  <c r="N2196" i="2"/>
  <c r="O2196" i="2"/>
  <c r="N2197" i="2"/>
  <c r="O2197" i="2"/>
  <c r="N2198" i="2"/>
  <c r="O2198" i="2"/>
  <c r="N2199" i="2"/>
  <c r="O2199" i="2"/>
  <c r="N2200" i="2"/>
  <c r="O2200" i="2"/>
  <c r="N2201" i="2"/>
  <c r="O2201" i="2"/>
  <c r="N2202" i="2"/>
  <c r="O2202" i="2"/>
  <c r="N2203" i="2"/>
  <c r="O2203" i="2"/>
  <c r="N2204" i="2"/>
  <c r="O2204" i="2"/>
  <c r="N2205" i="2"/>
  <c r="O2205" i="2"/>
  <c r="N2206" i="2"/>
  <c r="O2206" i="2"/>
  <c r="N2207" i="2"/>
  <c r="O2207" i="2"/>
  <c r="N2208" i="2"/>
  <c r="O2208" i="2"/>
  <c r="N2209" i="2"/>
  <c r="O2209" i="2"/>
  <c r="N2210" i="2"/>
  <c r="O2210" i="2"/>
  <c r="N2211" i="2"/>
  <c r="O2211" i="2"/>
  <c r="N2212" i="2"/>
  <c r="O2212" i="2"/>
  <c r="N2213" i="2"/>
  <c r="O2213" i="2"/>
  <c r="N2214" i="2"/>
  <c r="O2214" i="2"/>
  <c r="N2215" i="2"/>
  <c r="O2215" i="2"/>
  <c r="N2216" i="2"/>
  <c r="O2216" i="2"/>
  <c r="N2217" i="2"/>
  <c r="O2217" i="2"/>
  <c r="N2218" i="2"/>
  <c r="O2218" i="2"/>
  <c r="N2219" i="2"/>
  <c r="O2219" i="2"/>
  <c r="N2220" i="2"/>
  <c r="O2220" i="2"/>
  <c r="N2221" i="2"/>
  <c r="O2221" i="2"/>
  <c r="N2222" i="2"/>
  <c r="O2222" i="2"/>
  <c r="N2223" i="2"/>
  <c r="O2223" i="2"/>
  <c r="N2224" i="2"/>
  <c r="O2224" i="2"/>
  <c r="N2225" i="2"/>
  <c r="O2225" i="2"/>
  <c r="N2226" i="2"/>
  <c r="O2226" i="2"/>
  <c r="N2227" i="2"/>
  <c r="O2227" i="2"/>
  <c r="N2228" i="2"/>
  <c r="O2228" i="2"/>
  <c r="N2229" i="2"/>
  <c r="O2229" i="2"/>
  <c r="N2230" i="2"/>
  <c r="O2230" i="2"/>
  <c r="N2231" i="2"/>
  <c r="O2231" i="2"/>
  <c r="N2232" i="2"/>
  <c r="O2232" i="2"/>
  <c r="N2233" i="2"/>
  <c r="O2233" i="2"/>
  <c r="N2234" i="2"/>
  <c r="O2234" i="2"/>
  <c r="N2235" i="2"/>
  <c r="O2235" i="2"/>
  <c r="N2236" i="2"/>
  <c r="O2236" i="2"/>
  <c r="N2237" i="2"/>
  <c r="O2237" i="2"/>
  <c r="N2238" i="2"/>
  <c r="O2238" i="2"/>
  <c r="N2239" i="2"/>
  <c r="O2239" i="2"/>
  <c r="N2240" i="2"/>
  <c r="O2240" i="2"/>
  <c r="N2241" i="2"/>
  <c r="O2241" i="2"/>
  <c r="N2242" i="2"/>
  <c r="O2242" i="2"/>
  <c r="N2243" i="2"/>
  <c r="O2243" i="2"/>
  <c r="N2244" i="2"/>
  <c r="O2244" i="2"/>
  <c r="N2245" i="2"/>
  <c r="O2245" i="2"/>
  <c r="N2246" i="2"/>
  <c r="O2246" i="2"/>
  <c r="N2247" i="2"/>
  <c r="O2247" i="2"/>
  <c r="N2248" i="2"/>
  <c r="O2248" i="2"/>
  <c r="N2249" i="2"/>
  <c r="O2249" i="2"/>
  <c r="N2250" i="2"/>
  <c r="O2250" i="2"/>
  <c r="N2251" i="2"/>
  <c r="O2251" i="2"/>
  <c r="N2252" i="2"/>
  <c r="O2252" i="2"/>
  <c r="N2253" i="2"/>
  <c r="O2253" i="2"/>
  <c r="N2254" i="2"/>
  <c r="O2254" i="2"/>
  <c r="N2255" i="2"/>
  <c r="O2255" i="2"/>
  <c r="N2256" i="2"/>
  <c r="O2256" i="2"/>
  <c r="N2257" i="2"/>
  <c r="O2257" i="2"/>
  <c r="N2258" i="2"/>
  <c r="O2258" i="2"/>
  <c r="N2259" i="2"/>
  <c r="O2259" i="2"/>
  <c r="N2260" i="2"/>
  <c r="O2260" i="2"/>
  <c r="N2261" i="2"/>
  <c r="O2261" i="2"/>
  <c r="N2262" i="2"/>
  <c r="O2262" i="2"/>
  <c r="N2263" i="2"/>
  <c r="O2263" i="2"/>
  <c r="N2264" i="2"/>
  <c r="O2264" i="2"/>
  <c r="N2265" i="2"/>
  <c r="O2265" i="2"/>
  <c r="N2266" i="2"/>
  <c r="O2266" i="2"/>
  <c r="N2267" i="2"/>
  <c r="O2267" i="2"/>
  <c r="N2268" i="2"/>
  <c r="O2268" i="2"/>
  <c r="N2269" i="2"/>
  <c r="O2269" i="2"/>
  <c r="N2270" i="2"/>
  <c r="O2270" i="2"/>
  <c r="N2271" i="2"/>
  <c r="O2271" i="2"/>
  <c r="N2272" i="2"/>
  <c r="O2272" i="2"/>
  <c r="N2273" i="2"/>
  <c r="O2273" i="2"/>
  <c r="N2274" i="2"/>
  <c r="O2274" i="2"/>
  <c r="N2275" i="2"/>
  <c r="O2275" i="2"/>
  <c r="N2276" i="2"/>
  <c r="O2276" i="2"/>
  <c r="N2277" i="2"/>
  <c r="O2277" i="2"/>
  <c r="N2278" i="2"/>
  <c r="O2278" i="2"/>
  <c r="N2279" i="2"/>
  <c r="O2279" i="2"/>
  <c r="N2280" i="2"/>
  <c r="O2280" i="2"/>
  <c r="N2281" i="2"/>
  <c r="O2281" i="2"/>
  <c r="N2282" i="2"/>
  <c r="O2282" i="2"/>
  <c r="N2283" i="2"/>
  <c r="O2283" i="2"/>
  <c r="N2284" i="2"/>
  <c r="O2284" i="2"/>
  <c r="N2285" i="2"/>
  <c r="O2285" i="2"/>
  <c r="N2286" i="2"/>
  <c r="O2286" i="2"/>
  <c r="N2287" i="2"/>
  <c r="O2287" i="2"/>
  <c r="N2288" i="2"/>
  <c r="O2288" i="2"/>
  <c r="N2289" i="2"/>
  <c r="O2289" i="2"/>
  <c r="N2290" i="2"/>
  <c r="O2290" i="2"/>
  <c r="N2291" i="2"/>
  <c r="O2291" i="2"/>
  <c r="N2292" i="2"/>
  <c r="O2292" i="2"/>
  <c r="N2293" i="2"/>
  <c r="O2293" i="2"/>
  <c r="N2294" i="2"/>
  <c r="O2294" i="2"/>
  <c r="N2295" i="2"/>
  <c r="O2295" i="2"/>
  <c r="N2296" i="2"/>
  <c r="O2296" i="2"/>
  <c r="N2297" i="2"/>
  <c r="O2297" i="2"/>
  <c r="N2298" i="2"/>
  <c r="O2298" i="2"/>
  <c r="N2299" i="2"/>
  <c r="O2299" i="2"/>
  <c r="N2300" i="2"/>
  <c r="O2300" i="2"/>
  <c r="N2301" i="2"/>
  <c r="O2301" i="2"/>
  <c r="N2302" i="2"/>
  <c r="O2302" i="2"/>
  <c r="N2303" i="2"/>
  <c r="O2303" i="2"/>
  <c r="N2304" i="2"/>
  <c r="O2304" i="2"/>
  <c r="N2305" i="2"/>
  <c r="O2305" i="2"/>
  <c r="N2306" i="2"/>
  <c r="O2306" i="2"/>
  <c r="N2307" i="2"/>
  <c r="O2307" i="2"/>
  <c r="N2308" i="2"/>
  <c r="O2308" i="2"/>
  <c r="N2309" i="2"/>
  <c r="O2309" i="2"/>
  <c r="N2310" i="2"/>
  <c r="O2310" i="2"/>
  <c r="N2311" i="2"/>
  <c r="O2311" i="2"/>
  <c r="N2312" i="2"/>
  <c r="O2312" i="2"/>
  <c r="N2313" i="2"/>
  <c r="O2313" i="2"/>
  <c r="N2314" i="2"/>
  <c r="O2314" i="2"/>
  <c r="N2315" i="2"/>
  <c r="O2315" i="2"/>
  <c r="N2316" i="2"/>
  <c r="O2316" i="2"/>
  <c r="N2317" i="2"/>
  <c r="O2317" i="2"/>
  <c r="N2318" i="2"/>
  <c r="O2318" i="2"/>
  <c r="N2319" i="2"/>
  <c r="O2319" i="2"/>
  <c r="N2320" i="2"/>
  <c r="O2320" i="2"/>
  <c r="N2321" i="2"/>
  <c r="O2321" i="2"/>
  <c r="N2322" i="2"/>
  <c r="O2322" i="2"/>
  <c r="N2323" i="2"/>
  <c r="O2323" i="2"/>
  <c r="N2324" i="2"/>
  <c r="O2324" i="2"/>
  <c r="N2325" i="2"/>
  <c r="O2325" i="2"/>
  <c r="N2326" i="2"/>
  <c r="O2326" i="2"/>
  <c r="N2327" i="2"/>
  <c r="O2327" i="2"/>
  <c r="N2328" i="2"/>
  <c r="O2328" i="2"/>
  <c r="N2329" i="2"/>
  <c r="O2329" i="2"/>
  <c r="N2330" i="2"/>
  <c r="O2330" i="2"/>
  <c r="N2331" i="2"/>
  <c r="O2331" i="2"/>
  <c r="N2332" i="2"/>
  <c r="O2332" i="2"/>
  <c r="N2333" i="2"/>
  <c r="O2333" i="2"/>
  <c r="N2334" i="2"/>
  <c r="O2334" i="2"/>
  <c r="N2335" i="2"/>
  <c r="O2335" i="2"/>
  <c r="N2336" i="2"/>
  <c r="O2336" i="2"/>
  <c r="N2337" i="2"/>
  <c r="O2337" i="2"/>
  <c r="N2338" i="2"/>
  <c r="O2338" i="2"/>
  <c r="N2339" i="2"/>
  <c r="O2339" i="2"/>
  <c r="N2340" i="2"/>
  <c r="O2340" i="2"/>
  <c r="N2341" i="2"/>
  <c r="O2341" i="2"/>
  <c r="N2342" i="2"/>
  <c r="O2342" i="2"/>
  <c r="N2343" i="2"/>
  <c r="O2343" i="2"/>
  <c r="N2344" i="2"/>
  <c r="O2344" i="2"/>
  <c r="N2345" i="2"/>
  <c r="O2345" i="2"/>
  <c r="N2346" i="2"/>
  <c r="O2346" i="2"/>
  <c r="N2347" i="2"/>
  <c r="O2347" i="2"/>
  <c r="N2348" i="2"/>
  <c r="O2348" i="2"/>
  <c r="N2349" i="2"/>
  <c r="O2349" i="2"/>
  <c r="N2350" i="2"/>
  <c r="O2350" i="2"/>
  <c r="N2351" i="2"/>
  <c r="O2351" i="2"/>
  <c r="N2352" i="2"/>
  <c r="O2352" i="2"/>
  <c r="N2353" i="2"/>
  <c r="O2353" i="2"/>
  <c r="N2354" i="2"/>
  <c r="O2354" i="2"/>
  <c r="N2355" i="2"/>
  <c r="O2355" i="2"/>
  <c r="N2356" i="2"/>
  <c r="O2356" i="2"/>
  <c r="N2357" i="2"/>
  <c r="O2357" i="2"/>
  <c r="N2358" i="2"/>
  <c r="O2358" i="2"/>
  <c r="N2359" i="2"/>
  <c r="O2359" i="2"/>
  <c r="N2360" i="2"/>
  <c r="O2360" i="2"/>
  <c r="N2361" i="2"/>
  <c r="O2361" i="2"/>
  <c r="N2362" i="2"/>
  <c r="O2362" i="2"/>
  <c r="N2363" i="2"/>
  <c r="O2363" i="2"/>
  <c r="N2364" i="2"/>
  <c r="O2364" i="2"/>
  <c r="N2365" i="2"/>
  <c r="O2365" i="2"/>
  <c r="N2366" i="2"/>
  <c r="O2366" i="2"/>
  <c r="N2367" i="2"/>
  <c r="O2367" i="2"/>
  <c r="N2368" i="2"/>
  <c r="O2368" i="2"/>
  <c r="N2369" i="2"/>
  <c r="O2369" i="2"/>
  <c r="N2370" i="2"/>
  <c r="O2370" i="2"/>
  <c r="N2371" i="2"/>
  <c r="O2371" i="2"/>
  <c r="N2372" i="2"/>
  <c r="O2372" i="2"/>
  <c r="N2373" i="2"/>
  <c r="O2373" i="2"/>
  <c r="N2374" i="2"/>
  <c r="O2374" i="2"/>
  <c r="N2375" i="2"/>
  <c r="O2375" i="2"/>
  <c r="N2376" i="2"/>
  <c r="O2376" i="2"/>
  <c r="N2377" i="2"/>
  <c r="O2377" i="2"/>
  <c r="N2378" i="2"/>
  <c r="O2378" i="2"/>
  <c r="N2379" i="2"/>
  <c r="O2379" i="2"/>
  <c r="N2380" i="2"/>
  <c r="O2380" i="2"/>
  <c r="N2381" i="2"/>
  <c r="O2381" i="2"/>
  <c r="N2382" i="2"/>
  <c r="O2382" i="2"/>
  <c r="N2383" i="2"/>
  <c r="O2383" i="2"/>
  <c r="N2384" i="2"/>
  <c r="O2384" i="2"/>
  <c r="N2385" i="2"/>
  <c r="O2385" i="2"/>
  <c r="N2386" i="2"/>
  <c r="O2386" i="2"/>
  <c r="N2387" i="2"/>
  <c r="O2387" i="2"/>
  <c r="N2388" i="2"/>
  <c r="O2388" i="2"/>
  <c r="N2389" i="2"/>
  <c r="O2389" i="2"/>
  <c r="N2390" i="2"/>
  <c r="O2390" i="2"/>
  <c r="N2391" i="2"/>
  <c r="O2391" i="2"/>
  <c r="N2392" i="2"/>
  <c r="O2392" i="2"/>
  <c r="N2393" i="2"/>
  <c r="O2393" i="2"/>
  <c r="N2394" i="2"/>
  <c r="O2394" i="2"/>
  <c r="N2395" i="2"/>
  <c r="O2395" i="2"/>
  <c r="N2396" i="2"/>
  <c r="O2396" i="2"/>
  <c r="N2397" i="2"/>
  <c r="O2397" i="2"/>
  <c r="N2398" i="2"/>
  <c r="O2398" i="2"/>
  <c r="N2399" i="2"/>
  <c r="O2399" i="2"/>
  <c r="N2400" i="2"/>
  <c r="O2400" i="2"/>
  <c r="N2401" i="2"/>
  <c r="O2401" i="2"/>
  <c r="N2402" i="2"/>
  <c r="O2402" i="2"/>
  <c r="N2403" i="2"/>
  <c r="O2403" i="2"/>
  <c r="N2404" i="2"/>
  <c r="O2404" i="2"/>
  <c r="N2405" i="2"/>
  <c r="O2405" i="2"/>
  <c r="N2406" i="2"/>
  <c r="O2406" i="2"/>
  <c r="N2407" i="2"/>
  <c r="O2407" i="2"/>
  <c r="N2408" i="2"/>
  <c r="O2408" i="2"/>
  <c r="N2409" i="2"/>
  <c r="O2409" i="2"/>
  <c r="N2410" i="2"/>
  <c r="O2410" i="2"/>
  <c r="B36" i="4"/>
  <c r="B37" i="4"/>
  <c r="B38" i="4"/>
  <c r="B39" i="4"/>
  <c r="B40" i="4"/>
  <c r="B41" i="4"/>
  <c r="B42" i="4"/>
  <c r="B43" i="4"/>
  <c r="B44" i="4"/>
  <c r="B35" i="4"/>
  <c r="B25" i="4"/>
  <c r="B26" i="4"/>
  <c r="B27" i="4"/>
  <c r="B28" i="4"/>
  <c r="B29" i="4"/>
  <c r="B30" i="4"/>
  <c r="B31" i="4"/>
  <c r="B32" i="4"/>
  <c r="B33" i="4"/>
  <c r="B24" i="4"/>
  <c r="B14" i="4"/>
  <c r="B15" i="4"/>
  <c r="B16" i="4"/>
  <c r="B17" i="4"/>
  <c r="B18" i="4"/>
  <c r="B19" i="4"/>
  <c r="B20" i="4"/>
  <c r="B21" i="4"/>
  <c r="B22" i="4"/>
  <c r="B13" i="4"/>
  <c r="B5" i="4"/>
  <c r="B6" i="4"/>
  <c r="B7" i="4"/>
  <c r="B8" i="4"/>
  <c r="B9" i="4"/>
  <c r="B10" i="4"/>
  <c r="B11" i="4"/>
  <c r="B4" i="4"/>
  <c r="C30" i="4"/>
  <c r="C31" i="4"/>
  <c r="C42" i="4"/>
  <c r="C43" i="4"/>
  <c r="C21" i="4"/>
  <c r="C22" i="4"/>
  <c r="C42" i="3"/>
  <c r="D42" i="3"/>
  <c r="E42" i="3"/>
  <c r="F42" i="3"/>
  <c r="G42" i="3"/>
  <c r="H42" i="3"/>
  <c r="I42" i="3"/>
  <c r="C43" i="3"/>
  <c r="D43" i="3"/>
  <c r="E43" i="3"/>
  <c r="F43" i="3"/>
  <c r="G43" i="3"/>
  <c r="H43" i="3"/>
  <c r="I43" i="3"/>
  <c r="C31" i="3"/>
  <c r="D31" i="3"/>
  <c r="E31" i="3"/>
  <c r="F31" i="3"/>
  <c r="G31" i="3"/>
  <c r="H31" i="3"/>
  <c r="I31" i="3"/>
  <c r="C32" i="3"/>
  <c r="D32" i="3"/>
  <c r="E32" i="3"/>
  <c r="F32" i="3"/>
  <c r="G32" i="3"/>
  <c r="H32" i="3"/>
  <c r="I32" i="3"/>
  <c r="F30" i="4" l="1"/>
  <c r="G30" i="4" s="1"/>
  <c r="F21" i="4"/>
  <c r="G21" i="4" s="1"/>
  <c r="H22" i="4"/>
  <c r="I22" i="4" s="1"/>
  <c r="H42" i="4"/>
  <c r="I42" i="4" s="1"/>
  <c r="H31" i="4"/>
  <c r="I31" i="4" s="1"/>
  <c r="H43" i="4"/>
  <c r="I43" i="4" s="1"/>
  <c r="H30" i="4"/>
  <c r="I30" i="4" s="1"/>
  <c r="H21" i="4"/>
  <c r="F22" i="4"/>
  <c r="F43" i="4"/>
  <c r="F31" i="4"/>
  <c r="G31" i="4" s="1"/>
  <c r="F42" i="4"/>
  <c r="J22" i="4" l="1"/>
  <c r="K22" i="4" s="1"/>
  <c r="J21" i="4"/>
  <c r="K21" i="4" s="1"/>
  <c r="J43" i="4"/>
  <c r="K43" i="4" s="1"/>
  <c r="J30" i="4"/>
  <c r="K30" i="4" s="1"/>
  <c r="J42" i="4"/>
  <c r="K42" i="4" s="1"/>
  <c r="G22" i="4"/>
  <c r="J31" i="4"/>
  <c r="K31" i="4" s="1"/>
  <c r="I21" i="4"/>
  <c r="G42" i="4"/>
  <c r="G43" i="4"/>
  <c r="D524" i="1"/>
  <c r="E524" i="1"/>
  <c r="F524" i="1"/>
  <c r="G524" i="1"/>
  <c r="H524" i="1"/>
  <c r="D133" i="1"/>
  <c r="E133" i="1"/>
  <c r="F133" i="1"/>
  <c r="G133" i="1"/>
  <c r="H133" i="1"/>
  <c r="D21" i="1"/>
  <c r="E21" i="1"/>
  <c r="F21" i="1"/>
  <c r="G21" i="1"/>
  <c r="H21" i="1"/>
  <c r="D1675" i="1"/>
  <c r="E1675" i="1"/>
  <c r="F1675" i="1"/>
  <c r="G1675" i="1"/>
  <c r="H1675" i="1"/>
  <c r="D547" i="1"/>
  <c r="E547" i="1"/>
  <c r="F547" i="1"/>
  <c r="G547" i="1"/>
  <c r="H547" i="1"/>
  <c r="D1420" i="1"/>
  <c r="E1420" i="1"/>
  <c r="F1420" i="1"/>
  <c r="G1420" i="1"/>
  <c r="H1420" i="1"/>
  <c r="D390" i="1"/>
  <c r="E390" i="1"/>
  <c r="F390" i="1"/>
  <c r="G390" i="1"/>
  <c r="H390" i="1"/>
  <c r="D230" i="1"/>
  <c r="E230" i="1"/>
  <c r="F230" i="1"/>
  <c r="G230" i="1"/>
  <c r="H230" i="1"/>
  <c r="D923" i="1"/>
  <c r="E923" i="1"/>
  <c r="F923" i="1"/>
  <c r="G923" i="1"/>
  <c r="H923" i="1"/>
  <c r="D1258" i="1"/>
  <c r="E1258" i="1"/>
  <c r="F1258" i="1"/>
  <c r="G1258" i="1"/>
  <c r="H1258" i="1"/>
  <c r="D286" i="1"/>
  <c r="E286" i="1"/>
  <c r="F286" i="1"/>
  <c r="G286" i="1"/>
  <c r="H286" i="1"/>
  <c r="D629" i="1"/>
  <c r="E629" i="1"/>
  <c r="F629" i="1"/>
  <c r="G629" i="1"/>
  <c r="H629" i="1"/>
  <c r="D1523" i="1"/>
  <c r="E1523" i="1"/>
  <c r="F1523" i="1"/>
  <c r="G1523" i="1"/>
  <c r="H1523" i="1"/>
  <c r="D407" i="1"/>
  <c r="E407" i="1"/>
  <c r="F407" i="1"/>
  <c r="G407" i="1"/>
  <c r="H407" i="1"/>
  <c r="D1407" i="1"/>
  <c r="E1407" i="1"/>
  <c r="F1407" i="1"/>
  <c r="G1407" i="1"/>
  <c r="H1407" i="1"/>
  <c r="D246" i="1"/>
  <c r="E246" i="1"/>
  <c r="F246" i="1"/>
  <c r="G246" i="1"/>
  <c r="H246" i="1"/>
  <c r="D911" i="1"/>
  <c r="E911" i="1"/>
  <c r="F911" i="1"/>
  <c r="G911" i="1"/>
  <c r="H911" i="1"/>
  <c r="D940" i="1"/>
  <c r="E940" i="1"/>
  <c r="F940" i="1"/>
  <c r="G940" i="1"/>
  <c r="H940" i="1"/>
  <c r="D1449" i="1"/>
  <c r="E1449" i="1"/>
  <c r="F1449" i="1"/>
  <c r="G1449" i="1"/>
  <c r="H1449" i="1"/>
  <c r="D1167" i="1"/>
  <c r="E1167" i="1"/>
  <c r="F1167" i="1"/>
  <c r="G1167" i="1"/>
  <c r="H1167" i="1"/>
  <c r="D84" i="1"/>
  <c r="E84" i="1"/>
  <c r="F84" i="1"/>
  <c r="G84" i="1"/>
  <c r="H84" i="1"/>
  <c r="D906" i="1"/>
  <c r="E906" i="1"/>
  <c r="F906" i="1"/>
  <c r="G906" i="1"/>
  <c r="H906" i="1"/>
  <c r="D1363" i="1"/>
  <c r="E1363" i="1"/>
  <c r="F1363" i="1"/>
  <c r="G1363" i="1"/>
  <c r="H1363" i="1"/>
  <c r="D1245" i="1"/>
  <c r="E1245" i="1"/>
  <c r="F1245" i="1"/>
  <c r="G1245" i="1"/>
  <c r="H1245" i="1"/>
  <c r="D1120" i="1"/>
  <c r="E1120" i="1"/>
  <c r="F1120" i="1"/>
  <c r="G1120" i="1"/>
  <c r="H1120" i="1"/>
  <c r="D142" i="1"/>
  <c r="E142" i="1"/>
  <c r="F142" i="1"/>
  <c r="G142" i="1"/>
  <c r="H142" i="1"/>
  <c r="D494" i="1"/>
  <c r="E494" i="1"/>
  <c r="F494" i="1"/>
  <c r="G494" i="1"/>
  <c r="H494" i="1"/>
  <c r="D1331" i="1"/>
  <c r="E1331" i="1"/>
  <c r="F1331" i="1"/>
  <c r="G1331" i="1"/>
  <c r="H1331" i="1"/>
  <c r="D643" i="1"/>
  <c r="E643" i="1"/>
  <c r="F643" i="1"/>
  <c r="G643" i="1"/>
  <c r="H643" i="1"/>
  <c r="D597" i="1"/>
  <c r="E597" i="1"/>
  <c r="F597" i="1"/>
  <c r="G597" i="1"/>
  <c r="H597" i="1"/>
  <c r="D190" i="1"/>
  <c r="E190" i="1"/>
  <c r="F190" i="1"/>
  <c r="G190" i="1"/>
  <c r="H190" i="1"/>
  <c r="D1685" i="1"/>
  <c r="E1685" i="1"/>
  <c r="F1685" i="1"/>
  <c r="G1685" i="1"/>
  <c r="H1685" i="1"/>
  <c r="D444" i="1"/>
  <c r="E444" i="1"/>
  <c r="F444" i="1"/>
  <c r="G444" i="1"/>
  <c r="H444" i="1"/>
  <c r="D1003" i="1"/>
  <c r="E1003" i="1"/>
  <c r="F1003" i="1"/>
  <c r="G1003" i="1"/>
  <c r="H1003" i="1"/>
  <c r="D117" i="1"/>
  <c r="E117" i="1"/>
  <c r="F117" i="1"/>
  <c r="G117" i="1"/>
  <c r="H117" i="1"/>
  <c r="D934" i="1"/>
  <c r="E934" i="1"/>
  <c r="F934" i="1"/>
  <c r="G934" i="1"/>
  <c r="H934" i="1"/>
  <c r="D1393" i="1"/>
  <c r="E1393" i="1"/>
  <c r="F1393" i="1"/>
  <c r="G1393" i="1"/>
  <c r="H1393" i="1"/>
  <c r="D1688" i="1"/>
  <c r="E1688" i="1"/>
  <c r="F1688" i="1"/>
  <c r="G1688" i="1"/>
  <c r="H1688" i="1"/>
  <c r="D888" i="1"/>
  <c r="E888" i="1"/>
  <c r="F888" i="1"/>
  <c r="G888" i="1"/>
  <c r="H888" i="1"/>
  <c r="D79" i="1"/>
  <c r="E79" i="1"/>
  <c r="F79" i="1"/>
  <c r="G79" i="1"/>
  <c r="H79" i="1"/>
  <c r="D1610" i="1"/>
  <c r="E1610" i="1"/>
  <c r="F1610" i="1"/>
  <c r="G1610" i="1"/>
  <c r="H1610" i="1"/>
  <c r="D334" i="1"/>
  <c r="E334" i="1"/>
  <c r="F334" i="1"/>
  <c r="G334" i="1"/>
  <c r="H334" i="1"/>
  <c r="D1053" i="1"/>
  <c r="E1053" i="1"/>
  <c r="F1053" i="1"/>
  <c r="G1053" i="1"/>
  <c r="H1053" i="1"/>
  <c r="D411" i="1"/>
  <c r="E411" i="1"/>
  <c r="F411" i="1"/>
  <c r="G411" i="1"/>
  <c r="H411" i="1"/>
  <c r="D831" i="1"/>
  <c r="E831" i="1"/>
  <c r="F831" i="1"/>
  <c r="G831" i="1"/>
  <c r="H831" i="1"/>
  <c r="I142" i="1" l="1"/>
  <c r="I1258" i="1"/>
  <c r="I117" i="1"/>
  <c r="I411" i="1"/>
  <c r="I79" i="1"/>
  <c r="I286" i="1"/>
  <c r="I334" i="1"/>
  <c r="I1688" i="1"/>
  <c r="I1003" i="1"/>
  <c r="I1331" i="1"/>
  <c r="I230" i="1"/>
  <c r="I1675" i="1"/>
  <c r="I190" i="1"/>
  <c r="I133" i="1"/>
  <c r="I597" i="1"/>
  <c r="I888" i="1"/>
  <c r="I1245" i="1"/>
  <c r="I1685" i="1"/>
  <c r="I906" i="1"/>
  <c r="I940" i="1"/>
  <c r="I407" i="1"/>
  <c r="I1407" i="1"/>
  <c r="I629" i="1"/>
  <c r="I524" i="1"/>
  <c r="I494" i="1"/>
  <c r="I1167" i="1"/>
  <c r="I21" i="1"/>
  <c r="I1053" i="1"/>
  <c r="I934" i="1"/>
  <c r="I1363" i="1"/>
  <c r="I1449" i="1"/>
  <c r="I246" i="1"/>
  <c r="I923" i="1"/>
  <c r="I1393" i="1"/>
  <c r="I84" i="1"/>
  <c r="I1420" i="1"/>
  <c r="I1610" i="1"/>
  <c r="I1120" i="1"/>
  <c r="I831" i="1"/>
  <c r="I643" i="1"/>
  <c r="I1523" i="1"/>
  <c r="I390" i="1"/>
  <c r="I444" i="1"/>
  <c r="I911" i="1"/>
  <c r="I547" i="1"/>
  <c r="D650" i="1"/>
  <c r="E650" i="1"/>
  <c r="F650" i="1"/>
  <c r="G650" i="1"/>
  <c r="H650" i="1"/>
  <c r="D15" i="1"/>
  <c r="E15" i="1"/>
  <c r="F15" i="1"/>
  <c r="G15" i="1"/>
  <c r="H15" i="1"/>
  <c r="D33" i="1"/>
  <c r="E33" i="1"/>
  <c r="F33" i="1"/>
  <c r="G33" i="1"/>
  <c r="H33" i="1"/>
  <c r="D1767" i="1"/>
  <c r="E1767" i="1"/>
  <c r="F1767" i="1"/>
  <c r="G1767" i="1"/>
  <c r="H1767" i="1"/>
  <c r="D841" i="1"/>
  <c r="E841" i="1"/>
  <c r="F841" i="1"/>
  <c r="G841" i="1"/>
  <c r="H841" i="1"/>
  <c r="D1600" i="1"/>
  <c r="E1600" i="1"/>
  <c r="F1600" i="1"/>
  <c r="G1600" i="1"/>
  <c r="H1600" i="1"/>
  <c r="D772" i="1"/>
  <c r="E772" i="1"/>
  <c r="F772" i="1"/>
  <c r="G772" i="1"/>
  <c r="H772" i="1"/>
  <c r="D1458" i="1"/>
  <c r="E1458" i="1"/>
  <c r="F1458" i="1"/>
  <c r="G1458" i="1"/>
  <c r="H1458" i="1"/>
  <c r="D91" i="1"/>
  <c r="E91" i="1"/>
  <c r="F91" i="1"/>
  <c r="G91" i="1"/>
  <c r="H91" i="1"/>
  <c r="D1380" i="1"/>
  <c r="E1380" i="1"/>
  <c r="F1380" i="1"/>
  <c r="G1380" i="1"/>
  <c r="H1380" i="1"/>
  <c r="D409" i="1"/>
  <c r="E409" i="1"/>
  <c r="F409" i="1"/>
  <c r="G409" i="1"/>
  <c r="H409" i="1"/>
  <c r="D148" i="1"/>
  <c r="E148" i="1"/>
  <c r="F148" i="1"/>
  <c r="G148" i="1"/>
  <c r="H148" i="1"/>
  <c r="D645" i="1"/>
  <c r="E645" i="1"/>
  <c r="F645" i="1"/>
  <c r="G645" i="1"/>
  <c r="H645" i="1"/>
  <c r="D1591" i="1"/>
  <c r="E1591" i="1"/>
  <c r="F1591" i="1"/>
  <c r="G1591" i="1"/>
  <c r="H1591" i="1"/>
  <c r="D1221" i="1"/>
  <c r="E1221" i="1"/>
  <c r="F1221" i="1"/>
  <c r="G1221" i="1"/>
  <c r="H1221" i="1"/>
  <c r="D577" i="1"/>
  <c r="E577" i="1"/>
  <c r="F577" i="1"/>
  <c r="G577" i="1"/>
  <c r="H577" i="1"/>
  <c r="D563" i="1"/>
  <c r="E563" i="1"/>
  <c r="F563" i="1"/>
  <c r="G563" i="1"/>
  <c r="H563" i="1"/>
  <c r="D1143" i="1"/>
  <c r="E1143" i="1"/>
  <c r="F1143" i="1"/>
  <c r="G1143" i="1"/>
  <c r="H1143" i="1"/>
  <c r="D312" i="1"/>
  <c r="E312" i="1"/>
  <c r="F312" i="1"/>
  <c r="G312" i="1"/>
  <c r="H312" i="1"/>
  <c r="D47" i="1"/>
  <c r="E47" i="1"/>
  <c r="F47" i="1"/>
  <c r="G47" i="1"/>
  <c r="H47" i="1"/>
  <c r="D1252" i="1"/>
  <c r="E1252" i="1"/>
  <c r="F1252" i="1"/>
  <c r="G1252" i="1"/>
  <c r="H1252" i="1"/>
  <c r="D255" i="1"/>
  <c r="E255" i="1"/>
  <c r="F255" i="1"/>
  <c r="G255" i="1"/>
  <c r="H255" i="1"/>
  <c r="D69" i="1"/>
  <c r="E69" i="1"/>
  <c r="F69" i="1"/>
  <c r="G69" i="1"/>
  <c r="H69" i="1"/>
  <c r="D44" i="1"/>
  <c r="E44" i="1"/>
  <c r="F44" i="1"/>
  <c r="G44" i="1"/>
  <c r="H44" i="1"/>
  <c r="D1119" i="1"/>
  <c r="E1119" i="1"/>
  <c r="F1119" i="1"/>
  <c r="G1119" i="1"/>
  <c r="H1119" i="1"/>
  <c r="D1092" i="1"/>
  <c r="E1092" i="1"/>
  <c r="F1092" i="1"/>
  <c r="G1092" i="1"/>
  <c r="H1092" i="1"/>
  <c r="D1410" i="1"/>
  <c r="E1410" i="1"/>
  <c r="F1410" i="1"/>
  <c r="G1410" i="1"/>
  <c r="H1410" i="1"/>
  <c r="D103" i="1"/>
  <c r="E103" i="1"/>
  <c r="F103" i="1"/>
  <c r="G103" i="1"/>
  <c r="H103" i="1"/>
  <c r="D1599" i="1"/>
  <c r="E1599" i="1"/>
  <c r="F1599" i="1"/>
  <c r="G1599" i="1"/>
  <c r="H1599" i="1"/>
  <c r="D743" i="1"/>
  <c r="E743" i="1"/>
  <c r="F743" i="1"/>
  <c r="G743" i="1"/>
  <c r="H743" i="1"/>
  <c r="D606" i="1"/>
  <c r="E606" i="1"/>
  <c r="F606" i="1"/>
  <c r="G606" i="1"/>
  <c r="H606" i="1"/>
  <c r="D1411" i="1"/>
  <c r="E1411" i="1"/>
  <c r="F1411" i="1"/>
  <c r="G1411" i="1"/>
  <c r="H1411" i="1"/>
  <c r="D897" i="1"/>
  <c r="E897" i="1"/>
  <c r="F897" i="1"/>
  <c r="G897" i="1"/>
  <c r="H897" i="1"/>
  <c r="D1658" i="1"/>
  <c r="E1658" i="1"/>
  <c r="F1658" i="1"/>
  <c r="G1658" i="1"/>
  <c r="H1658" i="1"/>
  <c r="D453" i="1"/>
  <c r="E453" i="1"/>
  <c r="F453" i="1"/>
  <c r="G453" i="1"/>
  <c r="H453" i="1"/>
  <c r="D1340" i="1"/>
  <c r="E1340" i="1"/>
  <c r="F1340" i="1"/>
  <c r="G1340" i="1"/>
  <c r="H1340" i="1"/>
  <c r="D144" i="1"/>
  <c r="E144" i="1"/>
  <c r="F144" i="1"/>
  <c r="G144" i="1"/>
  <c r="H144" i="1"/>
  <c r="I409" i="1" l="1"/>
  <c r="I1092" i="1"/>
  <c r="I1143" i="1"/>
  <c r="I1600" i="1"/>
  <c r="I897" i="1"/>
  <c r="I1119" i="1"/>
  <c r="I1767" i="1"/>
  <c r="I144" i="1"/>
  <c r="I1252" i="1"/>
  <c r="I563" i="1"/>
  <c r="I1411" i="1"/>
  <c r="I47" i="1"/>
  <c r="I1458" i="1"/>
  <c r="I1410" i="1"/>
  <c r="I645" i="1"/>
  <c r="I743" i="1"/>
  <c r="I312" i="1"/>
  <c r="I577" i="1"/>
  <c r="I1340" i="1"/>
  <c r="I91" i="1"/>
  <c r="I103" i="1"/>
  <c r="I148" i="1"/>
  <c r="I650" i="1"/>
  <c r="I1599" i="1"/>
  <c r="I44" i="1"/>
  <c r="I1221" i="1"/>
  <c r="I1380" i="1"/>
  <c r="I33" i="1"/>
  <c r="I606" i="1"/>
  <c r="I453" i="1"/>
  <c r="I841" i="1"/>
  <c r="I255" i="1"/>
  <c r="I69" i="1"/>
  <c r="I1591" i="1"/>
  <c r="I772" i="1"/>
  <c r="I1658" i="1"/>
  <c r="I15" i="1"/>
  <c r="D431" i="1"/>
  <c r="E431" i="1"/>
  <c r="F431" i="1"/>
  <c r="G431" i="1"/>
  <c r="H431" i="1"/>
  <c r="D1559" i="1"/>
  <c r="E1559" i="1"/>
  <c r="F1559" i="1"/>
  <c r="G1559" i="1"/>
  <c r="H1559" i="1"/>
  <c r="D288" i="1"/>
  <c r="E288" i="1"/>
  <c r="F288" i="1"/>
  <c r="G288" i="1"/>
  <c r="H288" i="1"/>
  <c r="D215" i="1"/>
  <c r="E215" i="1"/>
  <c r="F215" i="1"/>
  <c r="G215" i="1"/>
  <c r="H215" i="1"/>
  <c r="D1517" i="1"/>
  <c r="E1517" i="1"/>
  <c r="F1517" i="1"/>
  <c r="G1517" i="1"/>
  <c r="H1517" i="1"/>
  <c r="D1563" i="1"/>
  <c r="E1563" i="1"/>
  <c r="F1563" i="1"/>
  <c r="G1563" i="1"/>
  <c r="H1563" i="1"/>
  <c r="D972" i="1"/>
  <c r="E972" i="1"/>
  <c r="F972" i="1"/>
  <c r="G972" i="1"/>
  <c r="H972" i="1"/>
  <c r="D1362" i="1"/>
  <c r="E1362" i="1"/>
  <c r="F1362" i="1"/>
  <c r="G1362" i="1"/>
  <c r="H1362" i="1"/>
  <c r="D1644" i="1"/>
  <c r="E1644" i="1"/>
  <c r="F1644" i="1"/>
  <c r="G1644" i="1"/>
  <c r="H1644" i="1"/>
  <c r="D521" i="1"/>
  <c r="E521" i="1"/>
  <c r="F521" i="1"/>
  <c r="G521" i="1"/>
  <c r="H521" i="1"/>
  <c r="D1574" i="1"/>
  <c r="E1574" i="1"/>
  <c r="F1574" i="1"/>
  <c r="G1574" i="1"/>
  <c r="H1574" i="1"/>
  <c r="D489" i="1"/>
  <c r="E489" i="1"/>
  <c r="F489" i="1"/>
  <c r="G489" i="1"/>
  <c r="H489" i="1"/>
  <c r="D373" i="1"/>
  <c r="E373" i="1"/>
  <c r="F373" i="1"/>
  <c r="G373" i="1"/>
  <c r="H373" i="1"/>
  <c r="D415" i="1"/>
  <c r="E415" i="1"/>
  <c r="F415" i="1"/>
  <c r="G415" i="1"/>
  <c r="H415" i="1"/>
  <c r="D941" i="1"/>
  <c r="E941" i="1"/>
  <c r="F941" i="1"/>
  <c r="G941" i="1"/>
  <c r="H941" i="1"/>
  <c r="D885" i="1"/>
  <c r="E885" i="1"/>
  <c r="F885" i="1"/>
  <c r="G885" i="1"/>
  <c r="H885" i="1"/>
  <c r="D350" i="1"/>
  <c r="E350" i="1"/>
  <c r="F350" i="1"/>
  <c r="G350" i="1"/>
  <c r="H350" i="1"/>
  <c r="D1214" i="1"/>
  <c r="E1214" i="1"/>
  <c r="F1214" i="1"/>
  <c r="G1214" i="1"/>
  <c r="H1214" i="1"/>
  <c r="D794" i="1"/>
  <c r="E794" i="1"/>
  <c r="F794" i="1"/>
  <c r="G794" i="1"/>
  <c r="H794" i="1"/>
  <c r="D466" i="1"/>
  <c r="E466" i="1"/>
  <c r="F466" i="1"/>
  <c r="G466" i="1"/>
  <c r="H466" i="1"/>
  <c r="D354" i="1"/>
  <c r="E354" i="1"/>
  <c r="F354" i="1"/>
  <c r="G354" i="1"/>
  <c r="H354" i="1"/>
  <c r="I1574" i="1" l="1"/>
  <c r="I288" i="1"/>
  <c r="I972" i="1"/>
  <c r="I1362" i="1"/>
  <c r="I466" i="1"/>
  <c r="I794" i="1"/>
  <c r="I215" i="1"/>
  <c r="I885" i="1"/>
  <c r="I1559" i="1"/>
  <c r="I1214" i="1"/>
  <c r="I489" i="1"/>
  <c r="I1644" i="1"/>
  <c r="I941" i="1"/>
  <c r="I1517" i="1"/>
  <c r="I431" i="1"/>
  <c r="I1563" i="1"/>
  <c r="I350" i="1"/>
  <c r="I415" i="1"/>
  <c r="I373" i="1"/>
  <c r="I521" i="1"/>
  <c r="I354" i="1"/>
  <c r="D843" i="1"/>
  <c r="E843" i="1"/>
  <c r="F843" i="1"/>
  <c r="G843" i="1"/>
  <c r="H843" i="1"/>
  <c r="D1223" i="1"/>
  <c r="E1223" i="1"/>
  <c r="F1223" i="1"/>
  <c r="G1223" i="1"/>
  <c r="H1223" i="1"/>
  <c r="D1400" i="1"/>
  <c r="E1400" i="1"/>
  <c r="F1400" i="1"/>
  <c r="G1400" i="1"/>
  <c r="H1400" i="1"/>
  <c r="D123" i="1"/>
  <c r="E123" i="1"/>
  <c r="F123" i="1"/>
  <c r="G123" i="1"/>
  <c r="H123" i="1"/>
  <c r="D1528" i="1"/>
  <c r="E1528" i="1"/>
  <c r="F1528" i="1"/>
  <c r="G1528" i="1"/>
  <c r="H1528" i="1"/>
  <c r="D1256" i="1"/>
  <c r="E1256" i="1"/>
  <c r="F1256" i="1"/>
  <c r="G1256" i="1"/>
  <c r="H1256" i="1"/>
  <c r="D222" i="1"/>
  <c r="E222" i="1"/>
  <c r="F222" i="1"/>
  <c r="G222" i="1"/>
  <c r="H222" i="1"/>
  <c r="D1316" i="1"/>
  <c r="E1316" i="1"/>
  <c r="F1316" i="1"/>
  <c r="G1316" i="1"/>
  <c r="H1316" i="1"/>
  <c r="D1337" i="1"/>
  <c r="E1337" i="1"/>
  <c r="F1337" i="1"/>
  <c r="G1337" i="1"/>
  <c r="H1337" i="1"/>
  <c r="D1059" i="1"/>
  <c r="E1059" i="1"/>
  <c r="F1059" i="1"/>
  <c r="G1059" i="1"/>
  <c r="H1059" i="1"/>
  <c r="D1735" i="1"/>
  <c r="E1735" i="1"/>
  <c r="F1735" i="1"/>
  <c r="G1735" i="1"/>
  <c r="H1735" i="1"/>
  <c r="D271" i="1"/>
  <c r="E271" i="1"/>
  <c r="F271" i="1"/>
  <c r="G271" i="1"/>
  <c r="H271" i="1"/>
  <c r="D140" i="1"/>
  <c r="E140" i="1"/>
  <c r="F140" i="1"/>
  <c r="G140" i="1"/>
  <c r="H140" i="1"/>
  <c r="I271" i="1" l="1"/>
  <c r="I1528" i="1"/>
  <c r="I1059" i="1"/>
  <c r="I1223" i="1"/>
  <c r="I1256" i="1"/>
  <c r="I1337" i="1"/>
  <c r="I843" i="1"/>
  <c r="I140" i="1"/>
  <c r="I123" i="1"/>
  <c r="I1316" i="1"/>
  <c r="I1400" i="1"/>
  <c r="I222" i="1"/>
  <c r="I1735" i="1"/>
  <c r="C5" i="4"/>
  <c r="C6" i="4"/>
  <c r="F6" i="4"/>
  <c r="H6" i="4"/>
  <c r="C7" i="4"/>
  <c r="F7" i="4"/>
  <c r="H7" i="4"/>
  <c r="C8" i="4"/>
  <c r="F8" i="4"/>
  <c r="H8" i="4"/>
  <c r="C9" i="4"/>
  <c r="F9" i="4"/>
  <c r="H9" i="4"/>
  <c r="C10" i="4"/>
  <c r="F10" i="4"/>
  <c r="H10" i="4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G8" i="4" l="1"/>
  <c r="J7" i="4"/>
  <c r="K7" i="4" s="1"/>
  <c r="I9" i="4"/>
  <c r="J6" i="4"/>
  <c r="K6" i="4" s="1"/>
  <c r="I7" i="4"/>
  <c r="G9" i="4"/>
  <c r="G10" i="4"/>
  <c r="I8" i="4"/>
  <c r="I10" i="4"/>
  <c r="J8" i="4"/>
  <c r="K8" i="4" s="1"/>
  <c r="I6" i="4"/>
  <c r="G7" i="4"/>
  <c r="J10" i="4"/>
  <c r="K10" i="4" s="1"/>
  <c r="J9" i="4"/>
  <c r="K9" i="4" s="1"/>
  <c r="G6" i="4"/>
  <c r="D302" i="1"/>
  <c r="E302" i="1"/>
  <c r="F302" i="1"/>
  <c r="G302" i="1"/>
  <c r="H302" i="1"/>
  <c r="D804" i="1"/>
  <c r="E804" i="1"/>
  <c r="F804" i="1"/>
  <c r="G804" i="1"/>
  <c r="H804" i="1"/>
  <c r="D1248" i="1"/>
  <c r="E1248" i="1"/>
  <c r="F1248" i="1"/>
  <c r="G1248" i="1"/>
  <c r="H1248" i="1"/>
  <c r="D1208" i="1"/>
  <c r="E1208" i="1"/>
  <c r="F1208" i="1"/>
  <c r="G1208" i="1"/>
  <c r="H1208" i="1"/>
  <c r="D1748" i="1"/>
  <c r="E1748" i="1"/>
  <c r="F1748" i="1"/>
  <c r="G1748" i="1"/>
  <c r="H1748" i="1"/>
  <c r="D1030" i="1"/>
  <c r="E1030" i="1"/>
  <c r="F1030" i="1"/>
  <c r="G1030" i="1"/>
  <c r="H1030" i="1"/>
  <c r="D39" i="1"/>
  <c r="E39" i="1"/>
  <c r="F39" i="1"/>
  <c r="G39" i="1"/>
  <c r="H39" i="1"/>
  <c r="D472" i="1"/>
  <c r="E472" i="1"/>
  <c r="F472" i="1"/>
  <c r="G472" i="1"/>
  <c r="H472" i="1"/>
  <c r="D1168" i="1"/>
  <c r="E1168" i="1"/>
  <c r="F1168" i="1"/>
  <c r="G1168" i="1"/>
  <c r="H1168" i="1"/>
  <c r="D479" i="1"/>
  <c r="E479" i="1"/>
  <c r="F479" i="1"/>
  <c r="G479" i="1"/>
  <c r="H479" i="1"/>
  <c r="D646" i="1"/>
  <c r="E646" i="1"/>
  <c r="F646" i="1"/>
  <c r="G646" i="1"/>
  <c r="H646" i="1"/>
  <c r="D699" i="1"/>
  <c r="E699" i="1"/>
  <c r="F699" i="1"/>
  <c r="G699" i="1"/>
  <c r="H699" i="1"/>
  <c r="D98" i="1"/>
  <c r="E98" i="1"/>
  <c r="F98" i="1"/>
  <c r="G98" i="1"/>
  <c r="H98" i="1"/>
  <c r="D905" i="1"/>
  <c r="E905" i="1"/>
  <c r="F905" i="1"/>
  <c r="G905" i="1"/>
  <c r="H905" i="1"/>
  <c r="D1198" i="1"/>
  <c r="E1198" i="1"/>
  <c r="F1198" i="1"/>
  <c r="G1198" i="1"/>
  <c r="H1198" i="1"/>
  <c r="D1033" i="1"/>
  <c r="E1033" i="1"/>
  <c r="F1033" i="1"/>
  <c r="G1033" i="1"/>
  <c r="H1033" i="1"/>
  <c r="D225" i="1"/>
  <c r="E225" i="1"/>
  <c r="F225" i="1"/>
  <c r="G225" i="1"/>
  <c r="H225" i="1"/>
  <c r="D1395" i="1"/>
  <c r="E1395" i="1"/>
  <c r="F1395" i="1"/>
  <c r="G1395" i="1"/>
  <c r="H1395" i="1"/>
  <c r="D1080" i="1"/>
  <c r="E1080" i="1"/>
  <c r="F1080" i="1"/>
  <c r="G1080" i="1"/>
  <c r="H1080" i="1"/>
  <c r="D1617" i="1"/>
  <c r="E1617" i="1"/>
  <c r="F1617" i="1"/>
  <c r="G1617" i="1"/>
  <c r="H1617" i="1"/>
  <c r="D1087" i="1"/>
  <c r="E1087" i="1"/>
  <c r="F1087" i="1"/>
  <c r="G1087" i="1"/>
  <c r="H1087" i="1"/>
  <c r="D1102" i="1"/>
  <c r="E1102" i="1"/>
  <c r="F1102" i="1"/>
  <c r="G1102" i="1"/>
  <c r="H1102" i="1"/>
  <c r="D87" i="1"/>
  <c r="E87" i="1"/>
  <c r="F87" i="1"/>
  <c r="G87" i="1"/>
  <c r="H87" i="1"/>
  <c r="D1082" i="1"/>
  <c r="E1082" i="1"/>
  <c r="F1082" i="1"/>
  <c r="G1082" i="1"/>
  <c r="H1082" i="1"/>
  <c r="D590" i="1"/>
  <c r="E590" i="1"/>
  <c r="F590" i="1"/>
  <c r="G590" i="1"/>
  <c r="H590" i="1"/>
  <c r="D1683" i="1"/>
  <c r="E1683" i="1"/>
  <c r="F1683" i="1"/>
  <c r="G1683" i="1"/>
  <c r="H1683" i="1"/>
  <c r="D1419" i="1"/>
  <c r="E1419" i="1"/>
  <c r="F1419" i="1"/>
  <c r="G1419" i="1"/>
  <c r="H1419" i="1"/>
  <c r="D937" i="1"/>
  <c r="E937" i="1"/>
  <c r="F937" i="1"/>
  <c r="G937" i="1"/>
  <c r="H937" i="1"/>
  <c r="D1009" i="1"/>
  <c r="E1009" i="1"/>
  <c r="F1009" i="1"/>
  <c r="G1009" i="1"/>
  <c r="H1009" i="1"/>
  <c r="D1383" i="1"/>
  <c r="E1383" i="1"/>
  <c r="F1383" i="1"/>
  <c r="G1383" i="1"/>
  <c r="H1383" i="1"/>
  <c r="I1033" i="1" l="1"/>
  <c r="I472" i="1"/>
  <c r="I1208" i="1"/>
  <c r="I905" i="1"/>
  <c r="I1395" i="1"/>
  <c r="I479" i="1"/>
  <c r="I1383" i="1"/>
  <c r="I646" i="1"/>
  <c r="I1617" i="1"/>
  <c r="I1168" i="1"/>
  <c r="I1683" i="1"/>
  <c r="I699" i="1"/>
  <c r="I302" i="1"/>
  <c r="I804" i="1"/>
  <c r="I1030" i="1"/>
  <c r="I1419" i="1"/>
  <c r="I1082" i="1"/>
  <c r="I1102" i="1"/>
  <c r="I937" i="1"/>
  <c r="I590" i="1"/>
  <c r="I1248" i="1"/>
  <c r="I1009" i="1"/>
  <c r="I98" i="1"/>
  <c r="I87" i="1"/>
  <c r="I39" i="1"/>
  <c r="I1080" i="1"/>
  <c r="I225" i="1"/>
  <c r="I1087" i="1"/>
  <c r="I1748" i="1"/>
  <c r="I1198" i="1"/>
  <c r="A1" i="4"/>
  <c r="F258" i="1"/>
  <c r="D574" i="1"/>
  <c r="E574" i="1"/>
  <c r="F574" i="1"/>
  <c r="G574" i="1"/>
  <c r="H574" i="1"/>
  <c r="D239" i="1"/>
  <c r="E239" i="1"/>
  <c r="F239" i="1"/>
  <c r="G239" i="1"/>
  <c r="H239" i="1"/>
  <c r="D1645" i="1"/>
  <c r="E1645" i="1"/>
  <c r="F1645" i="1"/>
  <c r="G1645" i="1"/>
  <c r="H1645" i="1"/>
  <c r="D520" i="1"/>
  <c r="E520" i="1"/>
  <c r="F520" i="1"/>
  <c r="G520" i="1"/>
  <c r="H520" i="1"/>
  <c r="D1516" i="1"/>
  <c r="E1516" i="1"/>
  <c r="F1516" i="1"/>
  <c r="G1516" i="1"/>
  <c r="H1516" i="1"/>
  <c r="D420" i="1"/>
  <c r="E420" i="1"/>
  <c r="F420" i="1"/>
  <c r="G420" i="1"/>
  <c r="H420" i="1"/>
  <c r="D1138" i="1"/>
  <c r="E1138" i="1"/>
  <c r="F1138" i="1"/>
  <c r="G1138" i="1"/>
  <c r="H1138" i="1"/>
  <c r="D1156" i="1"/>
  <c r="E1156" i="1"/>
  <c r="F1156" i="1"/>
  <c r="G1156" i="1"/>
  <c r="H1156" i="1"/>
  <c r="D1074" i="1"/>
  <c r="E1074" i="1"/>
  <c r="F1074" i="1"/>
  <c r="G1074" i="1"/>
  <c r="H1074" i="1"/>
  <c r="D53" i="1"/>
  <c r="E53" i="1"/>
  <c r="F53" i="1"/>
  <c r="G53" i="1"/>
  <c r="H53" i="1"/>
  <c r="D1666" i="1"/>
  <c r="E1666" i="1"/>
  <c r="F1666" i="1"/>
  <c r="G1666" i="1"/>
  <c r="H1666" i="1"/>
  <c r="D1511" i="1"/>
  <c r="E1511" i="1"/>
  <c r="F1511" i="1"/>
  <c r="G1511" i="1"/>
  <c r="H1511" i="1"/>
  <c r="D107" i="1"/>
  <c r="E107" i="1"/>
  <c r="F107" i="1"/>
  <c r="G107" i="1"/>
  <c r="H107" i="1"/>
  <c r="D1681" i="1"/>
  <c r="E1681" i="1"/>
  <c r="F1681" i="1"/>
  <c r="G1681" i="1"/>
  <c r="H1681" i="1"/>
  <c r="D883" i="1"/>
  <c r="E883" i="1"/>
  <c r="F883" i="1"/>
  <c r="G883" i="1"/>
  <c r="H883" i="1"/>
  <c r="D52" i="1"/>
  <c r="E52" i="1"/>
  <c r="F52" i="1"/>
  <c r="G52" i="1"/>
  <c r="H52" i="1"/>
  <c r="D902" i="1"/>
  <c r="E902" i="1"/>
  <c r="F902" i="1"/>
  <c r="G902" i="1"/>
  <c r="H902" i="1"/>
  <c r="D378" i="1"/>
  <c r="E378" i="1"/>
  <c r="F378" i="1"/>
  <c r="G378" i="1"/>
  <c r="H378" i="1"/>
  <c r="D1530" i="1"/>
  <c r="E1530" i="1"/>
  <c r="F1530" i="1"/>
  <c r="G1530" i="1"/>
  <c r="H1530" i="1"/>
  <c r="D1716" i="1"/>
  <c r="E1716" i="1"/>
  <c r="F1716" i="1"/>
  <c r="G1716" i="1"/>
  <c r="H1716" i="1"/>
  <c r="D1490" i="1"/>
  <c r="E1490" i="1"/>
  <c r="F1490" i="1"/>
  <c r="G1490" i="1"/>
  <c r="H1490" i="1"/>
  <c r="D787" i="1"/>
  <c r="E787" i="1"/>
  <c r="F787" i="1"/>
  <c r="G787" i="1"/>
  <c r="H787" i="1"/>
  <c r="D1219" i="1"/>
  <c r="E1219" i="1"/>
  <c r="F1219" i="1"/>
  <c r="G1219" i="1"/>
  <c r="H1219" i="1"/>
  <c r="D748" i="1"/>
  <c r="E748" i="1"/>
  <c r="F748" i="1"/>
  <c r="G748" i="1"/>
  <c r="H748" i="1"/>
  <c r="D1674" i="1"/>
  <c r="E1674" i="1"/>
  <c r="F1674" i="1"/>
  <c r="G1674" i="1"/>
  <c r="H1674" i="1"/>
  <c r="D1499" i="1"/>
  <c r="E1499" i="1"/>
  <c r="F1499" i="1"/>
  <c r="G1499" i="1"/>
  <c r="H1499" i="1"/>
  <c r="D401" i="1"/>
  <c r="E401" i="1"/>
  <c r="F401" i="1"/>
  <c r="G401" i="1"/>
  <c r="H401" i="1"/>
  <c r="D532" i="1"/>
  <c r="E532" i="1"/>
  <c r="F532" i="1"/>
  <c r="G532" i="1"/>
  <c r="H532" i="1"/>
  <c r="D1579" i="1"/>
  <c r="E1579" i="1"/>
  <c r="F1579" i="1"/>
  <c r="G1579" i="1"/>
  <c r="H1579" i="1"/>
  <c r="D890" i="1"/>
  <c r="E890" i="1"/>
  <c r="F890" i="1"/>
  <c r="G890" i="1"/>
  <c r="H890" i="1"/>
  <c r="D1588" i="1"/>
  <c r="E1588" i="1"/>
  <c r="F1588" i="1"/>
  <c r="G1588" i="1"/>
  <c r="H1588" i="1"/>
  <c r="D5" i="1"/>
  <c r="E5" i="1"/>
  <c r="F5" i="1"/>
  <c r="G5" i="1"/>
  <c r="H5" i="1"/>
  <c r="D771" i="1"/>
  <c r="E771" i="1"/>
  <c r="F771" i="1"/>
  <c r="G771" i="1"/>
  <c r="H771" i="1"/>
  <c r="D319" i="1"/>
  <c r="E319" i="1"/>
  <c r="F319" i="1"/>
  <c r="G319" i="1"/>
  <c r="H319" i="1"/>
  <c r="D760" i="1"/>
  <c r="E760" i="1"/>
  <c r="F760" i="1"/>
  <c r="G760" i="1"/>
  <c r="H760" i="1"/>
  <c r="D1659" i="1"/>
  <c r="E1659" i="1"/>
  <c r="F1659" i="1"/>
  <c r="G1659" i="1"/>
  <c r="H1659" i="1"/>
  <c r="D1738" i="1"/>
  <c r="E1738" i="1"/>
  <c r="F1738" i="1"/>
  <c r="G1738" i="1"/>
  <c r="H1738" i="1"/>
  <c r="D957" i="1"/>
  <c r="E957" i="1"/>
  <c r="F957" i="1"/>
  <c r="G957" i="1"/>
  <c r="H957" i="1"/>
  <c r="D603" i="1"/>
  <c r="E603" i="1"/>
  <c r="F603" i="1"/>
  <c r="G603" i="1"/>
  <c r="H603" i="1"/>
  <c r="D1388" i="1"/>
  <c r="E1388" i="1"/>
  <c r="F1388" i="1"/>
  <c r="G1388" i="1"/>
  <c r="H1388" i="1"/>
  <c r="D1381" i="1"/>
  <c r="E1381" i="1"/>
  <c r="F1381" i="1"/>
  <c r="G1381" i="1"/>
  <c r="H1381" i="1"/>
  <c r="D1186" i="1"/>
  <c r="E1186" i="1"/>
  <c r="F1186" i="1"/>
  <c r="G1186" i="1"/>
  <c r="H1186" i="1"/>
  <c r="D70" i="1"/>
  <c r="E70" i="1"/>
  <c r="F70" i="1"/>
  <c r="G70" i="1"/>
  <c r="H70" i="1"/>
  <c r="D1172" i="1"/>
  <c r="E1172" i="1"/>
  <c r="F1172" i="1"/>
  <c r="G1172" i="1"/>
  <c r="H1172" i="1"/>
  <c r="D1456" i="1"/>
  <c r="E1456" i="1"/>
  <c r="F1456" i="1"/>
  <c r="G1456" i="1"/>
  <c r="H1456" i="1"/>
  <c r="D1389" i="1"/>
  <c r="E1389" i="1"/>
  <c r="F1389" i="1"/>
  <c r="G1389" i="1"/>
  <c r="H1389" i="1"/>
  <c r="D680" i="1"/>
  <c r="E680" i="1"/>
  <c r="F680" i="1"/>
  <c r="G680" i="1"/>
  <c r="H680" i="1"/>
  <c r="D1560" i="1"/>
  <c r="E1560" i="1"/>
  <c r="F1560" i="1"/>
  <c r="G1560" i="1"/>
  <c r="H1560" i="1"/>
  <c r="D355" i="1"/>
  <c r="E355" i="1"/>
  <c r="F355" i="1"/>
  <c r="G355" i="1"/>
  <c r="H355" i="1"/>
  <c r="D898" i="1"/>
  <c r="E898" i="1"/>
  <c r="F898" i="1"/>
  <c r="G898" i="1"/>
  <c r="H898" i="1"/>
  <c r="D1133" i="1"/>
  <c r="E1133" i="1"/>
  <c r="F1133" i="1"/>
  <c r="G1133" i="1"/>
  <c r="H1133" i="1"/>
  <c r="D816" i="1"/>
  <c r="E816" i="1"/>
  <c r="F816" i="1"/>
  <c r="G816" i="1"/>
  <c r="H816" i="1"/>
  <c r="D1222" i="1"/>
  <c r="E1222" i="1"/>
  <c r="F1222" i="1"/>
  <c r="G1222" i="1"/>
  <c r="H1222" i="1"/>
  <c r="D95" i="1"/>
  <c r="E95" i="1"/>
  <c r="F95" i="1"/>
  <c r="G95" i="1"/>
  <c r="H95" i="1"/>
  <c r="D624" i="1"/>
  <c r="E624" i="1"/>
  <c r="F624" i="1"/>
  <c r="G624" i="1"/>
  <c r="H624" i="1"/>
  <c r="D73" i="1"/>
  <c r="E73" i="1"/>
  <c r="F73" i="1"/>
  <c r="G73" i="1"/>
  <c r="H73" i="1"/>
  <c r="D749" i="1"/>
  <c r="E749" i="1"/>
  <c r="F749" i="1"/>
  <c r="G749" i="1"/>
  <c r="H749" i="1"/>
  <c r="D1056" i="1"/>
  <c r="E1056" i="1"/>
  <c r="F1056" i="1"/>
  <c r="G1056" i="1"/>
  <c r="H1056" i="1"/>
  <c r="D1480" i="1"/>
  <c r="E1480" i="1"/>
  <c r="F1480" i="1"/>
  <c r="G1480" i="1"/>
  <c r="H1480" i="1"/>
  <c r="D8" i="1"/>
  <c r="E8" i="1"/>
  <c r="F8" i="1"/>
  <c r="G8" i="1"/>
  <c r="H8" i="1"/>
  <c r="D684" i="1"/>
  <c r="E684" i="1"/>
  <c r="F684" i="1"/>
  <c r="G684" i="1"/>
  <c r="H684" i="1"/>
  <c r="D540" i="1"/>
  <c r="E540" i="1"/>
  <c r="F540" i="1"/>
  <c r="G540" i="1"/>
  <c r="H540" i="1"/>
  <c r="D1408" i="1"/>
  <c r="E1408" i="1"/>
  <c r="F1408" i="1"/>
  <c r="G1408" i="1"/>
  <c r="H1408" i="1"/>
  <c r="D1507" i="1"/>
  <c r="E1507" i="1"/>
  <c r="F1507" i="1"/>
  <c r="G1507" i="1"/>
  <c r="H1507" i="1"/>
  <c r="D1531" i="1"/>
  <c r="E1531" i="1"/>
  <c r="F1531" i="1"/>
  <c r="G1531" i="1"/>
  <c r="H1531" i="1"/>
  <c r="D1246" i="1"/>
  <c r="E1246" i="1"/>
  <c r="F1246" i="1"/>
  <c r="G1246" i="1"/>
  <c r="H1246" i="1"/>
  <c r="D1306" i="1"/>
  <c r="E1306" i="1"/>
  <c r="F1306" i="1"/>
  <c r="G1306" i="1"/>
  <c r="H1306" i="1"/>
  <c r="D124" i="1"/>
  <c r="E124" i="1"/>
  <c r="F124" i="1"/>
  <c r="G124" i="1"/>
  <c r="H124" i="1"/>
  <c r="D877" i="1"/>
  <c r="E877" i="1"/>
  <c r="F877" i="1"/>
  <c r="G877" i="1"/>
  <c r="H877" i="1"/>
  <c r="D1211" i="1"/>
  <c r="E1211" i="1"/>
  <c r="F1211" i="1"/>
  <c r="G1211" i="1"/>
  <c r="H1211" i="1"/>
  <c r="D730" i="1"/>
  <c r="E730" i="1"/>
  <c r="F730" i="1"/>
  <c r="G730" i="1"/>
  <c r="H730" i="1"/>
  <c r="D1303" i="1"/>
  <c r="E1303" i="1"/>
  <c r="F1303" i="1"/>
  <c r="G1303" i="1"/>
  <c r="H1303" i="1"/>
  <c r="D1721" i="1"/>
  <c r="E1721" i="1"/>
  <c r="F1721" i="1"/>
  <c r="G1721" i="1"/>
  <c r="H1721" i="1"/>
  <c r="D1069" i="1"/>
  <c r="E1069" i="1"/>
  <c r="F1069" i="1"/>
  <c r="G1069" i="1"/>
  <c r="H1069" i="1"/>
  <c r="D602" i="1"/>
  <c r="E602" i="1"/>
  <c r="F602" i="1"/>
  <c r="G602" i="1"/>
  <c r="H602" i="1"/>
  <c r="D57" i="1"/>
  <c r="E57" i="1"/>
  <c r="F57" i="1"/>
  <c r="G57" i="1"/>
  <c r="H57" i="1"/>
  <c r="D726" i="1"/>
  <c r="E726" i="1"/>
  <c r="F726" i="1"/>
  <c r="G726" i="1"/>
  <c r="H726" i="1"/>
  <c r="D1006" i="1"/>
  <c r="E1006" i="1"/>
  <c r="F1006" i="1"/>
  <c r="G1006" i="1"/>
  <c r="H1006" i="1"/>
  <c r="D1369" i="1"/>
  <c r="E1369" i="1"/>
  <c r="F1369" i="1"/>
  <c r="G1369" i="1"/>
  <c r="H1369" i="1"/>
  <c r="D349" i="1"/>
  <c r="E349" i="1"/>
  <c r="F349" i="1"/>
  <c r="G349" i="1"/>
  <c r="H349" i="1"/>
  <c r="D1111" i="1"/>
  <c r="E1111" i="1"/>
  <c r="F1111" i="1"/>
  <c r="G1111" i="1"/>
  <c r="H1111" i="1"/>
  <c r="D1250" i="1"/>
  <c r="E1250" i="1"/>
  <c r="F1250" i="1"/>
  <c r="G1250" i="1"/>
  <c r="H1250" i="1"/>
  <c r="D1606" i="1"/>
  <c r="E1606" i="1"/>
  <c r="F1606" i="1"/>
  <c r="G1606" i="1"/>
  <c r="H1606" i="1"/>
  <c r="D126" i="1"/>
  <c r="E126" i="1"/>
  <c r="F126" i="1"/>
  <c r="G126" i="1"/>
  <c r="H126" i="1"/>
  <c r="D1436" i="1"/>
  <c r="E1436" i="1"/>
  <c r="F1436" i="1"/>
  <c r="G1436" i="1"/>
  <c r="H1436" i="1"/>
  <c r="D1551" i="1"/>
  <c r="E1551" i="1"/>
  <c r="F1551" i="1"/>
  <c r="G1551" i="1"/>
  <c r="H1551" i="1"/>
  <c r="D1603" i="1"/>
  <c r="E1603" i="1"/>
  <c r="F1603" i="1"/>
  <c r="G1603" i="1"/>
  <c r="H1603" i="1"/>
  <c r="D716" i="1"/>
  <c r="E716" i="1"/>
  <c r="F716" i="1"/>
  <c r="G716" i="1"/>
  <c r="H716" i="1"/>
  <c r="D647" i="1"/>
  <c r="E647" i="1"/>
  <c r="F647" i="1"/>
  <c r="G647" i="1"/>
  <c r="H647" i="1"/>
  <c r="D1280" i="1"/>
  <c r="E1280" i="1"/>
  <c r="F1280" i="1"/>
  <c r="G1280" i="1"/>
  <c r="H1280" i="1"/>
  <c r="D203" i="1"/>
  <c r="E203" i="1"/>
  <c r="F203" i="1"/>
  <c r="G203" i="1"/>
  <c r="H203" i="1"/>
  <c r="D496" i="1"/>
  <c r="E496" i="1"/>
  <c r="F496" i="1"/>
  <c r="G496" i="1"/>
  <c r="H496" i="1"/>
  <c r="D1537" i="1"/>
  <c r="E1537" i="1"/>
  <c r="F1537" i="1"/>
  <c r="G1537" i="1"/>
  <c r="H1537" i="1"/>
  <c r="D299" i="1"/>
  <c r="E299" i="1"/>
  <c r="F299" i="1"/>
  <c r="G299" i="1"/>
  <c r="H299" i="1"/>
  <c r="D1313" i="1"/>
  <c r="E1313" i="1"/>
  <c r="F1313" i="1"/>
  <c r="G1313" i="1"/>
  <c r="H1313" i="1"/>
  <c r="D1424" i="1"/>
  <c r="E1424" i="1"/>
  <c r="F1424" i="1"/>
  <c r="G1424" i="1"/>
  <c r="H1424" i="1"/>
  <c r="D1427" i="1"/>
  <c r="E1427" i="1"/>
  <c r="F1427" i="1"/>
  <c r="G1427" i="1"/>
  <c r="H1427" i="1"/>
  <c r="D265" i="1"/>
  <c r="E265" i="1"/>
  <c r="F265" i="1"/>
  <c r="G265" i="1"/>
  <c r="H265" i="1"/>
  <c r="D1626" i="1"/>
  <c r="E1626" i="1"/>
  <c r="F1626" i="1"/>
  <c r="G1626" i="1"/>
  <c r="H1626" i="1"/>
  <c r="D734" i="1"/>
  <c r="E734" i="1"/>
  <c r="F734" i="1"/>
  <c r="G734" i="1"/>
  <c r="H734" i="1"/>
  <c r="D1423" i="1"/>
  <c r="E1423" i="1"/>
  <c r="F1423" i="1"/>
  <c r="G1423" i="1"/>
  <c r="H1423" i="1"/>
  <c r="D1446" i="1"/>
  <c r="E1446" i="1"/>
  <c r="F1446" i="1"/>
  <c r="G1446" i="1"/>
  <c r="H1446" i="1"/>
  <c r="D1406" i="1"/>
  <c r="E1406" i="1"/>
  <c r="F1406" i="1"/>
  <c r="G1406" i="1"/>
  <c r="H1406" i="1"/>
  <c r="D480" i="1"/>
  <c r="E480" i="1"/>
  <c r="F480" i="1"/>
  <c r="G480" i="1"/>
  <c r="H480" i="1"/>
  <c r="D146" i="1"/>
  <c r="E146" i="1"/>
  <c r="F146" i="1"/>
  <c r="G146" i="1"/>
  <c r="H146" i="1"/>
  <c r="D634" i="1"/>
  <c r="E634" i="1"/>
  <c r="F634" i="1"/>
  <c r="G634" i="1"/>
  <c r="H634" i="1"/>
  <c r="D1232" i="1"/>
  <c r="E1232" i="1"/>
  <c r="F1232" i="1"/>
  <c r="G1232" i="1"/>
  <c r="H1232" i="1"/>
  <c r="D1635" i="1"/>
  <c r="E1635" i="1"/>
  <c r="F1635" i="1"/>
  <c r="G1635" i="1"/>
  <c r="H1635" i="1"/>
  <c r="D1338" i="1"/>
  <c r="E1338" i="1"/>
  <c r="F1338" i="1"/>
  <c r="G1338" i="1"/>
  <c r="H1338" i="1"/>
  <c r="D554" i="1"/>
  <c r="E554" i="1"/>
  <c r="F554" i="1"/>
  <c r="G554" i="1"/>
  <c r="H554" i="1"/>
  <c r="D1036" i="1"/>
  <c r="E1036" i="1"/>
  <c r="F1036" i="1"/>
  <c r="G1036" i="1"/>
  <c r="H1036" i="1"/>
  <c r="D1178" i="1"/>
  <c r="E1178" i="1"/>
  <c r="F1178" i="1"/>
  <c r="G1178" i="1"/>
  <c r="H1178" i="1"/>
  <c r="D1130" i="1"/>
  <c r="E1130" i="1"/>
  <c r="F1130" i="1"/>
  <c r="G1130" i="1"/>
  <c r="H1130" i="1"/>
  <c r="D698" i="1"/>
  <c r="E698" i="1"/>
  <c r="F698" i="1"/>
  <c r="G698" i="1"/>
  <c r="H698" i="1"/>
  <c r="D1638" i="1"/>
  <c r="E1638" i="1"/>
  <c r="F1638" i="1"/>
  <c r="G1638" i="1"/>
  <c r="H1638" i="1"/>
  <c r="D505" i="1"/>
  <c r="E505" i="1"/>
  <c r="F505" i="1"/>
  <c r="G505" i="1"/>
  <c r="H505" i="1"/>
  <c r="D912" i="1"/>
  <c r="E912" i="1"/>
  <c r="F912" i="1"/>
  <c r="G912" i="1"/>
  <c r="H912" i="1"/>
  <c r="D257" i="1"/>
  <c r="E257" i="1"/>
  <c r="F257" i="1"/>
  <c r="G257" i="1"/>
  <c r="H257" i="1"/>
  <c r="D660" i="1"/>
  <c r="E660" i="1"/>
  <c r="F660" i="1"/>
  <c r="G660" i="1"/>
  <c r="H660" i="1"/>
  <c r="D1017" i="1"/>
  <c r="E1017" i="1"/>
  <c r="F1017" i="1"/>
  <c r="G1017" i="1"/>
  <c r="H1017" i="1"/>
  <c r="D1116" i="1"/>
  <c r="E1116" i="1"/>
  <c r="F1116" i="1"/>
  <c r="G1116" i="1"/>
  <c r="H1116" i="1"/>
  <c r="D403" i="1"/>
  <c r="E403" i="1"/>
  <c r="F403" i="1"/>
  <c r="G403" i="1"/>
  <c r="H403" i="1"/>
  <c r="D1299" i="1"/>
  <c r="E1299" i="1"/>
  <c r="F1299" i="1"/>
  <c r="G1299" i="1"/>
  <c r="H1299" i="1"/>
  <c r="D1035" i="1"/>
  <c r="E1035" i="1"/>
  <c r="F1035" i="1"/>
  <c r="G1035" i="1"/>
  <c r="H1035" i="1"/>
  <c r="D1460" i="1"/>
  <c r="E1460" i="1"/>
  <c r="F1460" i="1"/>
  <c r="G1460" i="1"/>
  <c r="H1460" i="1"/>
  <c r="D819" i="1"/>
  <c r="E819" i="1"/>
  <c r="F819" i="1"/>
  <c r="G819" i="1"/>
  <c r="H819" i="1"/>
  <c r="D1244" i="1"/>
  <c r="E1244" i="1"/>
  <c r="F1244" i="1"/>
  <c r="G1244" i="1"/>
  <c r="H1244" i="1"/>
  <c r="D359" i="1"/>
  <c r="E359" i="1"/>
  <c r="F359" i="1"/>
  <c r="G359" i="1"/>
  <c r="H359" i="1"/>
  <c r="D664" i="1"/>
  <c r="E664" i="1"/>
  <c r="F664" i="1"/>
  <c r="G664" i="1"/>
  <c r="H664" i="1"/>
  <c r="D930" i="1"/>
  <c r="E930" i="1"/>
  <c r="F930" i="1"/>
  <c r="G930" i="1"/>
  <c r="H930" i="1"/>
  <c r="D303" i="1"/>
  <c r="E303" i="1"/>
  <c r="F303" i="1"/>
  <c r="G303" i="1"/>
  <c r="H303" i="1"/>
  <c r="D300" i="1"/>
  <c r="E300" i="1"/>
  <c r="F300" i="1"/>
  <c r="G300" i="1"/>
  <c r="H300" i="1"/>
  <c r="D371" i="1"/>
  <c r="E371" i="1"/>
  <c r="F371" i="1"/>
  <c r="G371" i="1"/>
  <c r="H371" i="1"/>
  <c r="D231" i="1"/>
  <c r="E231" i="1"/>
  <c r="F231" i="1"/>
  <c r="G231" i="1"/>
  <c r="H231" i="1"/>
  <c r="D177" i="1"/>
  <c r="E177" i="1"/>
  <c r="F177" i="1"/>
  <c r="G177" i="1"/>
  <c r="H177" i="1"/>
  <c r="D1435" i="1"/>
  <c r="E1435" i="1"/>
  <c r="F1435" i="1"/>
  <c r="G1435" i="1"/>
  <c r="H1435" i="1"/>
  <c r="D1179" i="1"/>
  <c r="E1179" i="1"/>
  <c r="F1179" i="1"/>
  <c r="G1179" i="1"/>
  <c r="H1179" i="1"/>
  <c r="D936" i="1"/>
  <c r="E936" i="1"/>
  <c r="F936" i="1"/>
  <c r="G936" i="1"/>
  <c r="H936" i="1"/>
  <c r="D1212" i="1"/>
  <c r="E1212" i="1"/>
  <c r="F1212" i="1"/>
  <c r="G1212" i="1"/>
  <c r="H1212" i="1"/>
  <c r="D969" i="1"/>
  <c r="E969" i="1"/>
  <c r="F969" i="1"/>
  <c r="G969" i="1"/>
  <c r="H969" i="1"/>
  <c r="D620" i="1"/>
  <c r="E620" i="1"/>
  <c r="F620" i="1"/>
  <c r="G620" i="1"/>
  <c r="H620" i="1"/>
  <c r="D809" i="1"/>
  <c r="E809" i="1"/>
  <c r="F809" i="1"/>
  <c r="G809" i="1"/>
  <c r="H809" i="1"/>
  <c r="D744" i="1"/>
  <c r="E744" i="1"/>
  <c r="F744" i="1"/>
  <c r="G744" i="1"/>
  <c r="H744" i="1"/>
  <c r="D799" i="1"/>
  <c r="E799" i="1"/>
  <c r="F799" i="1"/>
  <c r="G799" i="1"/>
  <c r="H799" i="1"/>
  <c r="D130" i="1"/>
  <c r="E130" i="1"/>
  <c r="F130" i="1"/>
  <c r="G130" i="1"/>
  <c r="H130" i="1"/>
  <c r="D311" i="1"/>
  <c r="E311" i="1"/>
  <c r="F311" i="1"/>
  <c r="G311" i="1"/>
  <c r="H311" i="1"/>
  <c r="D376" i="1"/>
  <c r="E376" i="1"/>
  <c r="F376" i="1"/>
  <c r="G376" i="1"/>
  <c r="H376" i="1"/>
  <c r="D1477" i="1"/>
  <c r="E1477" i="1"/>
  <c r="F1477" i="1"/>
  <c r="G1477" i="1"/>
  <c r="H1477" i="1"/>
  <c r="D1173" i="1"/>
  <c r="E1173" i="1"/>
  <c r="F1173" i="1"/>
  <c r="G1173" i="1"/>
  <c r="H1173" i="1"/>
  <c r="D277" i="1"/>
  <c r="E277" i="1"/>
  <c r="F277" i="1"/>
  <c r="G277" i="1"/>
  <c r="H277" i="1"/>
  <c r="D1038" i="1"/>
  <c r="E1038" i="1"/>
  <c r="F1038" i="1"/>
  <c r="G1038" i="1"/>
  <c r="H1038" i="1"/>
  <c r="D879" i="1"/>
  <c r="E879" i="1"/>
  <c r="F879" i="1"/>
  <c r="G879" i="1"/>
  <c r="H879" i="1"/>
  <c r="D114" i="1"/>
  <c r="E114" i="1"/>
  <c r="F114" i="1"/>
  <c r="G114" i="1"/>
  <c r="H114" i="1"/>
  <c r="D46" i="1"/>
  <c r="E46" i="1"/>
  <c r="F46" i="1"/>
  <c r="G46" i="1"/>
  <c r="H46" i="1"/>
  <c r="D675" i="1"/>
  <c r="E675" i="1"/>
  <c r="F675" i="1"/>
  <c r="G675" i="1"/>
  <c r="H675" i="1"/>
  <c r="D25" i="1"/>
  <c r="E25" i="1"/>
  <c r="F25" i="1"/>
  <c r="G25" i="1"/>
  <c r="H25" i="1"/>
  <c r="D1515" i="1"/>
  <c r="E1515" i="1"/>
  <c r="F1515" i="1"/>
  <c r="G1515" i="1"/>
  <c r="H1515" i="1"/>
  <c r="D92" i="1"/>
  <c r="E92" i="1"/>
  <c r="F92" i="1"/>
  <c r="G92" i="1"/>
  <c r="H92" i="1"/>
  <c r="D1339" i="1"/>
  <c r="E1339" i="1"/>
  <c r="F1339" i="1"/>
  <c r="G1339" i="1"/>
  <c r="H1339" i="1"/>
  <c r="D536" i="1"/>
  <c r="E536" i="1"/>
  <c r="F536" i="1"/>
  <c r="G536" i="1"/>
  <c r="H536" i="1"/>
  <c r="D742" i="1"/>
  <c r="E742" i="1"/>
  <c r="F742" i="1"/>
  <c r="G742" i="1"/>
  <c r="H742" i="1"/>
  <c r="D314" i="1"/>
  <c r="E314" i="1"/>
  <c r="F314" i="1"/>
  <c r="G314" i="1"/>
  <c r="H314" i="1"/>
  <c r="D1541" i="1"/>
  <c r="E1541" i="1"/>
  <c r="F1541" i="1"/>
  <c r="G1541" i="1"/>
  <c r="H1541" i="1"/>
  <c r="D900" i="1"/>
  <c r="E900" i="1"/>
  <c r="F900" i="1"/>
  <c r="G900" i="1"/>
  <c r="H900" i="1"/>
  <c r="D244" i="1"/>
  <c r="E244" i="1"/>
  <c r="F244" i="1"/>
  <c r="G244" i="1"/>
  <c r="H244" i="1"/>
  <c r="D6" i="1"/>
  <c r="E6" i="1"/>
  <c r="F6" i="1"/>
  <c r="G6" i="1"/>
  <c r="H6" i="1"/>
  <c r="D1392" i="1"/>
  <c r="E1392" i="1"/>
  <c r="F1392" i="1"/>
  <c r="G1392" i="1"/>
  <c r="H1392" i="1"/>
  <c r="D473" i="1"/>
  <c r="E473" i="1"/>
  <c r="F473" i="1"/>
  <c r="G473" i="1"/>
  <c r="H473" i="1"/>
  <c r="D1367" i="1"/>
  <c r="E1367" i="1"/>
  <c r="F1367" i="1"/>
  <c r="G1367" i="1"/>
  <c r="H1367" i="1"/>
  <c r="D1712" i="1"/>
  <c r="E1712" i="1"/>
  <c r="F1712" i="1"/>
  <c r="G1712" i="1"/>
  <c r="H1712" i="1"/>
  <c r="D628" i="1"/>
  <c r="E628" i="1"/>
  <c r="F628" i="1"/>
  <c r="G628" i="1"/>
  <c r="H628" i="1"/>
  <c r="D958" i="1"/>
  <c r="E958" i="1"/>
  <c r="F958" i="1"/>
  <c r="G958" i="1"/>
  <c r="H958" i="1"/>
  <c r="D614" i="1"/>
  <c r="E614" i="1"/>
  <c r="F614" i="1"/>
  <c r="G614" i="1"/>
  <c r="H614" i="1"/>
  <c r="D1567" i="1"/>
  <c r="E1567" i="1"/>
  <c r="F1567" i="1"/>
  <c r="G1567" i="1"/>
  <c r="H1567" i="1"/>
  <c r="D515" i="1"/>
  <c r="E515" i="1"/>
  <c r="F515" i="1"/>
  <c r="G515" i="1"/>
  <c r="H515" i="1"/>
  <c r="D247" i="1"/>
  <c r="E247" i="1"/>
  <c r="F247" i="1"/>
  <c r="G247" i="1"/>
  <c r="H247" i="1"/>
  <c r="D828" i="1"/>
  <c r="E828" i="1"/>
  <c r="F828" i="1"/>
  <c r="G828" i="1"/>
  <c r="H828" i="1"/>
  <c r="D1084" i="1"/>
  <c r="E1084" i="1"/>
  <c r="F1084" i="1"/>
  <c r="G1084" i="1"/>
  <c r="H1084" i="1"/>
  <c r="D1054" i="1"/>
  <c r="E1054" i="1"/>
  <c r="F1054" i="1"/>
  <c r="G1054" i="1"/>
  <c r="H1054" i="1"/>
  <c r="D1457" i="1"/>
  <c r="E1457" i="1"/>
  <c r="F1457" i="1"/>
  <c r="G1457" i="1"/>
  <c r="H1457" i="1"/>
  <c r="D1527" i="1"/>
  <c r="E1527" i="1"/>
  <c r="F1527" i="1"/>
  <c r="G1527" i="1"/>
  <c r="H1527" i="1"/>
  <c r="D1691" i="1"/>
  <c r="E1691" i="1"/>
  <c r="F1691" i="1"/>
  <c r="G1691" i="1"/>
  <c r="H1691" i="1"/>
  <c r="D1629" i="1"/>
  <c r="E1629" i="1"/>
  <c r="F1629" i="1"/>
  <c r="G1629" i="1"/>
  <c r="H1629" i="1"/>
  <c r="D118" i="1"/>
  <c r="E118" i="1"/>
  <c r="F118" i="1"/>
  <c r="G118" i="1"/>
  <c r="H118" i="1"/>
  <c r="D1426" i="1"/>
  <c r="E1426" i="1"/>
  <c r="F1426" i="1"/>
  <c r="G1426" i="1"/>
  <c r="H1426" i="1"/>
  <c r="D340" i="1"/>
  <c r="E340" i="1"/>
  <c r="F340" i="1"/>
  <c r="G340" i="1"/>
  <c r="H340" i="1"/>
  <c r="D588" i="1"/>
  <c r="E588" i="1"/>
  <c r="F588" i="1"/>
  <c r="G588" i="1"/>
  <c r="H588" i="1"/>
  <c r="D782" i="1"/>
  <c r="E782" i="1"/>
  <c r="F782" i="1"/>
  <c r="G782" i="1"/>
  <c r="H782" i="1"/>
  <c r="D1589" i="1"/>
  <c r="E1589" i="1"/>
  <c r="F1589" i="1"/>
  <c r="G1589" i="1"/>
  <c r="H1589" i="1"/>
  <c r="D1741" i="1"/>
  <c r="E1741" i="1"/>
  <c r="F1741" i="1"/>
  <c r="G1741" i="1"/>
  <c r="H1741" i="1"/>
  <c r="D689" i="1"/>
  <c r="E689" i="1"/>
  <c r="F689" i="1"/>
  <c r="G689" i="1"/>
  <c r="H689" i="1"/>
  <c r="D917" i="1"/>
  <c r="E917" i="1"/>
  <c r="F917" i="1"/>
  <c r="G917" i="1"/>
  <c r="H917" i="1"/>
  <c r="D1614" i="1"/>
  <c r="E1614" i="1"/>
  <c r="F1614" i="1"/>
  <c r="G1614" i="1"/>
  <c r="H1614" i="1"/>
  <c r="D363" i="1"/>
  <c r="E363" i="1"/>
  <c r="F363" i="1"/>
  <c r="G363" i="1"/>
  <c r="H363" i="1"/>
  <c r="D642" i="1"/>
  <c r="E642" i="1"/>
  <c r="F642" i="1"/>
  <c r="G642" i="1"/>
  <c r="H642" i="1"/>
  <c r="D62" i="1"/>
  <c r="E62" i="1"/>
  <c r="F62" i="1"/>
  <c r="G62" i="1"/>
  <c r="H62" i="1"/>
  <c r="D697" i="1"/>
  <c r="E697" i="1"/>
  <c r="F697" i="1"/>
  <c r="G697" i="1"/>
  <c r="H697" i="1"/>
  <c r="D1394" i="1"/>
  <c r="E1394" i="1"/>
  <c r="F1394" i="1"/>
  <c r="G1394" i="1"/>
  <c r="H1394" i="1"/>
  <c r="D1403" i="1"/>
  <c r="E1403" i="1"/>
  <c r="F1403" i="1"/>
  <c r="G1403" i="1"/>
  <c r="H1403" i="1"/>
  <c r="D1267" i="1"/>
  <c r="E1267" i="1"/>
  <c r="F1267" i="1"/>
  <c r="G1267" i="1"/>
  <c r="H1267" i="1"/>
  <c r="D665" i="1"/>
  <c r="E665" i="1"/>
  <c r="F665" i="1"/>
  <c r="G665" i="1"/>
  <c r="H665" i="1"/>
  <c r="D860" i="1"/>
  <c r="E860" i="1"/>
  <c r="F860" i="1"/>
  <c r="G860" i="1"/>
  <c r="H860" i="1"/>
  <c r="D1654" i="1"/>
  <c r="E1654" i="1"/>
  <c r="F1654" i="1"/>
  <c r="G1654" i="1"/>
  <c r="H1654" i="1"/>
  <c r="D22" i="1"/>
  <c r="E22" i="1"/>
  <c r="F22" i="1"/>
  <c r="G22" i="1"/>
  <c r="H22" i="1"/>
  <c r="D141" i="1"/>
  <c r="E141" i="1"/>
  <c r="F141" i="1"/>
  <c r="G141" i="1"/>
  <c r="H141" i="1"/>
  <c r="D285" i="1"/>
  <c r="E285" i="1"/>
  <c r="F285" i="1"/>
  <c r="G285" i="1"/>
  <c r="H285" i="1"/>
  <c r="D701" i="1"/>
  <c r="E701" i="1"/>
  <c r="F701" i="1"/>
  <c r="G701" i="1"/>
  <c r="H701" i="1"/>
  <c r="D1335" i="1"/>
  <c r="E1335" i="1"/>
  <c r="F1335" i="1"/>
  <c r="G1335" i="1"/>
  <c r="H1335" i="1"/>
  <c r="D218" i="1"/>
  <c r="E218" i="1"/>
  <c r="F218" i="1"/>
  <c r="G218" i="1"/>
  <c r="H218" i="1"/>
  <c r="D1348" i="1"/>
  <c r="E1348" i="1"/>
  <c r="F1348" i="1"/>
  <c r="G1348" i="1"/>
  <c r="H1348" i="1"/>
  <c r="D238" i="1"/>
  <c r="E238" i="1"/>
  <c r="F238" i="1"/>
  <c r="G238" i="1"/>
  <c r="H238" i="1"/>
  <c r="D1641" i="1"/>
  <c r="E1641" i="1"/>
  <c r="F1641" i="1"/>
  <c r="G1641" i="1"/>
  <c r="H1641" i="1"/>
  <c r="D1561" i="1"/>
  <c r="E1561" i="1"/>
  <c r="F1561" i="1"/>
  <c r="G1561" i="1"/>
  <c r="H1561" i="1"/>
  <c r="D1327" i="1"/>
  <c r="E1327" i="1"/>
  <c r="F1327" i="1"/>
  <c r="G1327" i="1"/>
  <c r="H1327" i="1"/>
  <c r="D759" i="1"/>
  <c r="E759" i="1"/>
  <c r="F759" i="1"/>
  <c r="G759" i="1"/>
  <c r="H759" i="1"/>
  <c r="D956" i="1"/>
  <c r="E956" i="1"/>
  <c r="F956" i="1"/>
  <c r="G956" i="1"/>
  <c r="H956" i="1"/>
  <c r="D1249" i="1"/>
  <c r="E1249" i="1"/>
  <c r="F1249" i="1"/>
  <c r="G1249" i="1"/>
  <c r="H1249" i="1"/>
  <c r="D1046" i="1"/>
  <c r="E1046" i="1"/>
  <c r="F1046" i="1"/>
  <c r="G1046" i="1"/>
  <c r="H1046" i="1"/>
  <c r="D1619" i="1"/>
  <c r="E1619" i="1"/>
  <c r="F1619" i="1"/>
  <c r="G1619" i="1"/>
  <c r="H1619" i="1"/>
  <c r="D533" i="1"/>
  <c r="E533" i="1"/>
  <c r="F533" i="1"/>
  <c r="G533" i="1"/>
  <c r="H533" i="1"/>
  <c r="D710" i="1"/>
  <c r="E710" i="1"/>
  <c r="F710" i="1"/>
  <c r="G710" i="1"/>
  <c r="H710" i="1"/>
  <c r="D1330" i="1"/>
  <c r="E1330" i="1"/>
  <c r="F1330" i="1"/>
  <c r="G1330" i="1"/>
  <c r="H1330" i="1"/>
  <c r="D101" i="1"/>
  <c r="E101" i="1"/>
  <c r="F101" i="1"/>
  <c r="G101" i="1"/>
  <c r="H101" i="1"/>
  <c r="D793" i="1"/>
  <c r="E793" i="1"/>
  <c r="F793" i="1"/>
  <c r="G793" i="1"/>
  <c r="H793" i="1"/>
  <c r="D441" i="1"/>
  <c r="E441" i="1"/>
  <c r="F441" i="1"/>
  <c r="G441" i="1"/>
  <c r="H441" i="1"/>
  <c r="D1136" i="1"/>
  <c r="E1136" i="1"/>
  <c r="F1136" i="1"/>
  <c r="G1136" i="1"/>
  <c r="H1136" i="1"/>
  <c r="D1539" i="1"/>
  <c r="E1539" i="1"/>
  <c r="F1539" i="1"/>
  <c r="G1539" i="1"/>
  <c r="H1539" i="1"/>
  <c r="D1745" i="1"/>
  <c r="E1745" i="1"/>
  <c r="F1745" i="1"/>
  <c r="G1745" i="1"/>
  <c r="H1745" i="1"/>
  <c r="D1031" i="1"/>
  <c r="E1031" i="1"/>
  <c r="F1031" i="1"/>
  <c r="G1031" i="1"/>
  <c r="H1031" i="1"/>
  <c r="D1548" i="1"/>
  <c r="E1548" i="1"/>
  <c r="F1548" i="1"/>
  <c r="G1548" i="1"/>
  <c r="H1548" i="1"/>
  <c r="D12" i="1"/>
  <c r="E12" i="1"/>
  <c r="F12" i="1"/>
  <c r="G12" i="1"/>
  <c r="H12" i="1"/>
  <c r="D301" i="1"/>
  <c r="E301" i="1"/>
  <c r="F301" i="1"/>
  <c r="G301" i="1"/>
  <c r="H301" i="1"/>
  <c r="D85" i="1"/>
  <c r="E85" i="1"/>
  <c r="F85" i="1"/>
  <c r="G85" i="1"/>
  <c r="H85" i="1"/>
  <c r="D640" i="1"/>
  <c r="E640" i="1"/>
  <c r="F640" i="1"/>
  <c r="G640" i="1"/>
  <c r="H640" i="1"/>
  <c r="D470" i="1"/>
  <c r="E470" i="1"/>
  <c r="F470" i="1"/>
  <c r="G470" i="1"/>
  <c r="H470" i="1"/>
  <c r="D925" i="1"/>
  <c r="E925" i="1"/>
  <c r="F925" i="1"/>
  <c r="G925" i="1"/>
  <c r="H925" i="1"/>
  <c r="D796" i="1"/>
  <c r="E796" i="1"/>
  <c r="F796" i="1"/>
  <c r="G796" i="1"/>
  <c r="H796" i="1"/>
  <c r="D86" i="1"/>
  <c r="E86" i="1"/>
  <c r="F86" i="1"/>
  <c r="G86" i="1"/>
  <c r="H86" i="1"/>
  <c r="D1648" i="1"/>
  <c r="E1648" i="1"/>
  <c r="F1648" i="1"/>
  <c r="G1648" i="1"/>
  <c r="H1648" i="1"/>
  <c r="D545" i="1"/>
  <c r="E545" i="1"/>
  <c r="F545" i="1"/>
  <c r="G545" i="1"/>
  <c r="H545" i="1"/>
  <c r="D662" i="1"/>
  <c r="E662" i="1"/>
  <c r="F662" i="1"/>
  <c r="G662" i="1"/>
  <c r="H662" i="1"/>
  <c r="D682" i="1"/>
  <c r="E682" i="1"/>
  <c r="F682" i="1"/>
  <c r="G682" i="1"/>
  <c r="H682" i="1"/>
  <c r="D1215" i="1"/>
  <c r="E1215" i="1"/>
  <c r="F1215" i="1"/>
  <c r="G1215" i="1"/>
  <c r="H1215" i="1"/>
  <c r="D1037" i="1"/>
  <c r="E1037" i="1"/>
  <c r="F1037" i="1"/>
  <c r="G1037" i="1"/>
  <c r="H1037" i="1"/>
  <c r="D11" i="1"/>
  <c r="E11" i="1"/>
  <c r="F11" i="1"/>
  <c r="G11" i="1"/>
  <c r="H11" i="1"/>
  <c r="D100" i="1"/>
  <c r="E100" i="1"/>
  <c r="F100" i="1"/>
  <c r="G100" i="1"/>
  <c r="H100" i="1"/>
  <c r="D1238" i="1"/>
  <c r="E1238" i="1"/>
  <c r="F1238" i="1"/>
  <c r="G1238" i="1"/>
  <c r="H1238" i="1"/>
  <c r="D313" i="1"/>
  <c r="E313" i="1"/>
  <c r="F313" i="1"/>
  <c r="G313" i="1"/>
  <c r="H313" i="1"/>
  <c r="D756" i="1"/>
  <c r="E756" i="1"/>
  <c r="F756" i="1"/>
  <c r="G756" i="1"/>
  <c r="H756" i="1"/>
  <c r="D474" i="1"/>
  <c r="E474" i="1"/>
  <c r="F474" i="1"/>
  <c r="G474" i="1"/>
  <c r="H474" i="1"/>
  <c r="D158" i="1"/>
  <c r="E158" i="1"/>
  <c r="F158" i="1"/>
  <c r="G158" i="1"/>
  <c r="H158" i="1"/>
  <c r="D653" i="1"/>
  <c r="E653" i="1"/>
  <c r="F653" i="1"/>
  <c r="G653" i="1"/>
  <c r="H653" i="1"/>
  <c r="D1485" i="1"/>
  <c r="E1485" i="1"/>
  <c r="F1485" i="1"/>
  <c r="G1485" i="1"/>
  <c r="H1485" i="1"/>
  <c r="D564" i="1"/>
  <c r="E564" i="1"/>
  <c r="F564" i="1"/>
  <c r="G564" i="1"/>
  <c r="H564" i="1"/>
  <c r="D1498" i="1"/>
  <c r="E1498" i="1"/>
  <c r="F1498" i="1"/>
  <c r="G1498" i="1"/>
  <c r="H1498" i="1"/>
  <c r="D1045" i="1"/>
  <c r="E1045" i="1"/>
  <c r="F1045" i="1"/>
  <c r="G1045" i="1"/>
  <c r="H1045" i="1"/>
  <c r="D135" i="1"/>
  <c r="E135" i="1"/>
  <c r="F135" i="1"/>
  <c r="G135" i="1"/>
  <c r="H135" i="1"/>
  <c r="D576" i="1"/>
  <c r="E576" i="1"/>
  <c r="F576" i="1"/>
  <c r="G576" i="1"/>
  <c r="H576" i="1"/>
  <c r="D1673" i="1"/>
  <c r="E1673" i="1"/>
  <c r="F1673" i="1"/>
  <c r="G1673" i="1"/>
  <c r="H1673" i="1"/>
  <c r="D1236" i="1"/>
  <c r="E1236" i="1"/>
  <c r="F1236" i="1"/>
  <c r="G1236" i="1"/>
  <c r="H1236" i="1"/>
  <c r="D1416" i="1"/>
  <c r="E1416" i="1"/>
  <c r="F1416" i="1"/>
  <c r="G1416" i="1"/>
  <c r="H1416" i="1"/>
  <c r="D337" i="1"/>
  <c r="E337" i="1"/>
  <c r="F337" i="1"/>
  <c r="G337" i="1"/>
  <c r="H337" i="1"/>
  <c r="D1633" i="1"/>
  <c r="E1633" i="1"/>
  <c r="F1633" i="1"/>
  <c r="G1633" i="1"/>
  <c r="H1633" i="1"/>
  <c r="D1001" i="1"/>
  <c r="E1001" i="1"/>
  <c r="F1001" i="1"/>
  <c r="G1001" i="1"/>
  <c r="H1001" i="1"/>
  <c r="D1597" i="1"/>
  <c r="E1597" i="1"/>
  <c r="F1597" i="1"/>
  <c r="G1597" i="1"/>
  <c r="H1597" i="1"/>
  <c r="D939" i="1"/>
  <c r="E939" i="1"/>
  <c r="F939" i="1"/>
  <c r="G939" i="1"/>
  <c r="H939" i="1"/>
  <c r="D989" i="1"/>
  <c r="E989" i="1"/>
  <c r="F989" i="1"/>
  <c r="G989" i="1"/>
  <c r="H989" i="1"/>
  <c r="D534" i="1"/>
  <c r="E534" i="1"/>
  <c r="F534" i="1"/>
  <c r="G534" i="1"/>
  <c r="H534" i="1"/>
  <c r="D924" i="1"/>
  <c r="E924" i="1"/>
  <c r="F924" i="1"/>
  <c r="G924" i="1"/>
  <c r="H924" i="1"/>
  <c r="D1078" i="1"/>
  <c r="E1078" i="1"/>
  <c r="F1078" i="1"/>
  <c r="G1078" i="1"/>
  <c r="H1078" i="1"/>
  <c r="D808" i="1"/>
  <c r="E808" i="1"/>
  <c r="F808" i="1"/>
  <c r="G808" i="1"/>
  <c r="H808" i="1"/>
  <c r="D132" i="1"/>
  <c r="E132" i="1"/>
  <c r="F132" i="1"/>
  <c r="G132" i="1"/>
  <c r="H132" i="1"/>
  <c r="D495" i="1"/>
  <c r="E495" i="1"/>
  <c r="F495" i="1"/>
  <c r="G495" i="1"/>
  <c r="H495" i="1"/>
  <c r="D1677" i="1"/>
  <c r="E1677" i="1"/>
  <c r="F1677" i="1"/>
  <c r="G1677" i="1"/>
  <c r="H1677" i="1"/>
  <c r="D282" i="1"/>
  <c r="E282" i="1"/>
  <c r="F282" i="1"/>
  <c r="G282" i="1"/>
  <c r="H282" i="1"/>
  <c r="D1305" i="1"/>
  <c r="E1305" i="1"/>
  <c r="F1305" i="1"/>
  <c r="G1305" i="1"/>
  <c r="H1305" i="1"/>
  <c r="D1466" i="1"/>
  <c r="E1466" i="1"/>
  <c r="F1466" i="1"/>
  <c r="G1466" i="1"/>
  <c r="H1466" i="1"/>
  <c r="D851" i="1"/>
  <c r="E851" i="1"/>
  <c r="F851" i="1"/>
  <c r="G851" i="1"/>
  <c r="H851" i="1"/>
  <c r="D93" i="1"/>
  <c r="E93" i="1"/>
  <c r="F93" i="1"/>
  <c r="G93" i="1"/>
  <c r="H93" i="1"/>
  <c r="D818" i="1"/>
  <c r="E818" i="1"/>
  <c r="F818" i="1"/>
  <c r="G818" i="1"/>
  <c r="H818" i="1"/>
  <c r="D207" i="1"/>
  <c r="E207" i="1"/>
  <c r="F207" i="1"/>
  <c r="G207" i="1"/>
  <c r="H207" i="1"/>
  <c r="D1317" i="1"/>
  <c r="E1317" i="1"/>
  <c r="F1317" i="1"/>
  <c r="G1317" i="1"/>
  <c r="H1317" i="1"/>
  <c r="D179" i="1"/>
  <c r="E179" i="1"/>
  <c r="F179" i="1"/>
  <c r="G179" i="1"/>
  <c r="H179" i="1"/>
  <c r="D745" i="1"/>
  <c r="E745" i="1"/>
  <c r="F745" i="1"/>
  <c r="G745" i="1"/>
  <c r="H745" i="1"/>
  <c r="D1040" i="1"/>
  <c r="E1040" i="1"/>
  <c r="F1040" i="1"/>
  <c r="G1040" i="1"/>
  <c r="H1040" i="1"/>
  <c r="D522" i="1"/>
  <c r="E522" i="1"/>
  <c r="F522" i="1"/>
  <c r="G522" i="1"/>
  <c r="H522" i="1"/>
  <c r="D1513" i="1"/>
  <c r="E1513" i="1"/>
  <c r="F1513" i="1"/>
  <c r="G1513" i="1"/>
  <c r="H1513" i="1"/>
  <c r="D50" i="1"/>
  <c r="E50" i="1"/>
  <c r="F50" i="1"/>
  <c r="G50" i="1"/>
  <c r="H50" i="1"/>
  <c r="D1440" i="1"/>
  <c r="E1440" i="1"/>
  <c r="F1440" i="1"/>
  <c r="G1440" i="1"/>
  <c r="H1440" i="1"/>
  <c r="D329" i="1"/>
  <c r="E329" i="1"/>
  <c r="F329" i="1"/>
  <c r="G329" i="1"/>
  <c r="H329" i="1"/>
  <c r="D280" i="1"/>
  <c r="E280" i="1"/>
  <c r="F280" i="1"/>
  <c r="G280" i="1"/>
  <c r="H280" i="1"/>
  <c r="D241" i="1"/>
  <c r="E241" i="1"/>
  <c r="F241" i="1"/>
  <c r="G241" i="1"/>
  <c r="H241" i="1"/>
  <c r="D1506" i="1"/>
  <c r="E1506" i="1"/>
  <c r="F1506" i="1"/>
  <c r="G1506" i="1"/>
  <c r="H1506" i="1"/>
  <c r="D438" i="1"/>
  <c r="E438" i="1"/>
  <c r="F438" i="1"/>
  <c r="G438" i="1"/>
  <c r="H438" i="1"/>
  <c r="D869" i="1"/>
  <c r="E869" i="1"/>
  <c r="F869" i="1"/>
  <c r="G869" i="1"/>
  <c r="H869" i="1"/>
  <c r="D1226" i="1"/>
  <c r="E1226" i="1"/>
  <c r="F1226" i="1"/>
  <c r="G1226" i="1"/>
  <c r="H1226" i="1"/>
  <c r="D404" i="1"/>
  <c r="E404" i="1"/>
  <c r="F404" i="1"/>
  <c r="G404" i="1"/>
  <c r="H404" i="1"/>
  <c r="D834" i="1"/>
  <c r="E834" i="1"/>
  <c r="F834" i="1"/>
  <c r="G834" i="1"/>
  <c r="H834" i="1"/>
  <c r="D1557" i="1"/>
  <c r="E1557" i="1"/>
  <c r="F1557" i="1"/>
  <c r="G1557" i="1"/>
  <c r="H1557" i="1"/>
  <c r="D229" i="1"/>
  <c r="E229" i="1"/>
  <c r="F229" i="1"/>
  <c r="G229" i="1"/>
  <c r="H229" i="1"/>
  <c r="D1615" i="1"/>
  <c r="E1615" i="1"/>
  <c r="F1615" i="1"/>
  <c r="G1615" i="1"/>
  <c r="H1615" i="1"/>
  <c r="D1028" i="1"/>
  <c r="E1028" i="1"/>
  <c r="F1028" i="1"/>
  <c r="G1028" i="1"/>
  <c r="H1028" i="1"/>
  <c r="D1569" i="1"/>
  <c r="E1569" i="1"/>
  <c r="F1569" i="1"/>
  <c r="G1569" i="1"/>
  <c r="H1569" i="1"/>
  <c r="D1627" i="1"/>
  <c r="E1627" i="1"/>
  <c r="F1627" i="1"/>
  <c r="G1627" i="1"/>
  <c r="H1627" i="1"/>
  <c r="D249" i="1"/>
  <c r="E249" i="1"/>
  <c r="F249" i="1"/>
  <c r="G249" i="1"/>
  <c r="H249" i="1"/>
  <c r="D1584" i="1"/>
  <c r="E1584" i="1"/>
  <c r="F1584" i="1"/>
  <c r="G1584" i="1"/>
  <c r="H1584" i="1"/>
  <c r="D1491" i="1"/>
  <c r="E1491" i="1"/>
  <c r="F1491" i="1"/>
  <c r="G1491" i="1"/>
  <c r="H1491" i="1"/>
  <c r="D573" i="1"/>
  <c r="E573" i="1"/>
  <c r="F573" i="1"/>
  <c r="G573" i="1"/>
  <c r="H573" i="1"/>
  <c r="D199" i="1"/>
  <c r="E199" i="1"/>
  <c r="F199" i="1"/>
  <c r="G199" i="1"/>
  <c r="H199" i="1"/>
  <c r="D541" i="1"/>
  <c r="E541" i="1"/>
  <c r="F541" i="1"/>
  <c r="G541" i="1"/>
  <c r="H541" i="1"/>
  <c r="D723" i="1"/>
  <c r="E723" i="1"/>
  <c r="F723" i="1"/>
  <c r="G723" i="1"/>
  <c r="H723" i="1"/>
  <c r="D1049" i="1"/>
  <c r="E1049" i="1"/>
  <c r="F1049" i="1"/>
  <c r="G1049" i="1"/>
  <c r="H1049" i="1"/>
  <c r="D1546" i="1"/>
  <c r="E1546" i="1"/>
  <c r="F1546" i="1"/>
  <c r="G1546" i="1"/>
  <c r="H1546" i="1"/>
  <c r="D1302" i="1"/>
  <c r="E1302" i="1"/>
  <c r="F1302" i="1"/>
  <c r="G1302" i="1"/>
  <c r="H1302" i="1"/>
  <c r="D1743" i="1"/>
  <c r="E1743" i="1"/>
  <c r="F1743" i="1"/>
  <c r="G1743" i="1"/>
  <c r="H1743" i="1"/>
  <c r="D805" i="1"/>
  <c r="E805" i="1"/>
  <c r="F805" i="1"/>
  <c r="G805" i="1"/>
  <c r="H805" i="1"/>
  <c r="D1402" i="1"/>
  <c r="E1402" i="1"/>
  <c r="F1402" i="1"/>
  <c r="G1402" i="1"/>
  <c r="H1402" i="1"/>
  <c r="D1148" i="1"/>
  <c r="E1148" i="1"/>
  <c r="F1148" i="1"/>
  <c r="G1148" i="1"/>
  <c r="H1148" i="1"/>
  <c r="D1500" i="1"/>
  <c r="E1500" i="1"/>
  <c r="F1500" i="1"/>
  <c r="G1500" i="1"/>
  <c r="H1500" i="1"/>
  <c r="D234" i="1"/>
  <c r="E234" i="1"/>
  <c r="F234" i="1"/>
  <c r="G234" i="1"/>
  <c r="H234" i="1"/>
  <c r="D384" i="1"/>
  <c r="E384" i="1"/>
  <c r="F384" i="1"/>
  <c r="G384" i="1"/>
  <c r="H384" i="1"/>
  <c r="D442" i="1"/>
  <c r="E442" i="1"/>
  <c r="F442" i="1"/>
  <c r="G442" i="1"/>
  <c r="H442" i="1"/>
  <c r="D1578" i="1"/>
  <c r="E1578" i="1"/>
  <c r="F1578" i="1"/>
  <c r="G1578" i="1"/>
  <c r="H1578" i="1"/>
  <c r="D1062" i="1"/>
  <c r="E1062" i="1"/>
  <c r="F1062" i="1"/>
  <c r="G1062" i="1"/>
  <c r="H1062" i="1"/>
  <c r="D994" i="1"/>
  <c r="E994" i="1"/>
  <c r="F994" i="1"/>
  <c r="G994" i="1"/>
  <c r="H994" i="1"/>
  <c r="D861" i="1"/>
  <c r="E861" i="1"/>
  <c r="F861" i="1"/>
  <c r="G861" i="1"/>
  <c r="H861" i="1"/>
  <c r="D964" i="1"/>
  <c r="E964" i="1"/>
  <c r="F964" i="1"/>
  <c r="G964" i="1"/>
  <c r="H964" i="1"/>
  <c r="D714" i="1"/>
  <c r="E714" i="1"/>
  <c r="F714" i="1"/>
  <c r="G714" i="1"/>
  <c r="H714" i="1"/>
  <c r="D648" i="1"/>
  <c r="E648" i="1"/>
  <c r="F648" i="1"/>
  <c r="G648" i="1"/>
  <c r="H648" i="1"/>
  <c r="D1488" i="1"/>
  <c r="E1488" i="1"/>
  <c r="F1488" i="1"/>
  <c r="G1488" i="1"/>
  <c r="H1488" i="1"/>
  <c r="D769" i="1"/>
  <c r="E769" i="1"/>
  <c r="F769" i="1"/>
  <c r="G769" i="1"/>
  <c r="H769" i="1"/>
  <c r="D1202" i="1"/>
  <c r="E1202" i="1"/>
  <c r="F1202" i="1"/>
  <c r="G1202" i="1"/>
  <c r="H1202" i="1"/>
  <c r="D1278" i="1"/>
  <c r="E1278" i="1"/>
  <c r="F1278" i="1"/>
  <c r="G1278" i="1"/>
  <c r="H1278" i="1"/>
  <c r="D31" i="1"/>
  <c r="E31" i="1"/>
  <c r="F31" i="1"/>
  <c r="G31" i="1"/>
  <c r="H31" i="1"/>
  <c r="D1620" i="1"/>
  <c r="E1620" i="1"/>
  <c r="F1620" i="1"/>
  <c r="G1620" i="1"/>
  <c r="H1620" i="1"/>
  <c r="D705" i="1"/>
  <c r="E705" i="1"/>
  <c r="F705" i="1"/>
  <c r="G705" i="1"/>
  <c r="H705" i="1"/>
  <c r="D768" i="1"/>
  <c r="E768" i="1"/>
  <c r="F768" i="1"/>
  <c r="G768" i="1"/>
  <c r="H768" i="1"/>
  <c r="D35" i="1"/>
  <c r="E35" i="1"/>
  <c r="F35" i="1"/>
  <c r="G35" i="1"/>
  <c r="H35" i="1"/>
  <c r="D802" i="1"/>
  <c r="E802" i="1"/>
  <c r="F802" i="1"/>
  <c r="G802" i="1"/>
  <c r="H802" i="1"/>
  <c r="D1707" i="1"/>
  <c r="E1707" i="1"/>
  <c r="F1707" i="1"/>
  <c r="G1707" i="1"/>
  <c r="H1707" i="1"/>
  <c r="D1697" i="1"/>
  <c r="E1697" i="1"/>
  <c r="F1697" i="1"/>
  <c r="G1697" i="1"/>
  <c r="H1697" i="1"/>
  <c r="D1107" i="1"/>
  <c r="E1107" i="1"/>
  <c r="F1107" i="1"/>
  <c r="G1107" i="1"/>
  <c r="H1107" i="1"/>
  <c r="D641" i="1"/>
  <c r="E641" i="1"/>
  <c r="F641" i="1"/>
  <c r="G641" i="1"/>
  <c r="H641" i="1"/>
  <c r="D346" i="1"/>
  <c r="E346" i="1"/>
  <c r="F346" i="1"/>
  <c r="G346" i="1"/>
  <c r="H346" i="1"/>
  <c r="D1727" i="1"/>
  <c r="E1727" i="1"/>
  <c r="F1727" i="1"/>
  <c r="G1727" i="1"/>
  <c r="H1727" i="1"/>
  <c r="D1672" i="1"/>
  <c r="E1672" i="1"/>
  <c r="F1672" i="1"/>
  <c r="G1672" i="1"/>
  <c r="H1672" i="1"/>
  <c r="D1284" i="1"/>
  <c r="E1284" i="1"/>
  <c r="F1284" i="1"/>
  <c r="G1284" i="1"/>
  <c r="H1284" i="1"/>
  <c r="D514" i="1"/>
  <c r="E514" i="1"/>
  <c r="F514" i="1"/>
  <c r="G514" i="1"/>
  <c r="H514" i="1"/>
  <c r="D1405" i="1"/>
  <c r="E1405" i="1"/>
  <c r="F1405" i="1"/>
  <c r="G1405" i="1"/>
  <c r="H1405" i="1"/>
  <c r="D1358" i="1"/>
  <c r="E1358" i="1"/>
  <c r="F1358" i="1"/>
  <c r="G1358" i="1"/>
  <c r="H1358" i="1"/>
  <c r="D1010" i="1"/>
  <c r="E1010" i="1"/>
  <c r="F1010" i="1"/>
  <c r="G1010" i="1"/>
  <c r="H1010" i="1"/>
  <c r="D1613" i="1"/>
  <c r="E1613" i="1"/>
  <c r="F1613" i="1"/>
  <c r="G1613" i="1"/>
  <c r="H1613" i="1"/>
  <c r="D741" i="1"/>
  <c r="E741" i="1"/>
  <c r="F741" i="1"/>
  <c r="G741" i="1"/>
  <c r="H741" i="1"/>
  <c r="D1112" i="1"/>
  <c r="E1112" i="1"/>
  <c r="F1112" i="1"/>
  <c r="G1112" i="1"/>
  <c r="H1112" i="1"/>
  <c r="D949" i="1"/>
  <c r="E949" i="1"/>
  <c r="F949" i="1"/>
  <c r="G949" i="1"/>
  <c r="H949" i="1"/>
  <c r="D1265" i="1"/>
  <c r="E1265" i="1"/>
  <c r="F1265" i="1"/>
  <c r="G1265" i="1"/>
  <c r="H1265" i="1"/>
  <c r="D1643" i="1"/>
  <c r="E1643" i="1"/>
  <c r="F1643" i="1"/>
  <c r="G1643" i="1"/>
  <c r="H1643" i="1"/>
  <c r="D517" i="1"/>
  <c r="E517" i="1"/>
  <c r="F517" i="1"/>
  <c r="G517" i="1"/>
  <c r="H517" i="1"/>
  <c r="D887" i="1"/>
  <c r="E887" i="1"/>
  <c r="F887" i="1"/>
  <c r="G887" i="1"/>
  <c r="H887" i="1"/>
  <c r="D1319" i="1"/>
  <c r="E1319" i="1"/>
  <c r="F1319" i="1"/>
  <c r="G1319" i="1"/>
  <c r="H1319" i="1"/>
  <c r="D1204" i="1"/>
  <c r="E1204" i="1"/>
  <c r="F1204" i="1"/>
  <c r="G1204" i="1"/>
  <c r="H1204" i="1"/>
  <c r="D856" i="1"/>
  <c r="E856" i="1"/>
  <c r="F856" i="1"/>
  <c r="G856" i="1"/>
  <c r="H856" i="1"/>
  <c r="D1083" i="1"/>
  <c r="E1083" i="1"/>
  <c r="F1083" i="1"/>
  <c r="G1083" i="1"/>
  <c r="H1083" i="1"/>
  <c r="D669" i="1"/>
  <c r="E669" i="1"/>
  <c r="F669" i="1"/>
  <c r="G669" i="1"/>
  <c r="H669" i="1"/>
  <c r="D1135" i="1"/>
  <c r="E1135" i="1"/>
  <c r="F1135" i="1"/>
  <c r="G1135" i="1"/>
  <c r="H1135" i="1"/>
  <c r="D1113" i="1"/>
  <c r="E1113" i="1"/>
  <c r="F1113" i="1"/>
  <c r="G1113" i="1"/>
  <c r="H1113" i="1"/>
  <c r="D172" i="1"/>
  <c r="E172" i="1"/>
  <c r="F172" i="1"/>
  <c r="G172" i="1"/>
  <c r="H172" i="1"/>
  <c r="D667" i="1"/>
  <c r="E667" i="1"/>
  <c r="F667" i="1"/>
  <c r="G667" i="1"/>
  <c r="H667" i="1"/>
  <c r="D1282" i="1"/>
  <c r="E1282" i="1"/>
  <c r="F1282" i="1"/>
  <c r="G1282" i="1"/>
  <c r="H1282" i="1"/>
  <c r="D852" i="1"/>
  <c r="E852" i="1"/>
  <c r="F852" i="1"/>
  <c r="G852" i="1"/>
  <c r="H852" i="1"/>
  <c r="D585" i="1"/>
  <c r="E585" i="1"/>
  <c r="F585" i="1"/>
  <c r="G585" i="1"/>
  <c r="H585" i="1"/>
  <c r="D1352" i="1"/>
  <c r="E1352" i="1"/>
  <c r="F1352" i="1"/>
  <c r="G1352" i="1"/>
  <c r="H1352" i="1"/>
  <c r="D1740" i="1"/>
  <c r="E1740" i="1"/>
  <c r="F1740" i="1"/>
  <c r="G1740" i="1"/>
  <c r="H1740" i="1"/>
  <c r="D272" i="1"/>
  <c r="E272" i="1"/>
  <c r="F272" i="1"/>
  <c r="G272" i="1"/>
  <c r="H272" i="1"/>
  <c r="D1746" i="1"/>
  <c r="E1746" i="1"/>
  <c r="F1746" i="1"/>
  <c r="G1746" i="1"/>
  <c r="H1746" i="1"/>
  <c r="D1595" i="1"/>
  <c r="E1595" i="1"/>
  <c r="F1595" i="1"/>
  <c r="G1595" i="1"/>
  <c r="H1595" i="1"/>
  <c r="D104" i="1"/>
  <c r="E104" i="1"/>
  <c r="F104" i="1"/>
  <c r="G104" i="1"/>
  <c r="H104" i="1"/>
  <c r="D591" i="1"/>
  <c r="E591" i="1"/>
  <c r="F591" i="1"/>
  <c r="G591" i="1"/>
  <c r="H591" i="1"/>
  <c r="D1717" i="1"/>
  <c r="E1717" i="1"/>
  <c r="F1717" i="1"/>
  <c r="G1717" i="1"/>
  <c r="H1717" i="1"/>
  <c r="D605" i="1"/>
  <c r="E605" i="1"/>
  <c r="F605" i="1"/>
  <c r="G605" i="1"/>
  <c r="H605" i="1"/>
  <c r="D1441" i="1"/>
  <c r="E1441" i="1"/>
  <c r="F1441" i="1"/>
  <c r="G1441" i="1"/>
  <c r="H1441" i="1"/>
  <c r="D1275" i="1"/>
  <c r="E1275" i="1"/>
  <c r="F1275" i="1"/>
  <c r="G1275" i="1"/>
  <c r="H1275" i="1"/>
  <c r="D1730" i="1"/>
  <c r="E1730" i="1"/>
  <c r="F1730" i="1"/>
  <c r="G1730" i="1"/>
  <c r="H1730" i="1"/>
  <c r="D1694" i="1"/>
  <c r="E1694" i="1"/>
  <c r="F1694" i="1"/>
  <c r="G1694" i="1"/>
  <c r="H1694" i="1"/>
  <c r="D436" i="1"/>
  <c r="E436" i="1"/>
  <c r="F436" i="1"/>
  <c r="G436" i="1"/>
  <c r="H436" i="1"/>
  <c r="D331" i="1"/>
  <c r="E331" i="1"/>
  <c r="F331" i="1"/>
  <c r="G331" i="1"/>
  <c r="H331" i="1"/>
  <c r="D163" i="1"/>
  <c r="E163" i="1"/>
  <c r="F163" i="1"/>
  <c r="G163" i="1"/>
  <c r="H163" i="1"/>
  <c r="D90" i="1"/>
  <c r="E90" i="1"/>
  <c r="F90" i="1"/>
  <c r="G90" i="1"/>
  <c r="H90" i="1"/>
  <c r="D773" i="1"/>
  <c r="E773" i="1"/>
  <c r="F773" i="1"/>
  <c r="G773" i="1"/>
  <c r="H773" i="1"/>
  <c r="D1690" i="1"/>
  <c r="E1690" i="1"/>
  <c r="F1690" i="1"/>
  <c r="G1690" i="1"/>
  <c r="H1690" i="1"/>
  <c r="D1333" i="1"/>
  <c r="E1333" i="1"/>
  <c r="F1333" i="1"/>
  <c r="G1333" i="1"/>
  <c r="H1333" i="1"/>
  <c r="D1325" i="1"/>
  <c r="E1325" i="1"/>
  <c r="F1325" i="1"/>
  <c r="G1325" i="1"/>
  <c r="H1325" i="1"/>
  <c r="D886" i="1"/>
  <c r="E886" i="1"/>
  <c r="F886" i="1"/>
  <c r="G886" i="1"/>
  <c r="H886" i="1"/>
  <c r="D670" i="1"/>
  <c r="E670" i="1"/>
  <c r="F670" i="1"/>
  <c r="G670" i="1"/>
  <c r="H670" i="1"/>
  <c r="D1329" i="1"/>
  <c r="E1329" i="1"/>
  <c r="F1329" i="1"/>
  <c r="G1329" i="1"/>
  <c r="H1329" i="1"/>
  <c r="D1494" i="1"/>
  <c r="E1494" i="1"/>
  <c r="F1494" i="1"/>
  <c r="G1494" i="1"/>
  <c r="H1494" i="1"/>
  <c r="D1609" i="1"/>
  <c r="E1609" i="1"/>
  <c r="F1609" i="1"/>
  <c r="G1609" i="1"/>
  <c r="H1609" i="1"/>
  <c r="D1732" i="1"/>
  <c r="E1732" i="1"/>
  <c r="F1732" i="1"/>
  <c r="G1732" i="1"/>
  <c r="H1732" i="1"/>
  <c r="D663" i="1"/>
  <c r="E663" i="1"/>
  <c r="F663" i="1"/>
  <c r="G663" i="1"/>
  <c r="H663" i="1"/>
  <c r="D544" i="1"/>
  <c r="E544" i="1"/>
  <c r="F544" i="1"/>
  <c r="G544" i="1"/>
  <c r="H544" i="1"/>
  <c r="D1695" i="1"/>
  <c r="E1695" i="1"/>
  <c r="F1695" i="1"/>
  <c r="G1695" i="1"/>
  <c r="H1695" i="1"/>
  <c r="D382" i="1"/>
  <c r="E382" i="1"/>
  <c r="F382" i="1"/>
  <c r="G382" i="1"/>
  <c r="H382" i="1"/>
  <c r="D1758" i="1"/>
  <c r="E1758" i="1"/>
  <c r="F1758" i="1"/>
  <c r="G1758" i="1"/>
  <c r="H1758" i="1"/>
  <c r="D500" i="1"/>
  <c r="E500" i="1"/>
  <c r="F500" i="1"/>
  <c r="G500" i="1"/>
  <c r="H500" i="1"/>
  <c r="D1311" i="1"/>
  <c r="E1311" i="1"/>
  <c r="F1311" i="1"/>
  <c r="G1311" i="1"/>
  <c r="H1311" i="1"/>
  <c r="D475" i="1"/>
  <c r="E475" i="1"/>
  <c r="F475" i="1"/>
  <c r="G475" i="1"/>
  <c r="H475" i="1"/>
  <c r="D567" i="1"/>
  <c r="E567" i="1"/>
  <c r="F567" i="1"/>
  <c r="G567" i="1"/>
  <c r="H567" i="1"/>
  <c r="D1011" i="1"/>
  <c r="E1011" i="1"/>
  <c r="F1011" i="1"/>
  <c r="G1011" i="1"/>
  <c r="H1011" i="1"/>
  <c r="D611" i="1"/>
  <c r="E611" i="1"/>
  <c r="F611" i="1"/>
  <c r="G611" i="1"/>
  <c r="H611" i="1"/>
  <c r="D1396" i="1"/>
  <c r="E1396" i="1"/>
  <c r="F1396" i="1"/>
  <c r="G1396" i="1"/>
  <c r="H1396" i="1"/>
  <c r="D586" i="1"/>
  <c r="E586" i="1"/>
  <c r="F586" i="1"/>
  <c r="G586" i="1"/>
  <c r="H586" i="1"/>
  <c r="D863" i="1"/>
  <c r="E863" i="1"/>
  <c r="F863" i="1"/>
  <c r="G863" i="1"/>
  <c r="H863" i="1"/>
  <c r="D864" i="1"/>
  <c r="E864" i="1"/>
  <c r="F864" i="1"/>
  <c r="G864" i="1"/>
  <c r="H864" i="1"/>
  <c r="D339" i="1"/>
  <c r="E339" i="1"/>
  <c r="F339" i="1"/>
  <c r="G339" i="1"/>
  <c r="H339" i="1"/>
  <c r="D1711" i="1"/>
  <c r="E1711" i="1"/>
  <c r="F1711" i="1"/>
  <c r="G1711" i="1"/>
  <c r="H1711" i="1"/>
  <c r="D627" i="1"/>
  <c r="E627" i="1"/>
  <c r="F627" i="1"/>
  <c r="G627" i="1"/>
  <c r="H627" i="1"/>
  <c r="D896" i="1"/>
  <c r="E896" i="1"/>
  <c r="F896" i="1"/>
  <c r="G896" i="1"/>
  <c r="H896" i="1"/>
  <c r="D694" i="1"/>
  <c r="E694" i="1"/>
  <c r="F694" i="1"/>
  <c r="G694" i="1"/>
  <c r="H694" i="1"/>
  <c r="D683" i="1"/>
  <c r="E683" i="1"/>
  <c r="F683" i="1"/>
  <c r="G683" i="1"/>
  <c r="H683" i="1"/>
  <c r="D1200" i="1"/>
  <c r="E1200" i="1"/>
  <c r="F1200" i="1"/>
  <c r="G1200" i="1"/>
  <c r="H1200" i="1"/>
  <c r="D512" i="1"/>
  <c r="E512" i="1"/>
  <c r="F512" i="1"/>
  <c r="G512" i="1"/>
  <c r="H512" i="1"/>
  <c r="D72" i="1"/>
  <c r="E72" i="1"/>
  <c r="F72" i="1"/>
  <c r="G72" i="1"/>
  <c r="H72" i="1"/>
  <c r="D761" i="1"/>
  <c r="E761" i="1"/>
  <c r="F761" i="1"/>
  <c r="G761" i="1"/>
  <c r="H761" i="1"/>
  <c r="D1293" i="1"/>
  <c r="E1293" i="1"/>
  <c r="F1293" i="1"/>
  <c r="G1293" i="1"/>
  <c r="H1293" i="1"/>
  <c r="D1153" i="1"/>
  <c r="E1153" i="1"/>
  <c r="F1153" i="1"/>
  <c r="G1153" i="1"/>
  <c r="H1153" i="1"/>
  <c r="D1201" i="1"/>
  <c r="E1201" i="1"/>
  <c r="F1201" i="1"/>
  <c r="G1201" i="1"/>
  <c r="H1201" i="1"/>
  <c r="D844" i="1"/>
  <c r="E844" i="1"/>
  <c r="F844" i="1"/>
  <c r="G844" i="1"/>
  <c r="H844" i="1"/>
  <c r="D387" i="1"/>
  <c r="E387" i="1"/>
  <c r="F387" i="1"/>
  <c r="G387" i="1"/>
  <c r="H387" i="1"/>
  <c r="D40" i="1"/>
  <c r="E40" i="1"/>
  <c r="F40" i="1"/>
  <c r="G40" i="1"/>
  <c r="H40" i="1"/>
  <c r="D807" i="1"/>
  <c r="E807" i="1"/>
  <c r="F807" i="1"/>
  <c r="G807" i="1"/>
  <c r="H807" i="1"/>
  <c r="D1093" i="1"/>
  <c r="E1093" i="1"/>
  <c r="F1093" i="1"/>
  <c r="G1093" i="1"/>
  <c r="H1093" i="1"/>
  <c r="D1715" i="1"/>
  <c r="E1715" i="1"/>
  <c r="F1715" i="1"/>
  <c r="G1715" i="1"/>
  <c r="H1715" i="1"/>
  <c r="D145" i="1"/>
  <c r="E145" i="1"/>
  <c r="F145" i="1"/>
  <c r="G145" i="1"/>
  <c r="H145" i="1"/>
  <c r="D1592" i="1"/>
  <c r="E1592" i="1"/>
  <c r="F1592" i="1"/>
  <c r="G1592" i="1"/>
  <c r="H1592" i="1"/>
  <c r="D488" i="1"/>
  <c r="E488" i="1"/>
  <c r="F488" i="1"/>
  <c r="G488" i="1"/>
  <c r="H488" i="1"/>
  <c r="D668" i="1"/>
  <c r="E668" i="1"/>
  <c r="F668" i="1"/>
  <c r="G668" i="1"/>
  <c r="H668" i="1"/>
  <c r="D621" i="1"/>
  <c r="E621" i="1"/>
  <c r="F621" i="1"/>
  <c r="G621" i="1"/>
  <c r="H621" i="1"/>
  <c r="D187" i="1"/>
  <c r="E187" i="1"/>
  <c r="F187" i="1"/>
  <c r="G187" i="1"/>
  <c r="H187" i="1"/>
  <c r="D1261" i="1"/>
  <c r="E1261" i="1"/>
  <c r="F1261" i="1"/>
  <c r="G1261" i="1"/>
  <c r="H1261" i="1"/>
  <c r="D18" i="1"/>
  <c r="E18" i="1"/>
  <c r="F18" i="1"/>
  <c r="G18" i="1"/>
  <c r="H18" i="1"/>
  <c r="D1664" i="1"/>
  <c r="E1664" i="1"/>
  <c r="F1664" i="1"/>
  <c r="G1664" i="1"/>
  <c r="H1664" i="1"/>
  <c r="D196" i="1"/>
  <c r="E196" i="1"/>
  <c r="F196" i="1"/>
  <c r="G196" i="1"/>
  <c r="H196" i="1"/>
  <c r="D368" i="1"/>
  <c r="E368" i="1"/>
  <c r="F368" i="1"/>
  <c r="G368" i="1"/>
  <c r="H368" i="1"/>
  <c r="D609" i="1"/>
  <c r="E609" i="1"/>
  <c r="F609" i="1"/>
  <c r="G609" i="1"/>
  <c r="H609" i="1"/>
  <c r="D857" i="1"/>
  <c r="E857" i="1"/>
  <c r="F857" i="1"/>
  <c r="G857" i="1"/>
  <c r="H857" i="1"/>
  <c r="D578" i="1"/>
  <c r="E578" i="1"/>
  <c r="F578" i="1"/>
  <c r="G578" i="1"/>
  <c r="H578" i="1"/>
  <c r="D422" i="1"/>
  <c r="E422" i="1"/>
  <c r="F422" i="1"/>
  <c r="G422" i="1"/>
  <c r="H422" i="1"/>
  <c r="D600" i="1"/>
  <c r="E600" i="1"/>
  <c r="F600" i="1"/>
  <c r="G600" i="1"/>
  <c r="H600" i="1"/>
  <c r="D571" i="1"/>
  <c r="E571" i="1"/>
  <c r="F571" i="1"/>
  <c r="G571" i="1"/>
  <c r="H571" i="1"/>
  <c r="D201" i="1"/>
  <c r="E201" i="1"/>
  <c r="F201" i="1"/>
  <c r="G201" i="1"/>
  <c r="H201" i="1"/>
  <c r="D1737" i="1"/>
  <c r="E1737" i="1"/>
  <c r="F1737" i="1"/>
  <c r="G1737" i="1"/>
  <c r="H1737" i="1"/>
  <c r="D511" i="1"/>
  <c r="E511" i="1"/>
  <c r="F511" i="1"/>
  <c r="G511" i="1"/>
  <c r="H511" i="1"/>
  <c r="D846" i="1"/>
  <c r="E846" i="1"/>
  <c r="F846" i="1"/>
  <c r="G846" i="1"/>
  <c r="H846" i="1"/>
  <c r="D1650" i="1"/>
  <c r="E1650" i="1"/>
  <c r="F1650" i="1"/>
  <c r="G1650" i="1"/>
  <c r="H1650" i="1"/>
  <c r="D424" i="1"/>
  <c r="E424" i="1"/>
  <c r="F424" i="1"/>
  <c r="G424" i="1"/>
  <c r="H424" i="1"/>
  <c r="D160" i="1"/>
  <c r="E160" i="1"/>
  <c r="F160" i="1"/>
  <c r="G160" i="1"/>
  <c r="H160" i="1"/>
  <c r="D358" i="1"/>
  <c r="E358" i="1"/>
  <c r="F358" i="1"/>
  <c r="G358" i="1"/>
  <c r="H358" i="1"/>
  <c r="D321" i="1"/>
  <c r="E321" i="1"/>
  <c r="F321" i="1"/>
  <c r="G321" i="1"/>
  <c r="H321" i="1"/>
  <c r="D287" i="1"/>
  <c r="E287" i="1"/>
  <c r="F287" i="1"/>
  <c r="G287" i="1"/>
  <c r="H287" i="1"/>
  <c r="D1123" i="1"/>
  <c r="E1123" i="1"/>
  <c r="F1123" i="1"/>
  <c r="G1123" i="1"/>
  <c r="H1123" i="1"/>
  <c r="D823" i="1"/>
  <c r="E823" i="1"/>
  <c r="F823" i="1"/>
  <c r="G823" i="1"/>
  <c r="H823" i="1"/>
  <c r="D1190" i="1"/>
  <c r="E1190" i="1"/>
  <c r="F1190" i="1"/>
  <c r="G1190" i="1"/>
  <c r="H1190" i="1"/>
  <c r="D268" i="1"/>
  <c r="E268" i="1"/>
  <c r="F268" i="1"/>
  <c r="G268" i="1"/>
  <c r="H268" i="1"/>
  <c r="D978" i="1"/>
  <c r="E978" i="1"/>
  <c r="F978" i="1"/>
  <c r="G978" i="1"/>
  <c r="H978" i="1"/>
  <c r="D1714" i="1"/>
  <c r="E1714" i="1"/>
  <c r="F1714" i="1"/>
  <c r="G1714" i="1"/>
  <c r="H1714" i="1"/>
  <c r="D455" i="1"/>
  <c r="E455" i="1"/>
  <c r="F455" i="1"/>
  <c r="G455" i="1"/>
  <c r="H455" i="1"/>
  <c r="D432" i="1"/>
  <c r="E432" i="1"/>
  <c r="F432" i="1"/>
  <c r="G432" i="1"/>
  <c r="H432" i="1"/>
  <c r="D1699" i="1"/>
  <c r="E1699" i="1"/>
  <c r="F1699" i="1"/>
  <c r="G1699" i="1"/>
  <c r="H1699" i="1"/>
  <c r="D1124" i="1"/>
  <c r="E1124" i="1"/>
  <c r="F1124" i="1"/>
  <c r="G1124" i="1"/>
  <c r="H1124" i="1"/>
  <c r="D269" i="1"/>
  <c r="E269" i="1"/>
  <c r="F269" i="1"/>
  <c r="G269" i="1"/>
  <c r="H269" i="1"/>
  <c r="D297" i="1"/>
  <c r="E297" i="1"/>
  <c r="F297" i="1"/>
  <c r="G297" i="1"/>
  <c r="H297" i="1"/>
  <c r="D1375" i="1"/>
  <c r="E1375" i="1"/>
  <c r="F1375" i="1"/>
  <c r="G1375" i="1"/>
  <c r="H1375" i="1"/>
  <c r="D1482" i="1"/>
  <c r="E1482" i="1"/>
  <c r="F1482" i="1"/>
  <c r="G1482" i="1"/>
  <c r="H1482" i="1"/>
  <c r="D963" i="1"/>
  <c r="E963" i="1"/>
  <c r="F963" i="1"/>
  <c r="G963" i="1"/>
  <c r="H963" i="1"/>
  <c r="D1086" i="1"/>
  <c r="E1086" i="1"/>
  <c r="F1086" i="1"/>
  <c r="G1086" i="1"/>
  <c r="H1086" i="1"/>
  <c r="D418" i="1"/>
  <c r="E418" i="1"/>
  <c r="F418" i="1"/>
  <c r="G418" i="1"/>
  <c r="H418" i="1"/>
  <c r="D673" i="1"/>
  <c r="E673" i="1"/>
  <c r="F673" i="1"/>
  <c r="G673" i="1"/>
  <c r="H673" i="1"/>
  <c r="D28" i="1"/>
  <c r="E28" i="1"/>
  <c r="F28" i="1"/>
  <c r="G28" i="1"/>
  <c r="H28" i="1"/>
  <c r="D1558" i="1"/>
  <c r="E1558" i="1"/>
  <c r="F1558" i="1"/>
  <c r="G1558" i="1"/>
  <c r="H1558" i="1"/>
  <c r="D1687" i="1"/>
  <c r="E1687" i="1"/>
  <c r="F1687" i="1"/>
  <c r="G1687" i="1"/>
  <c r="H1687" i="1"/>
  <c r="D1497" i="1"/>
  <c r="E1497" i="1"/>
  <c r="F1497" i="1"/>
  <c r="G1497" i="1"/>
  <c r="H1497" i="1"/>
  <c r="D1253" i="1"/>
  <c r="E1253" i="1"/>
  <c r="F1253" i="1"/>
  <c r="G1253" i="1"/>
  <c r="H1253" i="1"/>
  <c r="D61" i="1"/>
  <c r="E61" i="1"/>
  <c r="F61" i="1"/>
  <c r="G61" i="1"/>
  <c r="H61" i="1"/>
  <c r="D1189" i="1"/>
  <c r="E1189" i="1"/>
  <c r="F1189" i="1"/>
  <c r="G1189" i="1"/>
  <c r="H1189" i="1"/>
  <c r="D732" i="1"/>
  <c r="E732" i="1"/>
  <c r="F732" i="1"/>
  <c r="G732" i="1"/>
  <c r="H732" i="1"/>
  <c r="D1260" i="1"/>
  <c r="E1260" i="1"/>
  <c r="F1260" i="1"/>
  <c r="G1260" i="1"/>
  <c r="H1260" i="1"/>
  <c r="D1132" i="1"/>
  <c r="E1132" i="1"/>
  <c r="F1132" i="1"/>
  <c r="G1132" i="1"/>
  <c r="H1132" i="1"/>
  <c r="D180" i="1"/>
  <c r="E180" i="1"/>
  <c r="F180" i="1"/>
  <c r="G180" i="1"/>
  <c r="H180" i="1"/>
  <c r="D1021" i="1"/>
  <c r="E1021" i="1"/>
  <c r="F1021" i="1"/>
  <c r="G1021" i="1"/>
  <c r="H1021" i="1"/>
  <c r="D784" i="1"/>
  <c r="E784" i="1"/>
  <c r="F784" i="1"/>
  <c r="G784" i="1"/>
  <c r="H784" i="1"/>
  <c r="D426" i="1"/>
  <c r="E426" i="1"/>
  <c r="F426" i="1"/>
  <c r="G426" i="1"/>
  <c r="H426" i="1"/>
  <c r="D243" i="1"/>
  <c r="E243" i="1"/>
  <c r="F243" i="1"/>
  <c r="G243" i="1"/>
  <c r="H243" i="1"/>
  <c r="D593" i="1"/>
  <c r="E593" i="1"/>
  <c r="F593" i="1"/>
  <c r="G593" i="1"/>
  <c r="H593" i="1"/>
  <c r="D483" i="1"/>
  <c r="E483" i="1"/>
  <c r="F483" i="1"/>
  <c r="G483" i="1"/>
  <c r="H483" i="1"/>
  <c r="D661" i="1"/>
  <c r="E661" i="1"/>
  <c r="F661" i="1"/>
  <c r="G661" i="1"/>
  <c r="H661" i="1"/>
  <c r="D838" i="1"/>
  <c r="E838" i="1"/>
  <c r="F838" i="1"/>
  <c r="G838" i="1"/>
  <c r="H838" i="1"/>
  <c r="D24" i="1"/>
  <c r="E24" i="1"/>
  <c r="F24" i="1"/>
  <c r="G24" i="1"/>
  <c r="H24" i="1"/>
  <c r="D152" i="1"/>
  <c r="E152" i="1"/>
  <c r="F152" i="1"/>
  <c r="G152" i="1"/>
  <c r="H152" i="1"/>
  <c r="D553" i="1"/>
  <c r="E553" i="1"/>
  <c r="F553" i="1"/>
  <c r="G553" i="1"/>
  <c r="H553" i="1"/>
  <c r="D185" i="1"/>
  <c r="E185" i="1"/>
  <c r="F185" i="1"/>
  <c r="G185" i="1"/>
  <c r="H185" i="1"/>
  <c r="D34" i="1"/>
  <c r="E34" i="1"/>
  <c r="F34" i="1"/>
  <c r="G34" i="1"/>
  <c r="H34" i="1"/>
  <c r="D995" i="1"/>
  <c r="E995" i="1"/>
  <c r="F995" i="1"/>
  <c r="G995" i="1"/>
  <c r="H995" i="1"/>
  <c r="D1044" i="1"/>
  <c r="E1044" i="1"/>
  <c r="F1044" i="1"/>
  <c r="G1044" i="1"/>
  <c r="H1044" i="1"/>
  <c r="D821" i="1"/>
  <c r="E821" i="1"/>
  <c r="F821" i="1"/>
  <c r="G821" i="1"/>
  <c r="H821" i="1"/>
  <c r="D836" i="1"/>
  <c r="E836" i="1"/>
  <c r="F836" i="1"/>
  <c r="G836" i="1"/>
  <c r="H836" i="1"/>
  <c r="D985" i="1"/>
  <c r="E985" i="1"/>
  <c r="F985" i="1"/>
  <c r="G985" i="1"/>
  <c r="H985" i="1"/>
  <c r="D546" i="1"/>
  <c r="E546" i="1"/>
  <c r="F546" i="1"/>
  <c r="G546" i="1"/>
  <c r="H546" i="1"/>
  <c r="D1051" i="1"/>
  <c r="E1051" i="1"/>
  <c r="F1051" i="1"/>
  <c r="G1051" i="1"/>
  <c r="H1051" i="1"/>
  <c r="D1357" i="1"/>
  <c r="E1357" i="1"/>
  <c r="F1357" i="1"/>
  <c r="G1357" i="1"/>
  <c r="H1357" i="1"/>
  <c r="D806" i="1"/>
  <c r="E806" i="1"/>
  <c r="F806" i="1"/>
  <c r="G806" i="1"/>
  <c r="H806" i="1"/>
  <c r="D999" i="1"/>
  <c r="E999" i="1"/>
  <c r="F999" i="1"/>
  <c r="G999" i="1"/>
  <c r="H999" i="1"/>
  <c r="D1332" i="1"/>
  <c r="E1332" i="1"/>
  <c r="F1332" i="1"/>
  <c r="G1332" i="1"/>
  <c r="H1332" i="1"/>
  <c r="D1050" i="1"/>
  <c r="E1050" i="1"/>
  <c r="F1050" i="1"/>
  <c r="G1050" i="1"/>
  <c r="H1050" i="1"/>
  <c r="D1455" i="1"/>
  <c r="E1455" i="1"/>
  <c r="F1455" i="1"/>
  <c r="G1455" i="1"/>
  <c r="H1455" i="1"/>
  <c r="D264" i="1"/>
  <c r="E264" i="1"/>
  <c r="F264" i="1"/>
  <c r="G264" i="1"/>
  <c r="H264" i="1"/>
  <c r="D983" i="1"/>
  <c r="E983" i="1"/>
  <c r="F983" i="1"/>
  <c r="G983" i="1"/>
  <c r="H983" i="1"/>
  <c r="D1376" i="1"/>
  <c r="E1376" i="1"/>
  <c r="F1376" i="1"/>
  <c r="G1376" i="1"/>
  <c r="H1376" i="1"/>
  <c r="D1518" i="1"/>
  <c r="E1518" i="1"/>
  <c r="F1518" i="1"/>
  <c r="G1518" i="1"/>
  <c r="H1518" i="1"/>
  <c r="D981" i="1"/>
  <c r="E981" i="1"/>
  <c r="F981" i="1"/>
  <c r="G981" i="1"/>
  <c r="H981" i="1"/>
  <c r="D242" i="1"/>
  <c r="E242" i="1"/>
  <c r="F242" i="1"/>
  <c r="G242" i="1"/>
  <c r="H242" i="1"/>
  <c r="D214" i="1"/>
  <c r="E214" i="1"/>
  <c r="F214" i="1"/>
  <c r="G214" i="1"/>
  <c r="H214" i="1"/>
  <c r="D154" i="1"/>
  <c r="E154" i="1"/>
  <c r="F154" i="1"/>
  <c r="G154" i="1"/>
  <c r="H154" i="1"/>
  <c r="D1463" i="1"/>
  <c r="E1463" i="1"/>
  <c r="F1463" i="1"/>
  <c r="G1463" i="1"/>
  <c r="H1463" i="1"/>
  <c r="D113" i="1"/>
  <c r="E113" i="1"/>
  <c r="F113" i="1"/>
  <c r="G113" i="1"/>
  <c r="H113" i="1"/>
  <c r="D481" i="1"/>
  <c r="E481" i="1"/>
  <c r="F481" i="1"/>
  <c r="G481" i="1"/>
  <c r="H481" i="1"/>
  <c r="D1602" i="1"/>
  <c r="E1602" i="1"/>
  <c r="F1602" i="1"/>
  <c r="G1602" i="1"/>
  <c r="H1602" i="1"/>
  <c r="D781" i="1"/>
  <c r="E781" i="1"/>
  <c r="F781" i="1"/>
  <c r="G781" i="1"/>
  <c r="H781" i="1"/>
  <c r="D1596" i="1"/>
  <c r="E1596" i="1"/>
  <c r="F1596" i="1"/>
  <c r="G1596" i="1"/>
  <c r="H1596" i="1"/>
  <c r="D1468" i="1"/>
  <c r="E1468" i="1"/>
  <c r="F1468" i="1"/>
  <c r="G1468" i="1"/>
  <c r="H1468" i="1"/>
  <c r="D527" i="1"/>
  <c r="E527" i="1"/>
  <c r="F527" i="1"/>
  <c r="G527" i="1"/>
  <c r="H527" i="1"/>
  <c r="D1479" i="1"/>
  <c r="E1479" i="1"/>
  <c r="F1479" i="1"/>
  <c r="G1479" i="1"/>
  <c r="H1479" i="1"/>
  <c r="D1679" i="1"/>
  <c r="E1679" i="1"/>
  <c r="F1679" i="1"/>
  <c r="G1679" i="1"/>
  <c r="H1679" i="1"/>
  <c r="D186" i="1"/>
  <c r="E186" i="1"/>
  <c r="F186" i="1"/>
  <c r="G186" i="1"/>
  <c r="H186" i="1"/>
  <c r="D200" i="1"/>
  <c r="E200" i="1"/>
  <c r="F200" i="1"/>
  <c r="G200" i="1"/>
  <c r="H200" i="1"/>
  <c r="D895" i="1"/>
  <c r="E895" i="1"/>
  <c r="F895" i="1"/>
  <c r="G895" i="1"/>
  <c r="H895" i="1"/>
  <c r="D1508" i="1"/>
  <c r="E1508" i="1"/>
  <c r="F1508" i="1"/>
  <c r="G1508" i="1"/>
  <c r="H1508" i="1"/>
  <c r="D1077" i="1"/>
  <c r="E1077" i="1"/>
  <c r="F1077" i="1"/>
  <c r="G1077" i="1"/>
  <c r="H1077" i="1"/>
  <c r="D360" i="1"/>
  <c r="E360" i="1"/>
  <c r="F360" i="1"/>
  <c r="G360" i="1"/>
  <c r="H360" i="1"/>
  <c r="D478" i="1"/>
  <c r="E478" i="1"/>
  <c r="F478" i="1"/>
  <c r="G478" i="1"/>
  <c r="H478" i="1"/>
  <c r="D1703" i="1"/>
  <c r="E1703" i="1"/>
  <c r="F1703" i="1"/>
  <c r="G1703" i="1"/>
  <c r="H1703" i="1"/>
  <c r="D1534" i="1"/>
  <c r="E1534" i="1"/>
  <c r="F1534" i="1"/>
  <c r="G1534" i="1"/>
  <c r="H1534" i="1"/>
  <c r="D1188" i="1"/>
  <c r="E1188" i="1"/>
  <c r="F1188" i="1"/>
  <c r="G1188" i="1"/>
  <c r="H1188" i="1"/>
  <c r="D1213" i="1"/>
  <c r="E1213" i="1"/>
  <c r="F1213" i="1"/>
  <c r="G1213" i="1"/>
  <c r="H1213" i="1"/>
  <c r="D1702" i="1"/>
  <c r="E1702" i="1"/>
  <c r="F1702" i="1"/>
  <c r="G1702" i="1"/>
  <c r="H1702" i="1"/>
  <c r="D352" i="1"/>
  <c r="E352" i="1"/>
  <c r="F352" i="1"/>
  <c r="G352" i="1"/>
  <c r="H352" i="1"/>
  <c r="D523" i="1"/>
  <c r="E523" i="1"/>
  <c r="F523" i="1"/>
  <c r="G523" i="1"/>
  <c r="H523" i="1"/>
  <c r="D746" i="1"/>
  <c r="E746" i="1"/>
  <c r="F746" i="1"/>
  <c r="G746" i="1"/>
  <c r="H746" i="1"/>
  <c r="D1285" i="1"/>
  <c r="E1285" i="1"/>
  <c r="F1285" i="1"/>
  <c r="G1285" i="1"/>
  <c r="H1285" i="1"/>
  <c r="D1005" i="1"/>
  <c r="E1005" i="1"/>
  <c r="F1005" i="1"/>
  <c r="G1005" i="1"/>
  <c r="H1005" i="1"/>
  <c r="D1710" i="1"/>
  <c r="E1710" i="1"/>
  <c r="F1710" i="1"/>
  <c r="G1710" i="1"/>
  <c r="H1710" i="1"/>
  <c r="D780" i="1"/>
  <c r="E780" i="1"/>
  <c r="F780" i="1"/>
  <c r="G780" i="1"/>
  <c r="H780" i="1"/>
  <c r="D1203" i="1"/>
  <c r="E1203" i="1"/>
  <c r="F1203" i="1"/>
  <c r="G1203" i="1"/>
  <c r="H1203" i="1"/>
  <c r="D447" i="1"/>
  <c r="E447" i="1"/>
  <c r="F447" i="1"/>
  <c r="G447" i="1"/>
  <c r="H447" i="1"/>
  <c r="D801" i="1"/>
  <c r="E801" i="1"/>
  <c r="F801" i="1"/>
  <c r="G801" i="1"/>
  <c r="H801" i="1"/>
  <c r="D41" i="1"/>
  <c r="E41" i="1"/>
  <c r="F41" i="1"/>
  <c r="G41" i="1"/>
  <c r="H41" i="1"/>
  <c r="D1137" i="1"/>
  <c r="E1137" i="1"/>
  <c r="F1137" i="1"/>
  <c r="G1137" i="1"/>
  <c r="H1137" i="1"/>
  <c r="D14" i="1"/>
  <c r="E14" i="1"/>
  <c r="F14" i="1"/>
  <c r="G14" i="1"/>
  <c r="H14" i="1"/>
  <c r="D392" i="1"/>
  <c r="E392" i="1"/>
  <c r="F392" i="1"/>
  <c r="G392" i="1"/>
  <c r="H392" i="1"/>
  <c r="D1700" i="1"/>
  <c r="E1700" i="1"/>
  <c r="F1700" i="1"/>
  <c r="G1700" i="1"/>
  <c r="H1700" i="1"/>
  <c r="D1020" i="1"/>
  <c r="E1020" i="1"/>
  <c r="F1020" i="1"/>
  <c r="G1020" i="1"/>
  <c r="H1020" i="1"/>
  <c r="D1180" i="1"/>
  <c r="E1180" i="1"/>
  <c r="F1180" i="1"/>
  <c r="G1180" i="1"/>
  <c r="H1180" i="1"/>
  <c r="D463" i="1"/>
  <c r="E463" i="1"/>
  <c r="F463" i="1"/>
  <c r="G463" i="1"/>
  <c r="H463" i="1"/>
  <c r="D740" i="1"/>
  <c r="E740" i="1"/>
  <c r="F740" i="1"/>
  <c r="G740" i="1"/>
  <c r="H740" i="1"/>
  <c r="D589" i="1"/>
  <c r="E589" i="1"/>
  <c r="F589" i="1"/>
  <c r="G589" i="1"/>
  <c r="H589" i="1"/>
  <c r="D487" i="1"/>
  <c r="E487" i="1"/>
  <c r="F487" i="1"/>
  <c r="G487" i="1"/>
  <c r="H487" i="1"/>
  <c r="D881" i="1"/>
  <c r="E881" i="1"/>
  <c r="F881" i="1"/>
  <c r="G881" i="1"/>
  <c r="H881" i="1"/>
  <c r="D789" i="1"/>
  <c r="E789" i="1"/>
  <c r="F789" i="1"/>
  <c r="G789" i="1"/>
  <c r="H789" i="1"/>
  <c r="D928" i="1"/>
  <c r="E928" i="1"/>
  <c r="F928" i="1"/>
  <c r="G928" i="1"/>
  <c r="H928" i="1"/>
  <c r="D1601" i="1"/>
  <c r="E1601" i="1"/>
  <c r="F1601" i="1"/>
  <c r="G1601" i="1"/>
  <c r="H1601" i="1"/>
  <c r="D970" i="1"/>
  <c r="E970" i="1"/>
  <c r="F970" i="1"/>
  <c r="G970" i="1"/>
  <c r="H970" i="1"/>
  <c r="D655" i="1"/>
  <c r="E655" i="1"/>
  <c r="F655" i="1"/>
  <c r="G655" i="1"/>
  <c r="H655" i="1"/>
  <c r="D60" i="1"/>
  <c r="E60" i="1"/>
  <c r="F60" i="1"/>
  <c r="G60" i="1"/>
  <c r="H60" i="1"/>
  <c r="D777" i="1"/>
  <c r="E777" i="1"/>
  <c r="F777" i="1"/>
  <c r="G777" i="1"/>
  <c r="H777" i="1"/>
  <c r="D45" i="1"/>
  <c r="E45" i="1"/>
  <c r="F45" i="1"/>
  <c r="G45" i="1"/>
  <c r="H45" i="1"/>
  <c r="D439" i="1"/>
  <c r="E439" i="1"/>
  <c r="F439" i="1"/>
  <c r="G439" i="1"/>
  <c r="H439" i="1"/>
  <c r="D1496" i="1"/>
  <c r="E1496" i="1"/>
  <c r="F1496" i="1"/>
  <c r="G1496" i="1"/>
  <c r="H1496" i="1"/>
  <c r="D637" i="1"/>
  <c r="E637" i="1"/>
  <c r="F637" i="1"/>
  <c r="G637" i="1"/>
  <c r="H637" i="1"/>
  <c r="D671" i="1"/>
  <c r="E671" i="1"/>
  <c r="F671" i="1"/>
  <c r="G671" i="1"/>
  <c r="H671" i="1"/>
  <c r="D893" i="1"/>
  <c r="E893" i="1"/>
  <c r="F893" i="1"/>
  <c r="G893" i="1"/>
  <c r="H893" i="1"/>
  <c r="D450" i="1"/>
  <c r="E450" i="1"/>
  <c r="F450" i="1"/>
  <c r="G450" i="1"/>
  <c r="H450" i="1"/>
  <c r="D1061" i="1"/>
  <c r="E1061" i="1"/>
  <c r="F1061" i="1"/>
  <c r="G1061" i="1"/>
  <c r="H1061" i="1"/>
  <c r="D10" i="1"/>
  <c r="E10" i="1"/>
  <c r="F10" i="1"/>
  <c r="G10" i="1"/>
  <c r="H10" i="1"/>
  <c r="D437" i="1"/>
  <c r="E437" i="1"/>
  <c r="F437" i="1"/>
  <c r="G437" i="1"/>
  <c r="H437" i="1"/>
  <c r="D1109" i="1"/>
  <c r="E1109" i="1"/>
  <c r="F1109" i="1"/>
  <c r="G1109" i="1"/>
  <c r="H1109" i="1"/>
  <c r="D308" i="1"/>
  <c r="E308" i="1"/>
  <c r="F308" i="1"/>
  <c r="G308" i="1"/>
  <c r="H308" i="1"/>
  <c r="D364" i="1"/>
  <c r="E364" i="1"/>
  <c r="F364" i="1"/>
  <c r="G364" i="1"/>
  <c r="H364" i="1"/>
  <c r="D1653" i="1"/>
  <c r="E1653" i="1"/>
  <c r="F1653" i="1"/>
  <c r="G1653" i="1"/>
  <c r="H1653" i="1"/>
  <c r="D343" i="1"/>
  <c r="E343" i="1"/>
  <c r="F343" i="1"/>
  <c r="G343" i="1"/>
  <c r="H343" i="1"/>
  <c r="D568" i="1"/>
  <c r="E568" i="1"/>
  <c r="F568" i="1"/>
  <c r="G568" i="1"/>
  <c r="H568" i="1"/>
  <c r="D510" i="1"/>
  <c r="E510" i="1"/>
  <c r="F510" i="1"/>
  <c r="G510" i="1"/>
  <c r="H510" i="1"/>
  <c r="D797" i="1"/>
  <c r="E797" i="1"/>
  <c r="F797" i="1"/>
  <c r="G797" i="1"/>
  <c r="H797" i="1"/>
  <c r="D1170" i="1"/>
  <c r="E1170" i="1"/>
  <c r="F1170" i="1"/>
  <c r="G1170" i="1"/>
  <c r="H1170" i="1"/>
  <c r="D1022" i="1"/>
  <c r="E1022" i="1"/>
  <c r="F1022" i="1"/>
  <c r="G1022" i="1"/>
  <c r="H1022" i="1"/>
  <c r="D562" i="1"/>
  <c r="E562" i="1"/>
  <c r="F562" i="1"/>
  <c r="G562" i="1"/>
  <c r="H562" i="1"/>
  <c r="D1529" i="1"/>
  <c r="E1529" i="1"/>
  <c r="F1529" i="1"/>
  <c r="G1529" i="1"/>
  <c r="H1529" i="1"/>
  <c r="D1272" i="1"/>
  <c r="E1272" i="1"/>
  <c r="F1272" i="1"/>
  <c r="G1272" i="1"/>
  <c r="H1272" i="1"/>
  <c r="D1390" i="1"/>
  <c r="E1390" i="1"/>
  <c r="F1390" i="1"/>
  <c r="G1390" i="1"/>
  <c r="H1390" i="1"/>
  <c r="D638" i="1"/>
  <c r="E638" i="1"/>
  <c r="F638" i="1"/>
  <c r="G638" i="1"/>
  <c r="H638" i="1"/>
  <c r="D1706" i="1"/>
  <c r="E1706" i="1"/>
  <c r="F1706" i="1"/>
  <c r="G1706" i="1"/>
  <c r="H1706" i="1"/>
  <c r="D1607" i="1"/>
  <c r="E1607" i="1"/>
  <c r="F1607" i="1"/>
  <c r="G1607" i="1"/>
  <c r="H1607" i="1"/>
  <c r="D973" i="1"/>
  <c r="E973" i="1"/>
  <c r="F973" i="1"/>
  <c r="G973" i="1"/>
  <c r="H973" i="1"/>
  <c r="D1547" i="1"/>
  <c r="E1547" i="1"/>
  <c r="F1547" i="1"/>
  <c r="G1547" i="1"/>
  <c r="H1547" i="1"/>
  <c r="D1097" i="1"/>
  <c r="E1097" i="1"/>
  <c r="F1097" i="1"/>
  <c r="G1097" i="1"/>
  <c r="H1097" i="1"/>
  <c r="D1234" i="1"/>
  <c r="E1234" i="1"/>
  <c r="F1234" i="1"/>
  <c r="G1234" i="1"/>
  <c r="H1234" i="1"/>
  <c r="D792" i="1"/>
  <c r="E792" i="1"/>
  <c r="F792" i="1"/>
  <c r="G792" i="1"/>
  <c r="H792" i="1"/>
  <c r="D1660" i="1"/>
  <c r="E1660" i="1"/>
  <c r="F1660" i="1"/>
  <c r="G1660" i="1"/>
  <c r="H1660" i="1"/>
  <c r="D109" i="1"/>
  <c r="E109" i="1"/>
  <c r="F109" i="1"/>
  <c r="G109" i="1"/>
  <c r="H109" i="1"/>
  <c r="D1415" i="1"/>
  <c r="E1415" i="1"/>
  <c r="F1415" i="1"/>
  <c r="G1415" i="1"/>
  <c r="H1415" i="1"/>
  <c r="D1401" i="1"/>
  <c r="E1401" i="1"/>
  <c r="F1401" i="1"/>
  <c r="G1401" i="1"/>
  <c r="H1401" i="1"/>
  <c r="D189" i="1"/>
  <c r="E189" i="1"/>
  <c r="F189" i="1"/>
  <c r="G189" i="1"/>
  <c r="H189" i="1"/>
  <c r="D1663" i="1"/>
  <c r="E1663" i="1"/>
  <c r="F1663" i="1"/>
  <c r="G1663" i="1"/>
  <c r="H1663" i="1"/>
  <c r="D1276" i="1"/>
  <c r="E1276" i="1"/>
  <c r="F1276" i="1"/>
  <c r="G1276" i="1"/>
  <c r="H1276" i="1"/>
  <c r="D509" i="1"/>
  <c r="E509" i="1"/>
  <c r="F509" i="1"/>
  <c r="G509" i="1"/>
  <c r="H509" i="1"/>
  <c r="D619" i="1"/>
  <c r="E619" i="1"/>
  <c r="F619" i="1"/>
  <c r="G619" i="1"/>
  <c r="H619" i="1"/>
  <c r="D259" i="1"/>
  <c r="E259" i="1"/>
  <c r="F259" i="1"/>
  <c r="G259" i="1"/>
  <c r="H259" i="1"/>
  <c r="D209" i="1"/>
  <c r="E209" i="1"/>
  <c r="F209" i="1"/>
  <c r="G209" i="1"/>
  <c r="H209" i="1"/>
  <c r="D370" i="1"/>
  <c r="E370" i="1"/>
  <c r="F370" i="1"/>
  <c r="G370" i="1"/>
  <c r="H370" i="1"/>
  <c r="D594" i="1"/>
  <c r="E594" i="1"/>
  <c r="F594" i="1"/>
  <c r="G594" i="1"/>
  <c r="H594" i="1"/>
  <c r="D59" i="1"/>
  <c r="E59" i="1"/>
  <c r="F59" i="1"/>
  <c r="G59" i="1"/>
  <c r="H59" i="1"/>
  <c r="D1292" i="1"/>
  <c r="E1292" i="1"/>
  <c r="F1292" i="1"/>
  <c r="G1292" i="1"/>
  <c r="H1292" i="1"/>
  <c r="D914" i="1"/>
  <c r="E914" i="1"/>
  <c r="F914" i="1"/>
  <c r="G914" i="1"/>
  <c r="H914" i="1"/>
  <c r="D1733" i="1"/>
  <c r="E1733" i="1"/>
  <c r="F1733" i="1"/>
  <c r="G1733" i="1"/>
  <c r="H1733" i="1"/>
  <c r="D345" i="1"/>
  <c r="E345" i="1"/>
  <c r="F345" i="1"/>
  <c r="G345" i="1"/>
  <c r="H345" i="1"/>
  <c r="D1583" i="1"/>
  <c r="E1583" i="1"/>
  <c r="F1583" i="1"/>
  <c r="G1583" i="1"/>
  <c r="H1583" i="1"/>
  <c r="D1554" i="1"/>
  <c r="E1554" i="1"/>
  <c r="F1554" i="1"/>
  <c r="G1554" i="1"/>
  <c r="H1554" i="1"/>
  <c r="D950" i="1"/>
  <c r="E950" i="1"/>
  <c r="F950" i="1"/>
  <c r="G950" i="1"/>
  <c r="H950" i="1"/>
  <c r="D1625" i="1"/>
  <c r="E1625" i="1"/>
  <c r="F1625" i="1"/>
  <c r="G1625" i="1"/>
  <c r="H1625" i="1"/>
  <c r="D595" i="1"/>
  <c r="E595" i="1"/>
  <c r="F595" i="1"/>
  <c r="G595" i="1"/>
  <c r="H595" i="1"/>
  <c r="D735" i="1"/>
  <c r="E735" i="1"/>
  <c r="F735" i="1"/>
  <c r="G735" i="1"/>
  <c r="H735" i="1"/>
  <c r="D1251" i="1"/>
  <c r="E1251" i="1"/>
  <c r="F1251" i="1"/>
  <c r="G1251" i="1"/>
  <c r="H1251" i="1"/>
  <c r="D560" i="1"/>
  <c r="E560" i="1"/>
  <c r="F560" i="1"/>
  <c r="G560" i="1"/>
  <c r="H560" i="1"/>
  <c r="D1373" i="1"/>
  <c r="E1373" i="1"/>
  <c r="F1373" i="1"/>
  <c r="G1373" i="1"/>
  <c r="H1373" i="1"/>
  <c r="D220" i="1"/>
  <c r="E220" i="1"/>
  <c r="F220" i="1"/>
  <c r="G220" i="1"/>
  <c r="H220" i="1"/>
  <c r="D254" i="1"/>
  <c r="E254" i="1"/>
  <c r="F254" i="1"/>
  <c r="G254" i="1"/>
  <c r="H254" i="1"/>
  <c r="D1587" i="1"/>
  <c r="E1587" i="1"/>
  <c r="F1587" i="1"/>
  <c r="G1587" i="1"/>
  <c r="H1587" i="1"/>
  <c r="D1091" i="1"/>
  <c r="E1091" i="1"/>
  <c r="F1091" i="1"/>
  <c r="G1091" i="1"/>
  <c r="H1091" i="1"/>
  <c r="D704" i="1"/>
  <c r="E704" i="1"/>
  <c r="F704" i="1"/>
  <c r="G704" i="1"/>
  <c r="H704" i="1"/>
  <c r="D810" i="1"/>
  <c r="E810" i="1"/>
  <c r="F810" i="1"/>
  <c r="G810" i="1"/>
  <c r="H810" i="1"/>
  <c r="D274" i="1"/>
  <c r="E274" i="1"/>
  <c r="F274" i="1"/>
  <c r="G274" i="1"/>
  <c r="H274" i="1"/>
  <c r="D75" i="1"/>
  <c r="E75" i="1"/>
  <c r="F75" i="1"/>
  <c r="G75" i="1"/>
  <c r="H75" i="1"/>
  <c r="D1210" i="1"/>
  <c r="E1210" i="1"/>
  <c r="F1210" i="1"/>
  <c r="G1210" i="1"/>
  <c r="H1210" i="1"/>
  <c r="D1575" i="1"/>
  <c r="E1575" i="1"/>
  <c r="F1575" i="1"/>
  <c r="G1575" i="1"/>
  <c r="H1575" i="1"/>
  <c r="D913" i="1"/>
  <c r="E913" i="1"/>
  <c r="F913" i="1"/>
  <c r="G913" i="1"/>
  <c r="H913" i="1"/>
  <c r="D622" i="1"/>
  <c r="E622" i="1"/>
  <c r="F622" i="1"/>
  <c r="G622" i="1"/>
  <c r="H622" i="1"/>
  <c r="D798" i="1"/>
  <c r="E798" i="1"/>
  <c r="F798" i="1"/>
  <c r="G798" i="1"/>
  <c r="H798" i="1"/>
  <c r="D291" i="1"/>
  <c r="E291" i="1"/>
  <c r="F291" i="1"/>
  <c r="G291" i="1"/>
  <c r="H291" i="1"/>
  <c r="D1117" i="1"/>
  <c r="E1117" i="1"/>
  <c r="F1117" i="1"/>
  <c r="G1117" i="1"/>
  <c r="H1117" i="1"/>
  <c r="D916" i="1"/>
  <c r="E916" i="1"/>
  <c r="F916" i="1"/>
  <c r="G916" i="1"/>
  <c r="H916" i="1"/>
  <c r="D975" i="1"/>
  <c r="E975" i="1"/>
  <c r="F975" i="1"/>
  <c r="G975" i="1"/>
  <c r="H975" i="1"/>
  <c r="D1384" i="1"/>
  <c r="E1384" i="1"/>
  <c r="F1384" i="1"/>
  <c r="G1384" i="1"/>
  <c r="H1384" i="1"/>
  <c r="D1195" i="1"/>
  <c r="E1195" i="1"/>
  <c r="F1195" i="1"/>
  <c r="G1195" i="1"/>
  <c r="H1195" i="1"/>
  <c r="D677" i="1"/>
  <c r="E677" i="1"/>
  <c r="F677" i="1"/>
  <c r="G677" i="1"/>
  <c r="H677" i="1"/>
  <c r="D1556" i="1"/>
  <c r="E1556" i="1"/>
  <c r="F1556" i="1"/>
  <c r="G1556" i="1"/>
  <c r="H1556" i="1"/>
  <c r="D1193" i="1"/>
  <c r="E1193" i="1"/>
  <c r="F1193" i="1"/>
  <c r="G1193" i="1"/>
  <c r="H1193" i="1"/>
  <c r="D1341" i="1"/>
  <c r="E1341" i="1"/>
  <c r="F1341" i="1"/>
  <c r="G1341" i="1"/>
  <c r="H1341" i="1"/>
  <c r="D1442" i="1"/>
  <c r="E1442" i="1"/>
  <c r="F1442" i="1"/>
  <c r="G1442" i="1"/>
  <c r="H1442" i="1"/>
  <c r="D775" i="1"/>
  <c r="E775" i="1"/>
  <c r="F775" i="1"/>
  <c r="G775" i="1"/>
  <c r="H775" i="1"/>
  <c r="D379" i="1"/>
  <c r="E379" i="1"/>
  <c r="F379" i="1"/>
  <c r="G379" i="1"/>
  <c r="H379" i="1"/>
  <c r="D147" i="1"/>
  <c r="E147" i="1"/>
  <c r="F147" i="1"/>
  <c r="G147" i="1"/>
  <c r="H147" i="1"/>
  <c r="D224" i="1"/>
  <c r="E224" i="1"/>
  <c r="F224" i="1"/>
  <c r="G224" i="1"/>
  <c r="H224" i="1"/>
  <c r="D171" i="1"/>
  <c r="E171" i="1"/>
  <c r="F171" i="1"/>
  <c r="G171" i="1"/>
  <c r="H171" i="1"/>
  <c r="D1668" i="1"/>
  <c r="E1668" i="1"/>
  <c r="F1668" i="1"/>
  <c r="G1668" i="1"/>
  <c r="H1668" i="1"/>
  <c r="D1176" i="1"/>
  <c r="E1176" i="1"/>
  <c r="F1176" i="1"/>
  <c r="G1176" i="1"/>
  <c r="H1176" i="1"/>
  <c r="D977" i="1"/>
  <c r="E977" i="1"/>
  <c r="F977" i="1"/>
  <c r="G977" i="1"/>
  <c r="H977" i="1"/>
  <c r="D583" i="1"/>
  <c r="E583" i="1"/>
  <c r="F583" i="1"/>
  <c r="G583" i="1"/>
  <c r="H583" i="1"/>
  <c r="D381" i="1"/>
  <c r="E381" i="1"/>
  <c r="F381" i="1"/>
  <c r="G381" i="1"/>
  <c r="H381" i="1"/>
  <c r="D327" i="1"/>
  <c r="E327" i="1"/>
  <c r="F327" i="1"/>
  <c r="G327" i="1"/>
  <c r="H327" i="1"/>
  <c r="D672" i="1"/>
  <c r="E672" i="1"/>
  <c r="F672" i="1"/>
  <c r="G672" i="1"/>
  <c r="H672" i="1"/>
  <c r="D1770" i="1"/>
  <c r="E1770" i="1"/>
  <c r="F1770" i="1"/>
  <c r="G1770" i="1"/>
  <c r="H1770" i="1"/>
  <c r="D542" i="1"/>
  <c r="E542" i="1"/>
  <c r="F542" i="1"/>
  <c r="G542" i="1"/>
  <c r="H542" i="1"/>
  <c r="D1444" i="1"/>
  <c r="E1444" i="1"/>
  <c r="F1444" i="1"/>
  <c r="G1444" i="1"/>
  <c r="H1444" i="1"/>
  <c r="D115" i="1"/>
  <c r="E115" i="1"/>
  <c r="F115" i="1"/>
  <c r="G115" i="1"/>
  <c r="H115" i="1"/>
  <c r="D1532" i="1"/>
  <c r="E1532" i="1"/>
  <c r="F1532" i="1"/>
  <c r="G1532" i="1"/>
  <c r="H1532" i="1"/>
  <c r="D1632" i="1"/>
  <c r="E1632" i="1"/>
  <c r="F1632" i="1"/>
  <c r="G1632" i="1"/>
  <c r="H1632" i="1"/>
  <c r="D111" i="1"/>
  <c r="E111" i="1"/>
  <c r="F111" i="1"/>
  <c r="G111" i="1"/>
  <c r="H111" i="1"/>
  <c r="D1646" i="1"/>
  <c r="E1646" i="1"/>
  <c r="F1646" i="1"/>
  <c r="G1646" i="1"/>
  <c r="H1646" i="1"/>
  <c r="D326" i="1"/>
  <c r="E326" i="1"/>
  <c r="F326" i="1"/>
  <c r="G326" i="1"/>
  <c r="H326" i="1"/>
  <c r="D962" i="1"/>
  <c r="E962" i="1"/>
  <c r="F962" i="1"/>
  <c r="G962" i="1"/>
  <c r="H962" i="1"/>
  <c r="D4" i="1"/>
  <c r="E4" i="1"/>
  <c r="F4" i="1"/>
  <c r="G4" i="1"/>
  <c r="H4" i="1"/>
  <c r="D785" i="1"/>
  <c r="E785" i="1"/>
  <c r="F785" i="1"/>
  <c r="G785" i="1"/>
  <c r="H785" i="1"/>
  <c r="D332" i="1"/>
  <c r="E332" i="1"/>
  <c r="F332" i="1"/>
  <c r="G332" i="1"/>
  <c r="H332" i="1"/>
  <c r="D139" i="1"/>
  <c r="E139" i="1"/>
  <c r="F139" i="1"/>
  <c r="G139" i="1"/>
  <c r="H139" i="1"/>
  <c r="D423" i="1"/>
  <c r="E423" i="1"/>
  <c r="F423" i="1"/>
  <c r="G423" i="1"/>
  <c r="H423" i="1"/>
  <c r="D1192" i="1"/>
  <c r="E1192" i="1"/>
  <c r="F1192" i="1"/>
  <c r="G1192" i="1"/>
  <c r="H1192" i="1"/>
  <c r="D1764" i="1"/>
  <c r="E1764" i="1"/>
  <c r="F1764" i="1"/>
  <c r="G1764" i="1"/>
  <c r="H1764" i="1"/>
  <c r="D903" i="1"/>
  <c r="E903" i="1"/>
  <c r="F903" i="1"/>
  <c r="G903" i="1"/>
  <c r="H903" i="1"/>
  <c r="D1269" i="1"/>
  <c r="E1269" i="1"/>
  <c r="F1269" i="1"/>
  <c r="G1269" i="1"/>
  <c r="H1269" i="1"/>
  <c r="D1183" i="1"/>
  <c r="E1183" i="1"/>
  <c r="F1183" i="1"/>
  <c r="G1183" i="1"/>
  <c r="H1183" i="1"/>
  <c r="D666" i="1"/>
  <c r="E666" i="1"/>
  <c r="F666" i="1"/>
  <c r="G666" i="1"/>
  <c r="H666" i="1"/>
  <c r="D1359" i="1"/>
  <c r="E1359" i="1"/>
  <c r="F1359" i="1"/>
  <c r="G1359" i="1"/>
  <c r="H1359" i="1"/>
  <c r="D1350" i="1"/>
  <c r="E1350" i="1"/>
  <c r="F1350" i="1"/>
  <c r="G1350" i="1"/>
  <c r="H1350" i="1"/>
  <c r="D884" i="1"/>
  <c r="E884" i="1"/>
  <c r="F884" i="1"/>
  <c r="G884" i="1"/>
  <c r="H884" i="1"/>
  <c r="D711" i="1"/>
  <c r="E711" i="1"/>
  <c r="F711" i="1"/>
  <c r="G711" i="1"/>
  <c r="H711" i="1"/>
  <c r="D1287" i="1"/>
  <c r="E1287" i="1"/>
  <c r="F1287" i="1"/>
  <c r="G1287" i="1"/>
  <c r="H1287" i="1"/>
  <c r="D233" i="1"/>
  <c r="E233" i="1"/>
  <c r="F233" i="1"/>
  <c r="G233" i="1"/>
  <c r="H233" i="1"/>
  <c r="D307" i="1"/>
  <c r="E307" i="1"/>
  <c r="F307" i="1"/>
  <c r="G307" i="1"/>
  <c r="H307" i="1"/>
  <c r="D1729" i="1"/>
  <c r="E1729" i="1"/>
  <c r="F1729" i="1"/>
  <c r="G1729" i="1"/>
  <c r="H1729" i="1"/>
  <c r="D194" i="1"/>
  <c r="E194" i="1"/>
  <c r="F194" i="1"/>
  <c r="G194" i="1"/>
  <c r="H194" i="1"/>
  <c r="D336" i="1"/>
  <c r="E336" i="1"/>
  <c r="F336" i="1"/>
  <c r="G336" i="1"/>
  <c r="H336" i="1"/>
  <c r="D427" i="1"/>
  <c r="E427" i="1"/>
  <c r="F427" i="1"/>
  <c r="G427" i="1"/>
  <c r="H427" i="1"/>
  <c r="D206" i="1"/>
  <c r="E206" i="1"/>
  <c r="F206" i="1"/>
  <c r="G206" i="1"/>
  <c r="H206" i="1"/>
  <c r="D993" i="1"/>
  <c r="E993" i="1"/>
  <c r="F993" i="1"/>
  <c r="G993" i="1"/>
  <c r="H993" i="1"/>
  <c r="D1096" i="1"/>
  <c r="E1096" i="1"/>
  <c r="F1096" i="1"/>
  <c r="G1096" i="1"/>
  <c r="H1096" i="1"/>
  <c r="D63" i="1"/>
  <c r="E63" i="1"/>
  <c r="F63" i="1"/>
  <c r="G63" i="1"/>
  <c r="H63" i="1"/>
  <c r="D1048" i="1"/>
  <c r="E1048" i="1"/>
  <c r="F1048" i="1"/>
  <c r="G1048" i="1"/>
  <c r="H1048" i="1"/>
  <c r="D1605" i="1"/>
  <c r="E1605" i="1"/>
  <c r="F1605" i="1"/>
  <c r="G1605" i="1"/>
  <c r="H1605" i="1"/>
  <c r="D687" i="1"/>
  <c r="E687" i="1"/>
  <c r="F687" i="1"/>
  <c r="G687" i="1"/>
  <c r="H687" i="1"/>
  <c r="D878" i="1"/>
  <c r="E878" i="1"/>
  <c r="F878" i="1"/>
  <c r="G878" i="1"/>
  <c r="H878" i="1"/>
  <c r="D681" i="1"/>
  <c r="E681" i="1"/>
  <c r="F681" i="1"/>
  <c r="G681" i="1"/>
  <c r="H681" i="1"/>
  <c r="D1754" i="1"/>
  <c r="E1754" i="1"/>
  <c r="F1754" i="1"/>
  <c r="G1754" i="1"/>
  <c r="H1754" i="1"/>
  <c r="D639" i="1"/>
  <c r="E639" i="1"/>
  <c r="F639" i="1"/>
  <c r="G639" i="1"/>
  <c r="H639" i="1"/>
  <c r="D1486" i="1"/>
  <c r="E1486" i="1"/>
  <c r="F1486" i="1"/>
  <c r="G1486" i="1"/>
  <c r="H1486" i="1"/>
  <c r="D922" i="1"/>
  <c r="E922" i="1"/>
  <c r="F922" i="1"/>
  <c r="G922" i="1"/>
  <c r="H922" i="1"/>
  <c r="D1761" i="1"/>
  <c r="E1761" i="1"/>
  <c r="F1761" i="1"/>
  <c r="G1761" i="1"/>
  <c r="H1761" i="1"/>
  <c r="D68" i="1"/>
  <c r="E68" i="1"/>
  <c r="F68" i="1"/>
  <c r="G68" i="1"/>
  <c r="H68" i="1"/>
  <c r="D452" i="1"/>
  <c r="E452" i="1"/>
  <c r="F452" i="1"/>
  <c r="G452" i="1"/>
  <c r="H452" i="1"/>
  <c r="D1161" i="1"/>
  <c r="E1161" i="1"/>
  <c r="F1161" i="1"/>
  <c r="G1161" i="1"/>
  <c r="H1161" i="1"/>
  <c r="D1024" i="1"/>
  <c r="E1024" i="1"/>
  <c r="F1024" i="1"/>
  <c r="G1024" i="1"/>
  <c r="H1024" i="1"/>
  <c r="D728" i="1"/>
  <c r="E728" i="1"/>
  <c r="F728" i="1"/>
  <c r="G728" i="1"/>
  <c r="H728" i="1"/>
  <c r="D557" i="1"/>
  <c r="E557" i="1"/>
  <c r="F557" i="1"/>
  <c r="G557" i="1"/>
  <c r="H557" i="1"/>
  <c r="D679" i="1"/>
  <c r="E679" i="1"/>
  <c r="F679" i="1"/>
  <c r="G679" i="1"/>
  <c r="H679" i="1"/>
  <c r="D729" i="1"/>
  <c r="E729" i="1"/>
  <c r="F729" i="1"/>
  <c r="G729" i="1"/>
  <c r="H729" i="1"/>
  <c r="D1370" i="1"/>
  <c r="E1370" i="1"/>
  <c r="F1370" i="1"/>
  <c r="G1370" i="1"/>
  <c r="H1370" i="1"/>
  <c r="D159" i="1"/>
  <c r="E159" i="1"/>
  <c r="F159" i="1"/>
  <c r="G159" i="1"/>
  <c r="H159" i="1"/>
  <c r="D1502" i="1"/>
  <c r="E1502" i="1"/>
  <c r="F1502" i="1"/>
  <c r="G1502" i="1"/>
  <c r="H1502" i="1"/>
  <c r="D419" i="1"/>
  <c r="E419" i="1"/>
  <c r="F419" i="1"/>
  <c r="G419" i="1"/>
  <c r="H419" i="1"/>
  <c r="D414" i="1"/>
  <c r="E414" i="1"/>
  <c r="F414" i="1"/>
  <c r="G414" i="1"/>
  <c r="H414" i="1"/>
  <c r="D1701" i="1"/>
  <c r="E1701" i="1"/>
  <c r="F1701" i="1"/>
  <c r="G1701" i="1"/>
  <c r="H1701" i="1"/>
  <c r="D596" i="1"/>
  <c r="E596" i="1"/>
  <c r="F596" i="1"/>
  <c r="G596" i="1"/>
  <c r="H596" i="1"/>
  <c r="D462" i="1"/>
  <c r="E462" i="1"/>
  <c r="F462" i="1"/>
  <c r="G462" i="1"/>
  <c r="H462" i="1"/>
  <c r="D410" i="1"/>
  <c r="E410" i="1"/>
  <c r="F410" i="1"/>
  <c r="G410" i="1"/>
  <c r="H410" i="1"/>
  <c r="D121" i="1"/>
  <c r="E121" i="1"/>
  <c r="F121" i="1"/>
  <c r="G121" i="1"/>
  <c r="H121" i="1"/>
  <c r="D157" i="1"/>
  <c r="E157" i="1"/>
  <c r="F157" i="1"/>
  <c r="G157" i="1"/>
  <c r="H157" i="1"/>
  <c r="D1520" i="1"/>
  <c r="E1520" i="1"/>
  <c r="F1520" i="1"/>
  <c r="G1520" i="1"/>
  <c r="H1520" i="1"/>
  <c r="D240" i="1"/>
  <c r="E240" i="1"/>
  <c r="F240" i="1"/>
  <c r="G240" i="1"/>
  <c r="H240" i="1"/>
  <c r="D94" i="1"/>
  <c r="E94" i="1"/>
  <c r="F94" i="1"/>
  <c r="G94" i="1"/>
  <c r="H94" i="1"/>
  <c r="D1175" i="1"/>
  <c r="E1175" i="1"/>
  <c r="F1175" i="1"/>
  <c r="G1175" i="1"/>
  <c r="H1175" i="1"/>
  <c r="D1524" i="1"/>
  <c r="E1524" i="1"/>
  <c r="F1524" i="1"/>
  <c r="G1524" i="1"/>
  <c r="H1524" i="1"/>
  <c r="D237" i="1"/>
  <c r="E237" i="1"/>
  <c r="F237" i="1"/>
  <c r="G237" i="1"/>
  <c r="H237" i="1"/>
  <c r="D1158" i="1"/>
  <c r="E1158" i="1"/>
  <c r="F1158" i="1"/>
  <c r="G1158" i="1"/>
  <c r="H1158" i="1"/>
  <c r="D867" i="1"/>
  <c r="E867" i="1"/>
  <c r="F867" i="1"/>
  <c r="G867" i="1"/>
  <c r="H867" i="1"/>
  <c r="D921" i="1"/>
  <c r="E921" i="1"/>
  <c r="F921" i="1"/>
  <c r="G921" i="1"/>
  <c r="H921" i="1"/>
  <c r="D1413" i="1"/>
  <c r="E1413" i="1"/>
  <c r="F1413" i="1"/>
  <c r="G1413" i="1"/>
  <c r="H1413" i="1"/>
  <c r="D1378" i="1"/>
  <c r="E1378" i="1"/>
  <c r="F1378" i="1"/>
  <c r="G1378" i="1"/>
  <c r="H1378" i="1"/>
  <c r="D766" i="1"/>
  <c r="E766" i="1"/>
  <c r="F766" i="1"/>
  <c r="G766" i="1"/>
  <c r="H766" i="1"/>
  <c r="D465" i="1"/>
  <c r="E465" i="1"/>
  <c r="F465" i="1"/>
  <c r="G465" i="1"/>
  <c r="H465" i="1"/>
  <c r="D1345" i="1"/>
  <c r="E1345" i="1"/>
  <c r="F1345" i="1"/>
  <c r="G1345" i="1"/>
  <c r="H1345" i="1"/>
  <c r="D938" i="1"/>
  <c r="E938" i="1"/>
  <c r="F938" i="1"/>
  <c r="G938" i="1"/>
  <c r="H938" i="1"/>
  <c r="D1095" i="1"/>
  <c r="E1095" i="1"/>
  <c r="F1095" i="1"/>
  <c r="G1095" i="1"/>
  <c r="H1095" i="1"/>
  <c r="D1283" i="1"/>
  <c r="E1283" i="1"/>
  <c r="F1283" i="1"/>
  <c r="G1283" i="1"/>
  <c r="H1283" i="1"/>
  <c r="D402" i="1"/>
  <c r="E402" i="1"/>
  <c r="F402" i="1"/>
  <c r="G402" i="1"/>
  <c r="H402" i="1"/>
  <c r="D1640" i="1"/>
  <c r="E1640" i="1"/>
  <c r="F1640" i="1"/>
  <c r="G1640" i="1"/>
  <c r="H1640" i="1"/>
  <c r="D278" i="1"/>
  <c r="E278" i="1"/>
  <c r="F278" i="1"/>
  <c r="G278" i="1"/>
  <c r="H278" i="1"/>
  <c r="D338" i="1"/>
  <c r="E338" i="1"/>
  <c r="F338" i="1"/>
  <c r="G338" i="1"/>
  <c r="H338" i="1"/>
  <c r="D448" i="1"/>
  <c r="E448" i="1"/>
  <c r="F448" i="1"/>
  <c r="G448" i="1"/>
  <c r="H448" i="1"/>
  <c r="D1187" i="1"/>
  <c r="E1187" i="1"/>
  <c r="F1187" i="1"/>
  <c r="G1187" i="1"/>
  <c r="H1187" i="1"/>
  <c r="D1630" i="1"/>
  <c r="E1630" i="1"/>
  <c r="F1630" i="1"/>
  <c r="G1630" i="1"/>
  <c r="H1630" i="1"/>
  <c r="D1162" i="1"/>
  <c r="E1162" i="1"/>
  <c r="F1162" i="1"/>
  <c r="G1162" i="1"/>
  <c r="H1162" i="1"/>
  <c r="D1320" i="1"/>
  <c r="E1320" i="1"/>
  <c r="F1320" i="1"/>
  <c r="G1320" i="1"/>
  <c r="H1320" i="1"/>
  <c r="D829" i="1"/>
  <c r="E829" i="1"/>
  <c r="F829" i="1"/>
  <c r="G829" i="1"/>
  <c r="H829" i="1"/>
  <c r="D1616" i="1"/>
  <c r="E1616" i="1"/>
  <c r="F1616" i="1"/>
  <c r="G1616" i="1"/>
  <c r="H1616" i="1"/>
  <c r="D1229" i="1"/>
  <c r="E1229" i="1"/>
  <c r="F1229" i="1"/>
  <c r="G1229" i="1"/>
  <c r="H1229" i="1"/>
  <c r="D1334" i="1"/>
  <c r="E1334" i="1"/>
  <c r="F1334" i="1"/>
  <c r="G1334" i="1"/>
  <c r="H1334" i="1"/>
  <c r="D82" i="1"/>
  <c r="E82" i="1"/>
  <c r="F82" i="1"/>
  <c r="G82" i="1"/>
  <c r="H82" i="1"/>
  <c r="D197" i="1"/>
  <c r="E197" i="1"/>
  <c r="F197" i="1"/>
  <c r="G197" i="1"/>
  <c r="H197" i="1"/>
  <c r="D1235" i="1"/>
  <c r="E1235" i="1"/>
  <c r="F1235" i="1"/>
  <c r="G1235" i="1"/>
  <c r="H1235" i="1"/>
  <c r="D1505" i="1"/>
  <c r="E1505" i="1"/>
  <c r="F1505" i="1"/>
  <c r="G1505" i="1"/>
  <c r="H1505" i="1"/>
  <c r="D747" i="1"/>
  <c r="E747" i="1"/>
  <c r="F747" i="1"/>
  <c r="G747" i="1"/>
  <c r="H747" i="1"/>
  <c r="D1039" i="1"/>
  <c r="E1039" i="1"/>
  <c r="F1039" i="1"/>
  <c r="G1039" i="1"/>
  <c r="H1039" i="1"/>
  <c r="D1430" i="1"/>
  <c r="E1430" i="1"/>
  <c r="F1430" i="1"/>
  <c r="G1430" i="1"/>
  <c r="H1430" i="1"/>
  <c r="D1722" i="1"/>
  <c r="E1722" i="1"/>
  <c r="F1722" i="1"/>
  <c r="G1722" i="1"/>
  <c r="H1722" i="1"/>
  <c r="D317" i="1"/>
  <c r="E317" i="1"/>
  <c r="F317" i="1"/>
  <c r="G317" i="1"/>
  <c r="H317" i="1"/>
  <c r="D803" i="1"/>
  <c r="E803" i="1"/>
  <c r="F803" i="1"/>
  <c r="G803" i="1"/>
  <c r="H803" i="1"/>
  <c r="D1227" i="1"/>
  <c r="E1227" i="1"/>
  <c r="F1227" i="1"/>
  <c r="G1227" i="1"/>
  <c r="H1227" i="1"/>
  <c r="D786" i="1"/>
  <c r="E786" i="1"/>
  <c r="F786" i="1"/>
  <c r="G786" i="1"/>
  <c r="H786" i="1"/>
  <c r="D931" i="1"/>
  <c r="E931" i="1"/>
  <c r="F931" i="1"/>
  <c r="G931" i="1"/>
  <c r="H931" i="1"/>
  <c r="D1651" i="1"/>
  <c r="E1651" i="1"/>
  <c r="F1651" i="1"/>
  <c r="G1651" i="1"/>
  <c r="H1651" i="1"/>
  <c r="D1241" i="1"/>
  <c r="E1241" i="1"/>
  <c r="F1241" i="1"/>
  <c r="G1241" i="1"/>
  <c r="H1241" i="1"/>
  <c r="D156" i="1"/>
  <c r="E156" i="1"/>
  <c r="F156" i="1"/>
  <c r="G156" i="1"/>
  <c r="H156" i="1"/>
  <c r="D774" i="1"/>
  <c r="E774" i="1"/>
  <c r="F774" i="1"/>
  <c r="G774" i="1"/>
  <c r="H774" i="1"/>
  <c r="D1398" i="1"/>
  <c r="E1398" i="1"/>
  <c r="F1398" i="1"/>
  <c r="G1398" i="1"/>
  <c r="H1398" i="1"/>
  <c r="D894" i="1"/>
  <c r="E894" i="1"/>
  <c r="F894" i="1"/>
  <c r="G894" i="1"/>
  <c r="H894" i="1"/>
  <c r="D1321" i="1"/>
  <c r="E1321" i="1"/>
  <c r="F1321" i="1"/>
  <c r="G1321" i="1"/>
  <c r="H1321" i="1"/>
  <c r="D491" i="1"/>
  <c r="E491" i="1"/>
  <c r="F491" i="1"/>
  <c r="G491" i="1"/>
  <c r="H491" i="1"/>
  <c r="D1298" i="1"/>
  <c r="E1298" i="1"/>
  <c r="F1298" i="1"/>
  <c r="G1298" i="1"/>
  <c r="H1298" i="1"/>
  <c r="D469" i="1"/>
  <c r="E469" i="1"/>
  <c r="F469" i="1"/>
  <c r="G469" i="1"/>
  <c r="H469" i="1"/>
  <c r="D889" i="1"/>
  <c r="E889" i="1"/>
  <c r="F889" i="1"/>
  <c r="G889" i="1"/>
  <c r="H889" i="1"/>
  <c r="D1487" i="1"/>
  <c r="E1487" i="1"/>
  <c r="F1487" i="1"/>
  <c r="G1487" i="1"/>
  <c r="H1487" i="1"/>
  <c r="D951" i="1"/>
  <c r="E951" i="1"/>
  <c r="F951" i="1"/>
  <c r="G951" i="1"/>
  <c r="H951" i="1"/>
  <c r="D508" i="1"/>
  <c r="E508" i="1"/>
  <c r="F508" i="1"/>
  <c r="G508" i="1"/>
  <c r="H508" i="1"/>
  <c r="D1016" i="1"/>
  <c r="E1016" i="1"/>
  <c r="F1016" i="1"/>
  <c r="G1016" i="1"/>
  <c r="H1016" i="1"/>
  <c r="D908" i="1"/>
  <c r="E908" i="1"/>
  <c r="F908" i="1"/>
  <c r="G908" i="1"/>
  <c r="H908" i="1"/>
  <c r="D1034" i="1"/>
  <c r="E1034" i="1"/>
  <c r="F1034" i="1"/>
  <c r="G1034" i="1"/>
  <c r="H1034" i="1"/>
  <c r="D587" i="1"/>
  <c r="E587" i="1"/>
  <c r="F587" i="1"/>
  <c r="G587" i="1"/>
  <c r="H587" i="1"/>
  <c r="D468" i="1"/>
  <c r="E468" i="1"/>
  <c r="F468" i="1"/>
  <c r="G468" i="1"/>
  <c r="H468" i="1"/>
  <c r="D1075" i="1"/>
  <c r="E1075" i="1"/>
  <c r="F1075" i="1"/>
  <c r="G1075" i="1"/>
  <c r="H1075" i="1"/>
  <c r="D1504" i="1"/>
  <c r="E1504" i="1"/>
  <c r="F1504" i="1"/>
  <c r="G1504" i="1"/>
  <c r="H1504" i="1"/>
  <c r="D652" i="1"/>
  <c r="E652" i="1"/>
  <c r="F652" i="1"/>
  <c r="G652" i="1"/>
  <c r="H652" i="1"/>
  <c r="D405" i="1"/>
  <c r="E405" i="1"/>
  <c r="F405" i="1"/>
  <c r="G405" i="1"/>
  <c r="H405" i="1"/>
  <c r="D1535" i="1"/>
  <c r="E1535" i="1"/>
  <c r="F1535" i="1"/>
  <c r="G1535" i="1"/>
  <c r="H1535" i="1"/>
  <c r="D471" i="1"/>
  <c r="E471" i="1"/>
  <c r="F471" i="1"/>
  <c r="G471" i="1"/>
  <c r="H471" i="1"/>
  <c r="D1295" i="1"/>
  <c r="E1295" i="1"/>
  <c r="F1295" i="1"/>
  <c r="G1295" i="1"/>
  <c r="H1295" i="1"/>
  <c r="D460" i="1"/>
  <c r="E460" i="1"/>
  <c r="F460" i="1"/>
  <c r="G460" i="1"/>
  <c r="H460" i="1"/>
  <c r="D954" i="1"/>
  <c r="E954" i="1"/>
  <c r="F954" i="1"/>
  <c r="G954" i="1"/>
  <c r="H954" i="1"/>
  <c r="D64" i="1"/>
  <c r="E64" i="1"/>
  <c r="F64" i="1"/>
  <c r="G64" i="1"/>
  <c r="H64" i="1"/>
  <c r="D539" i="1"/>
  <c r="E539" i="1"/>
  <c r="F539" i="1"/>
  <c r="G539" i="1"/>
  <c r="H539" i="1"/>
  <c r="D1288" i="1"/>
  <c r="E1288" i="1"/>
  <c r="F1288" i="1"/>
  <c r="G1288" i="1"/>
  <c r="H1288" i="1"/>
  <c r="D762" i="1"/>
  <c r="E762" i="1"/>
  <c r="F762" i="1"/>
  <c r="G762" i="1"/>
  <c r="H762" i="1"/>
  <c r="D1194" i="1"/>
  <c r="E1194" i="1"/>
  <c r="F1194" i="1"/>
  <c r="G1194" i="1"/>
  <c r="H1194" i="1"/>
  <c r="D221" i="1"/>
  <c r="E221" i="1"/>
  <c r="F221" i="1"/>
  <c r="G221" i="1"/>
  <c r="H221" i="1"/>
  <c r="D1121" i="1"/>
  <c r="E1121" i="1"/>
  <c r="F1121" i="1"/>
  <c r="G1121" i="1"/>
  <c r="H1121" i="1"/>
  <c r="D580" i="1"/>
  <c r="E580" i="1"/>
  <c r="F580" i="1"/>
  <c r="G580" i="1"/>
  <c r="H580" i="1"/>
  <c r="D1540" i="1"/>
  <c r="E1540" i="1"/>
  <c r="F1540" i="1"/>
  <c r="G1540" i="1"/>
  <c r="H1540" i="1"/>
  <c r="D1157" i="1"/>
  <c r="E1157" i="1"/>
  <c r="F1157" i="1"/>
  <c r="G1157" i="1"/>
  <c r="H1157" i="1"/>
  <c r="D454" i="1"/>
  <c r="E454" i="1"/>
  <c r="F454" i="1"/>
  <c r="G454" i="1"/>
  <c r="H454" i="1"/>
  <c r="D1582" i="1"/>
  <c r="E1582" i="1"/>
  <c r="F1582" i="1"/>
  <c r="G1582" i="1"/>
  <c r="H1582" i="1"/>
  <c r="D757" i="1"/>
  <c r="E757" i="1"/>
  <c r="F757" i="1"/>
  <c r="G757" i="1"/>
  <c r="H757" i="1"/>
  <c r="D1709" i="1"/>
  <c r="E1709" i="1"/>
  <c r="F1709" i="1"/>
  <c r="G1709" i="1"/>
  <c r="H1709" i="1"/>
  <c r="D43" i="1"/>
  <c r="E43" i="1"/>
  <c r="F43" i="1"/>
  <c r="G43" i="1"/>
  <c r="H43" i="1"/>
  <c r="D477" i="1"/>
  <c r="E477" i="1"/>
  <c r="F477" i="1"/>
  <c r="G477" i="1"/>
  <c r="H477" i="1"/>
  <c r="D700" i="1"/>
  <c r="E700" i="1"/>
  <c r="F700" i="1"/>
  <c r="G700" i="1"/>
  <c r="H700" i="1"/>
  <c r="D374" i="1"/>
  <c r="E374" i="1"/>
  <c r="F374" i="1"/>
  <c r="G374" i="1"/>
  <c r="H374" i="1"/>
  <c r="D1470" i="1"/>
  <c r="E1470" i="1"/>
  <c r="F1470" i="1"/>
  <c r="G1470" i="1"/>
  <c r="H1470" i="1"/>
  <c r="D1472" i="1"/>
  <c r="E1472" i="1"/>
  <c r="F1472" i="1"/>
  <c r="G1472" i="1"/>
  <c r="H1472" i="1"/>
  <c r="D617" i="1"/>
  <c r="E617" i="1"/>
  <c r="F617" i="1"/>
  <c r="G617" i="1"/>
  <c r="H617" i="1"/>
  <c r="D1347" i="1"/>
  <c r="E1347" i="1"/>
  <c r="F1347" i="1"/>
  <c r="G1347" i="1"/>
  <c r="H1347" i="1"/>
  <c r="D1608" i="1"/>
  <c r="E1608" i="1"/>
  <c r="F1608" i="1"/>
  <c r="G1608" i="1"/>
  <c r="H1608" i="1"/>
  <c r="D693" i="1"/>
  <c r="E693" i="1"/>
  <c r="F693" i="1"/>
  <c r="G693" i="1"/>
  <c r="H693" i="1"/>
  <c r="D1105" i="1"/>
  <c r="E1105" i="1"/>
  <c r="F1105" i="1"/>
  <c r="G1105" i="1"/>
  <c r="H1105" i="1"/>
  <c r="D943" i="1"/>
  <c r="E943" i="1"/>
  <c r="F943" i="1"/>
  <c r="G943" i="1"/>
  <c r="H943" i="1"/>
  <c r="D979" i="1"/>
  <c r="E979" i="1"/>
  <c r="F979" i="1"/>
  <c r="G979" i="1"/>
  <c r="H979" i="1"/>
  <c r="D1266" i="1"/>
  <c r="E1266" i="1"/>
  <c r="F1266" i="1"/>
  <c r="G1266" i="1"/>
  <c r="H1266" i="1"/>
  <c r="D875" i="1"/>
  <c r="E875" i="1"/>
  <c r="F875" i="1"/>
  <c r="G875" i="1"/>
  <c r="H875" i="1"/>
  <c r="D170" i="1"/>
  <c r="E170" i="1"/>
  <c r="F170" i="1"/>
  <c r="G170" i="1"/>
  <c r="H170" i="1"/>
  <c r="D1205" i="1"/>
  <c r="E1205" i="1"/>
  <c r="F1205" i="1"/>
  <c r="G1205" i="1"/>
  <c r="H1205" i="1"/>
  <c r="D433" i="1"/>
  <c r="E433" i="1"/>
  <c r="F433" i="1"/>
  <c r="G433" i="1"/>
  <c r="H433" i="1"/>
  <c r="D967" i="1"/>
  <c r="E967" i="1"/>
  <c r="F967" i="1"/>
  <c r="G967" i="1"/>
  <c r="H967" i="1"/>
  <c r="D1174" i="1"/>
  <c r="E1174" i="1"/>
  <c r="F1174" i="1"/>
  <c r="G1174" i="1"/>
  <c r="H1174" i="1"/>
  <c r="D188" i="1"/>
  <c r="E188" i="1"/>
  <c r="F188" i="1"/>
  <c r="G188" i="1"/>
  <c r="H188" i="1"/>
  <c r="D1237" i="1"/>
  <c r="E1237" i="1"/>
  <c r="F1237" i="1"/>
  <c r="G1237" i="1"/>
  <c r="H1237" i="1"/>
  <c r="D1493" i="1"/>
  <c r="E1493" i="1"/>
  <c r="F1493" i="1"/>
  <c r="G1493" i="1"/>
  <c r="H1493" i="1"/>
  <c r="D631" i="1"/>
  <c r="E631" i="1"/>
  <c r="F631" i="1"/>
  <c r="G631" i="1"/>
  <c r="H631" i="1"/>
  <c r="D1399" i="1"/>
  <c r="E1399" i="1"/>
  <c r="F1399" i="1"/>
  <c r="G1399" i="1"/>
  <c r="H1399" i="1"/>
  <c r="D1443" i="1"/>
  <c r="E1443" i="1"/>
  <c r="F1443" i="1"/>
  <c r="G1443" i="1"/>
  <c r="H1443" i="1"/>
  <c r="D966" i="1"/>
  <c r="E966" i="1"/>
  <c r="F966" i="1"/>
  <c r="G966" i="1"/>
  <c r="H966" i="1"/>
  <c r="D1164" i="1"/>
  <c r="E1164" i="1"/>
  <c r="F1164" i="1"/>
  <c r="G1164" i="1"/>
  <c r="H1164" i="1"/>
  <c r="D74" i="1"/>
  <c r="E74" i="1"/>
  <c r="F74" i="1"/>
  <c r="G74" i="1"/>
  <c r="H74" i="1"/>
  <c r="D608" i="1"/>
  <c r="E608" i="1"/>
  <c r="F608" i="1"/>
  <c r="G608" i="1"/>
  <c r="H608" i="1"/>
  <c r="D795" i="1"/>
  <c r="E795" i="1"/>
  <c r="F795" i="1"/>
  <c r="G795" i="1"/>
  <c r="H795" i="1"/>
  <c r="D217" i="1"/>
  <c r="E217" i="1"/>
  <c r="F217" i="1"/>
  <c r="G217" i="1"/>
  <c r="H217" i="1"/>
  <c r="D23" i="1"/>
  <c r="E23" i="1"/>
  <c r="F23" i="1"/>
  <c r="G23" i="1"/>
  <c r="H23" i="1"/>
  <c r="D1631" i="1"/>
  <c r="E1631" i="1"/>
  <c r="F1631" i="1"/>
  <c r="G1631" i="1"/>
  <c r="H1631" i="1"/>
  <c r="D176" i="1"/>
  <c r="E176" i="1"/>
  <c r="F176" i="1"/>
  <c r="G176" i="1"/>
  <c r="H176" i="1"/>
  <c r="D1336" i="1"/>
  <c r="E1336" i="1"/>
  <c r="F1336" i="1"/>
  <c r="G1336" i="1"/>
  <c r="H1336" i="1"/>
  <c r="D1145" i="1"/>
  <c r="E1145" i="1"/>
  <c r="F1145" i="1"/>
  <c r="G1145" i="1"/>
  <c r="H1145" i="1"/>
  <c r="D1098" i="1"/>
  <c r="E1098" i="1"/>
  <c r="F1098" i="1"/>
  <c r="G1098" i="1"/>
  <c r="H1098" i="1"/>
  <c r="D36" i="1"/>
  <c r="E36" i="1"/>
  <c r="F36" i="1"/>
  <c r="G36" i="1"/>
  <c r="H36" i="1"/>
  <c r="D1154" i="1"/>
  <c r="E1154" i="1"/>
  <c r="F1154" i="1"/>
  <c r="G1154" i="1"/>
  <c r="H1154" i="1"/>
  <c r="D252" i="1"/>
  <c r="E252" i="1"/>
  <c r="F252" i="1"/>
  <c r="G252" i="1"/>
  <c r="H252" i="1"/>
  <c r="D832" i="1"/>
  <c r="E832" i="1"/>
  <c r="F832" i="1"/>
  <c r="G832" i="1"/>
  <c r="H832" i="1"/>
  <c r="D919" i="1"/>
  <c r="E919" i="1"/>
  <c r="F919" i="1"/>
  <c r="G919" i="1"/>
  <c r="H919" i="1"/>
  <c r="D1067" i="1"/>
  <c r="E1067" i="1"/>
  <c r="F1067" i="1"/>
  <c r="G1067" i="1"/>
  <c r="H1067" i="1"/>
  <c r="D66" i="1"/>
  <c r="E66" i="1"/>
  <c r="F66" i="1"/>
  <c r="G66" i="1"/>
  <c r="H66" i="1"/>
  <c r="D1552" i="1"/>
  <c r="E1552" i="1"/>
  <c r="F1552" i="1"/>
  <c r="G1552" i="1"/>
  <c r="H1552" i="1"/>
  <c r="D858" i="1"/>
  <c r="E858" i="1"/>
  <c r="F858" i="1"/>
  <c r="G858" i="1"/>
  <c r="H858" i="1"/>
  <c r="D1623" i="1"/>
  <c r="E1623" i="1"/>
  <c r="F1623" i="1"/>
  <c r="G1623" i="1"/>
  <c r="H1623" i="1"/>
  <c r="D659" i="1"/>
  <c r="E659" i="1"/>
  <c r="F659" i="1"/>
  <c r="G659" i="1"/>
  <c r="H659" i="1"/>
  <c r="D1739" i="1"/>
  <c r="E1739" i="1"/>
  <c r="F1739" i="1"/>
  <c r="G1739" i="1"/>
  <c r="H1739" i="1"/>
  <c r="D1404" i="1"/>
  <c r="E1404" i="1"/>
  <c r="F1404" i="1"/>
  <c r="G1404" i="1"/>
  <c r="H1404" i="1"/>
  <c r="D119" i="1"/>
  <c r="E119" i="1"/>
  <c r="F119" i="1"/>
  <c r="G119" i="1"/>
  <c r="H119" i="1"/>
  <c r="D1271" i="1"/>
  <c r="E1271" i="1"/>
  <c r="F1271" i="1"/>
  <c r="G1271" i="1"/>
  <c r="H1271" i="1"/>
  <c r="D1483" i="1"/>
  <c r="E1483" i="1"/>
  <c r="F1483" i="1"/>
  <c r="G1483" i="1"/>
  <c r="H1483" i="1"/>
  <c r="D840" i="1"/>
  <c r="E840" i="1"/>
  <c r="F840" i="1"/>
  <c r="G840" i="1"/>
  <c r="H840" i="1"/>
  <c r="D1052" i="1"/>
  <c r="E1052" i="1"/>
  <c r="F1052" i="1"/>
  <c r="G1052" i="1"/>
  <c r="H1052" i="1"/>
  <c r="D1027" i="1"/>
  <c r="E1027" i="1"/>
  <c r="F1027" i="1"/>
  <c r="G1027" i="1"/>
  <c r="H1027" i="1"/>
  <c r="D739" i="1"/>
  <c r="E739" i="1"/>
  <c r="F739" i="1"/>
  <c r="G739" i="1"/>
  <c r="H739" i="1"/>
  <c r="D1165" i="1"/>
  <c r="E1165" i="1"/>
  <c r="F1165" i="1"/>
  <c r="G1165" i="1"/>
  <c r="H1165" i="1"/>
  <c r="D992" i="1"/>
  <c r="E992" i="1"/>
  <c r="F992" i="1"/>
  <c r="G992" i="1"/>
  <c r="H992" i="1"/>
  <c r="D575" i="1"/>
  <c r="E575" i="1"/>
  <c r="F575" i="1"/>
  <c r="G575" i="1"/>
  <c r="H575" i="1"/>
  <c r="D428" i="1"/>
  <c r="E428" i="1"/>
  <c r="F428" i="1"/>
  <c r="G428" i="1"/>
  <c r="H428" i="1"/>
  <c r="D320" i="1"/>
  <c r="E320" i="1"/>
  <c r="F320" i="1"/>
  <c r="G320" i="1"/>
  <c r="H320" i="1"/>
  <c r="D227" i="1"/>
  <c r="E227" i="1"/>
  <c r="F227" i="1"/>
  <c r="G227" i="1"/>
  <c r="H227" i="1"/>
  <c r="D435" i="1"/>
  <c r="E435" i="1"/>
  <c r="F435" i="1"/>
  <c r="G435" i="1"/>
  <c r="H435" i="1"/>
  <c r="D1142" i="1"/>
  <c r="E1142" i="1"/>
  <c r="F1142" i="1"/>
  <c r="G1142" i="1"/>
  <c r="H1142" i="1"/>
  <c r="D1465" i="1"/>
  <c r="E1465" i="1"/>
  <c r="F1465" i="1"/>
  <c r="G1465" i="1"/>
  <c r="H1465" i="1"/>
  <c r="D347" i="1"/>
  <c r="E347" i="1"/>
  <c r="F347" i="1"/>
  <c r="G347" i="1"/>
  <c r="H347" i="1"/>
  <c r="D1753" i="1"/>
  <c r="E1753" i="1"/>
  <c r="F1753" i="1"/>
  <c r="G1753" i="1"/>
  <c r="H1753" i="1"/>
  <c r="D1270" i="1"/>
  <c r="E1270" i="1"/>
  <c r="F1270" i="1"/>
  <c r="G1270" i="1"/>
  <c r="H1270" i="1"/>
  <c r="D529" i="1"/>
  <c r="E529" i="1"/>
  <c r="F529" i="1"/>
  <c r="G529" i="1"/>
  <c r="H529" i="1"/>
  <c r="D1519" i="1"/>
  <c r="E1519" i="1"/>
  <c r="F1519" i="1"/>
  <c r="G1519" i="1"/>
  <c r="H1519" i="1"/>
  <c r="D907" i="1"/>
  <c r="E907" i="1"/>
  <c r="F907" i="1"/>
  <c r="G907" i="1"/>
  <c r="H907" i="1"/>
  <c r="D1296" i="1"/>
  <c r="E1296" i="1"/>
  <c r="F1296" i="1"/>
  <c r="G1296" i="1"/>
  <c r="H1296" i="1"/>
  <c r="D1328" i="1"/>
  <c r="E1328" i="1"/>
  <c r="F1328" i="1"/>
  <c r="G1328" i="1"/>
  <c r="H1328" i="1"/>
  <c r="D1453" i="1"/>
  <c r="E1453" i="1"/>
  <c r="F1453" i="1"/>
  <c r="G1453" i="1"/>
  <c r="H1453" i="1"/>
  <c r="D980" i="1"/>
  <c r="E980" i="1"/>
  <c r="F980" i="1"/>
  <c r="G980" i="1"/>
  <c r="H980" i="1"/>
  <c r="D721" i="1"/>
  <c r="E721" i="1"/>
  <c r="F721" i="1"/>
  <c r="G721" i="1"/>
  <c r="H721" i="1"/>
  <c r="D55" i="1"/>
  <c r="E55" i="1"/>
  <c r="F55" i="1"/>
  <c r="G55" i="1"/>
  <c r="H55" i="1"/>
  <c r="D398" i="1"/>
  <c r="E398" i="1"/>
  <c r="F398" i="1"/>
  <c r="G398" i="1"/>
  <c r="H398" i="1"/>
  <c r="D204" i="1"/>
  <c r="E204" i="1"/>
  <c r="F204" i="1"/>
  <c r="G204" i="1"/>
  <c r="H204" i="1"/>
  <c r="D695" i="1"/>
  <c r="E695" i="1"/>
  <c r="F695" i="1"/>
  <c r="G695" i="1"/>
  <c r="H695" i="1"/>
  <c r="D19" i="1"/>
  <c r="E19" i="1"/>
  <c r="F19" i="1"/>
  <c r="G19" i="1"/>
  <c r="H19" i="1"/>
  <c r="D1007" i="1"/>
  <c r="E1007" i="1"/>
  <c r="F1007" i="1"/>
  <c r="G1007" i="1"/>
  <c r="H1007" i="1"/>
  <c r="D1678" i="1"/>
  <c r="E1678" i="1"/>
  <c r="F1678" i="1"/>
  <c r="G1678" i="1"/>
  <c r="H1678" i="1"/>
  <c r="D184" i="1"/>
  <c r="E184" i="1"/>
  <c r="F184" i="1"/>
  <c r="G184" i="1"/>
  <c r="H184" i="1"/>
  <c r="D1239" i="1"/>
  <c r="E1239" i="1"/>
  <c r="F1239" i="1"/>
  <c r="G1239" i="1"/>
  <c r="H1239" i="1"/>
  <c r="D1063" i="1"/>
  <c r="E1063" i="1"/>
  <c r="F1063" i="1"/>
  <c r="G1063" i="1"/>
  <c r="H1063" i="1"/>
  <c r="D1217" i="1"/>
  <c r="E1217" i="1"/>
  <c r="F1217" i="1"/>
  <c r="G1217" i="1"/>
  <c r="H1217" i="1"/>
  <c r="D1662" i="1"/>
  <c r="E1662" i="1"/>
  <c r="F1662" i="1"/>
  <c r="G1662" i="1"/>
  <c r="H1662" i="1"/>
  <c r="D1611" i="1"/>
  <c r="E1611" i="1"/>
  <c r="F1611" i="1"/>
  <c r="G1611" i="1"/>
  <c r="H1611" i="1"/>
  <c r="D986" i="1"/>
  <c r="E986" i="1"/>
  <c r="F986" i="1"/>
  <c r="G986" i="1"/>
  <c r="H986" i="1"/>
  <c r="D304" i="1"/>
  <c r="E304" i="1"/>
  <c r="F304" i="1"/>
  <c r="G304" i="1"/>
  <c r="H304" i="1"/>
  <c r="D456" i="1"/>
  <c r="E456" i="1"/>
  <c r="F456" i="1"/>
  <c r="G456" i="1"/>
  <c r="H456" i="1"/>
  <c r="D696" i="1"/>
  <c r="E696" i="1"/>
  <c r="F696" i="1"/>
  <c r="G696" i="1"/>
  <c r="H696" i="1"/>
  <c r="D17" i="1"/>
  <c r="E17" i="1"/>
  <c r="F17" i="1"/>
  <c r="G17" i="1"/>
  <c r="H17" i="1"/>
  <c r="D1349" i="1"/>
  <c r="E1349" i="1"/>
  <c r="F1349" i="1"/>
  <c r="G1349" i="1"/>
  <c r="H1349" i="1"/>
  <c r="D88" i="1"/>
  <c r="E88" i="1"/>
  <c r="F88" i="1"/>
  <c r="G88" i="1"/>
  <c r="H88" i="1"/>
  <c r="D946" i="1"/>
  <c r="E946" i="1"/>
  <c r="F946" i="1"/>
  <c r="G946" i="1"/>
  <c r="H946" i="1"/>
  <c r="D1501" i="1"/>
  <c r="E1501" i="1"/>
  <c r="F1501" i="1"/>
  <c r="G1501" i="1"/>
  <c r="H1501" i="1"/>
  <c r="D630" i="1"/>
  <c r="E630" i="1"/>
  <c r="F630" i="1"/>
  <c r="G630" i="1"/>
  <c r="H630" i="1"/>
  <c r="D1671" i="1"/>
  <c r="E1671" i="1"/>
  <c r="F1671" i="1"/>
  <c r="G1671" i="1"/>
  <c r="H1671" i="1"/>
  <c r="D592" i="1"/>
  <c r="E592" i="1"/>
  <c r="F592" i="1"/>
  <c r="G592" i="1"/>
  <c r="H592" i="1"/>
  <c r="D1704" i="1"/>
  <c r="E1704" i="1"/>
  <c r="F1704" i="1"/>
  <c r="G1704" i="1"/>
  <c r="H1704" i="1"/>
  <c r="D178" i="1"/>
  <c r="E178" i="1"/>
  <c r="F178" i="1"/>
  <c r="G178" i="1"/>
  <c r="H178" i="1"/>
  <c r="D120" i="1"/>
  <c r="E120" i="1"/>
  <c r="F120" i="1"/>
  <c r="G120" i="1"/>
  <c r="H120" i="1"/>
  <c r="D1698" i="1"/>
  <c r="E1698" i="1"/>
  <c r="F1698" i="1"/>
  <c r="G1698" i="1"/>
  <c r="H1698" i="1"/>
  <c r="D155" i="1"/>
  <c r="E155" i="1"/>
  <c r="F155" i="1"/>
  <c r="G155" i="1"/>
  <c r="H155" i="1"/>
  <c r="D165" i="1"/>
  <c r="E165" i="1"/>
  <c r="F165" i="1"/>
  <c r="G165" i="1"/>
  <c r="H165" i="1"/>
  <c r="D758" i="1"/>
  <c r="E758" i="1"/>
  <c r="F758" i="1"/>
  <c r="G758" i="1"/>
  <c r="H758" i="1"/>
  <c r="D525" i="1"/>
  <c r="E525" i="1"/>
  <c r="F525" i="1"/>
  <c r="G525" i="1"/>
  <c r="H525" i="1"/>
  <c r="D866" i="1"/>
  <c r="E866" i="1"/>
  <c r="F866" i="1"/>
  <c r="G866" i="1"/>
  <c r="H866" i="1"/>
  <c r="D570" i="1"/>
  <c r="E570" i="1"/>
  <c r="F570" i="1"/>
  <c r="G570" i="1"/>
  <c r="H570" i="1"/>
  <c r="D362" i="1"/>
  <c r="E362" i="1"/>
  <c r="F362" i="1"/>
  <c r="G362" i="1"/>
  <c r="H362" i="1"/>
  <c r="D1433" i="1"/>
  <c r="E1433" i="1"/>
  <c r="F1433" i="1"/>
  <c r="G1433" i="1"/>
  <c r="H1433" i="1"/>
  <c r="D202" i="1"/>
  <c r="E202" i="1"/>
  <c r="F202" i="1"/>
  <c r="G202" i="1"/>
  <c r="H202" i="1"/>
  <c r="D736" i="1"/>
  <c r="E736" i="1"/>
  <c r="F736" i="1"/>
  <c r="G736" i="1"/>
  <c r="H736" i="1"/>
  <c r="D13" i="1"/>
  <c r="E13" i="1"/>
  <c r="F13" i="1"/>
  <c r="G13" i="1"/>
  <c r="H13" i="1"/>
  <c r="D1023" i="1"/>
  <c r="E1023" i="1"/>
  <c r="F1023" i="1"/>
  <c r="G1023" i="1"/>
  <c r="H1023" i="1"/>
  <c r="D1277" i="1"/>
  <c r="E1277" i="1"/>
  <c r="F1277" i="1"/>
  <c r="G1277" i="1"/>
  <c r="H1277" i="1"/>
  <c r="D1555" i="1"/>
  <c r="E1555" i="1"/>
  <c r="F1555" i="1"/>
  <c r="G1555" i="1"/>
  <c r="H1555" i="1"/>
  <c r="D1100" i="1"/>
  <c r="E1100" i="1"/>
  <c r="F1100" i="1"/>
  <c r="G1100" i="1"/>
  <c r="H1100" i="1"/>
  <c r="D467" i="1"/>
  <c r="E467" i="1"/>
  <c r="F467" i="1"/>
  <c r="G467" i="1"/>
  <c r="H467" i="1"/>
  <c r="D788" i="1"/>
  <c r="E788" i="1"/>
  <c r="F788" i="1"/>
  <c r="G788" i="1"/>
  <c r="H788" i="1"/>
  <c r="D1581" i="1"/>
  <c r="E1581" i="1"/>
  <c r="F1581" i="1"/>
  <c r="G1581" i="1"/>
  <c r="H1581" i="1"/>
  <c r="D1571" i="1"/>
  <c r="E1571" i="1"/>
  <c r="F1571" i="1"/>
  <c r="G1571" i="1"/>
  <c r="H1571" i="1"/>
  <c r="D822" i="1"/>
  <c r="E822" i="1"/>
  <c r="F822" i="1"/>
  <c r="G822" i="1"/>
  <c r="H822" i="1"/>
  <c r="D425" i="1"/>
  <c r="E425" i="1"/>
  <c r="F425" i="1"/>
  <c r="G425" i="1"/>
  <c r="H425" i="1"/>
  <c r="D78" i="1"/>
  <c r="E78" i="1"/>
  <c r="F78" i="1"/>
  <c r="G78" i="1"/>
  <c r="H78" i="1"/>
  <c r="D421" i="1"/>
  <c r="E421" i="1"/>
  <c r="F421" i="1"/>
  <c r="G421" i="1"/>
  <c r="H421" i="1"/>
  <c r="D1565" i="1"/>
  <c r="E1565" i="1"/>
  <c r="F1565" i="1"/>
  <c r="G1565" i="1"/>
  <c r="H1565" i="1"/>
  <c r="D377" i="1"/>
  <c r="E377" i="1"/>
  <c r="F377" i="1"/>
  <c r="G377" i="1"/>
  <c r="H377" i="1"/>
  <c r="D610" i="1"/>
  <c r="E610" i="1"/>
  <c r="F610" i="1"/>
  <c r="G610" i="1"/>
  <c r="H610" i="1"/>
  <c r="D1451" i="1"/>
  <c r="E1451" i="1"/>
  <c r="F1451" i="1"/>
  <c r="G1451" i="1"/>
  <c r="H1451" i="1"/>
  <c r="D1689" i="1"/>
  <c r="E1689" i="1"/>
  <c r="F1689" i="1"/>
  <c r="G1689" i="1"/>
  <c r="H1689" i="1"/>
  <c r="D615" i="1"/>
  <c r="E615" i="1"/>
  <c r="F615" i="1"/>
  <c r="G615" i="1"/>
  <c r="H615" i="1"/>
  <c r="D37" i="1"/>
  <c r="E37" i="1"/>
  <c r="F37" i="1"/>
  <c r="G37" i="1"/>
  <c r="H37" i="1"/>
  <c r="D1512" i="1"/>
  <c r="E1512" i="1"/>
  <c r="F1512" i="1"/>
  <c r="G1512" i="1"/>
  <c r="H1512" i="1"/>
  <c r="D555" i="1"/>
  <c r="E555" i="1"/>
  <c r="F555" i="1"/>
  <c r="G555" i="1"/>
  <c r="H555" i="1"/>
  <c r="D1720" i="1"/>
  <c r="E1720" i="1"/>
  <c r="F1720" i="1"/>
  <c r="G1720" i="1"/>
  <c r="H1720" i="1"/>
  <c r="D814" i="1"/>
  <c r="E814" i="1"/>
  <c r="F814" i="1"/>
  <c r="G814" i="1"/>
  <c r="H814" i="1"/>
  <c r="D1495" i="1"/>
  <c r="E1495" i="1"/>
  <c r="F1495" i="1"/>
  <c r="G1495" i="1"/>
  <c r="H1495" i="1"/>
  <c r="D1322" i="1"/>
  <c r="E1322" i="1"/>
  <c r="F1322" i="1"/>
  <c r="G1322" i="1"/>
  <c r="H1322" i="1"/>
  <c r="D48" i="1"/>
  <c r="E48" i="1"/>
  <c r="F48" i="1"/>
  <c r="G48" i="1"/>
  <c r="H48" i="1"/>
  <c r="D1772" i="1"/>
  <c r="E1772" i="1"/>
  <c r="F1772" i="1"/>
  <c r="G1772" i="1"/>
  <c r="H1772" i="1"/>
  <c r="D1029" i="1"/>
  <c r="E1029" i="1"/>
  <c r="F1029" i="1"/>
  <c r="G1029" i="1"/>
  <c r="H1029" i="1"/>
  <c r="D1191" i="1"/>
  <c r="E1191" i="1"/>
  <c r="F1191" i="1"/>
  <c r="G1191" i="1"/>
  <c r="H1191" i="1"/>
  <c r="D309" i="1"/>
  <c r="E309" i="1"/>
  <c r="F309" i="1"/>
  <c r="G309" i="1"/>
  <c r="H309" i="1"/>
  <c r="D1072" i="1"/>
  <c r="E1072" i="1"/>
  <c r="F1072" i="1"/>
  <c r="G1072" i="1"/>
  <c r="H1072" i="1"/>
  <c r="D1291" i="1"/>
  <c r="E1291" i="1"/>
  <c r="F1291" i="1"/>
  <c r="G1291" i="1"/>
  <c r="H1291" i="1"/>
  <c r="D369" i="1"/>
  <c r="E369" i="1"/>
  <c r="F369" i="1"/>
  <c r="G369" i="1"/>
  <c r="H369" i="1"/>
  <c r="D192" i="1"/>
  <c r="E192" i="1"/>
  <c r="F192" i="1"/>
  <c r="G192" i="1"/>
  <c r="H192" i="1"/>
  <c r="D507" i="1"/>
  <c r="E507" i="1"/>
  <c r="F507" i="1"/>
  <c r="G507" i="1"/>
  <c r="H507" i="1"/>
  <c r="D1309" i="1"/>
  <c r="E1309" i="1"/>
  <c r="F1309" i="1"/>
  <c r="G1309" i="1"/>
  <c r="H1309" i="1"/>
  <c r="D1079" i="1"/>
  <c r="E1079" i="1"/>
  <c r="F1079" i="1"/>
  <c r="G1079" i="1"/>
  <c r="H1079" i="1"/>
  <c r="D733" i="1"/>
  <c r="E733" i="1"/>
  <c r="F733" i="1"/>
  <c r="G733" i="1"/>
  <c r="H733" i="1"/>
  <c r="D89" i="1"/>
  <c r="E89" i="1"/>
  <c r="F89" i="1"/>
  <c r="G89" i="1"/>
  <c r="H89" i="1"/>
  <c r="D1058" i="1"/>
  <c r="E1058" i="1"/>
  <c r="F1058" i="1"/>
  <c r="G1058" i="1"/>
  <c r="H1058" i="1"/>
  <c r="D351" i="1"/>
  <c r="E351" i="1"/>
  <c r="F351" i="1"/>
  <c r="G351" i="1"/>
  <c r="H351" i="1"/>
  <c r="D1585" i="1"/>
  <c r="E1585" i="1"/>
  <c r="F1585" i="1"/>
  <c r="G1585" i="1"/>
  <c r="H1585" i="1"/>
  <c r="D1586" i="1"/>
  <c r="E1586" i="1"/>
  <c r="F1586" i="1"/>
  <c r="G1586" i="1"/>
  <c r="H1586" i="1"/>
  <c r="D854" i="1"/>
  <c r="E854" i="1"/>
  <c r="F854" i="1"/>
  <c r="G854" i="1"/>
  <c r="H854" i="1"/>
  <c r="D367" i="1"/>
  <c r="E367" i="1"/>
  <c r="F367" i="1"/>
  <c r="G367" i="1"/>
  <c r="H367" i="1"/>
  <c r="D965" i="1"/>
  <c r="E965" i="1"/>
  <c r="F965" i="1"/>
  <c r="G965" i="1"/>
  <c r="H965" i="1"/>
  <c r="D719" i="1"/>
  <c r="E719" i="1"/>
  <c r="F719" i="1"/>
  <c r="G719" i="1"/>
  <c r="H719" i="1"/>
  <c r="D1525" i="1"/>
  <c r="E1525" i="1"/>
  <c r="F1525" i="1"/>
  <c r="G1525" i="1"/>
  <c r="H1525" i="1"/>
  <c r="D1342" i="1"/>
  <c r="E1342" i="1"/>
  <c r="F1342" i="1"/>
  <c r="G1342" i="1"/>
  <c r="H1342" i="1"/>
  <c r="D1604" i="1"/>
  <c r="E1604" i="1"/>
  <c r="F1604" i="1"/>
  <c r="G1604" i="1"/>
  <c r="H1604" i="1"/>
  <c r="D1550" i="1"/>
  <c r="E1550" i="1"/>
  <c r="F1550" i="1"/>
  <c r="G1550" i="1"/>
  <c r="H1550" i="1"/>
  <c r="D926" i="1"/>
  <c r="E926" i="1"/>
  <c r="F926" i="1"/>
  <c r="G926" i="1"/>
  <c r="H926" i="1"/>
  <c r="D862" i="1"/>
  <c r="E862" i="1"/>
  <c r="F862" i="1"/>
  <c r="G862" i="1"/>
  <c r="H862" i="1"/>
  <c r="D226" i="1"/>
  <c r="E226" i="1"/>
  <c r="F226" i="1"/>
  <c r="G226" i="1"/>
  <c r="H226" i="1"/>
  <c r="D417" i="1"/>
  <c r="E417" i="1"/>
  <c r="F417" i="1"/>
  <c r="G417" i="1"/>
  <c r="H417" i="1"/>
  <c r="D569" i="1"/>
  <c r="E569" i="1"/>
  <c r="F569" i="1"/>
  <c r="G569" i="1"/>
  <c r="H569" i="1"/>
  <c r="D678" i="1"/>
  <c r="E678" i="1"/>
  <c r="F678" i="1"/>
  <c r="G678" i="1"/>
  <c r="H678" i="1"/>
  <c r="D181" i="1"/>
  <c r="E181" i="1"/>
  <c r="F181" i="1"/>
  <c r="G181" i="1"/>
  <c r="H181" i="1"/>
  <c r="D1047" i="1"/>
  <c r="E1047" i="1"/>
  <c r="F1047" i="1"/>
  <c r="G1047" i="1"/>
  <c r="H1047" i="1"/>
  <c r="D871" i="1"/>
  <c r="E871" i="1"/>
  <c r="F871" i="1"/>
  <c r="G871" i="1"/>
  <c r="H871" i="1"/>
  <c r="D1361" i="1"/>
  <c r="E1361" i="1"/>
  <c r="F1361" i="1"/>
  <c r="G1361" i="1"/>
  <c r="H1361" i="1"/>
  <c r="D292" i="1"/>
  <c r="E292" i="1"/>
  <c r="F292" i="1"/>
  <c r="G292" i="1"/>
  <c r="H292" i="1"/>
  <c r="D565" i="1"/>
  <c r="E565" i="1"/>
  <c r="F565" i="1"/>
  <c r="G565" i="1"/>
  <c r="H565" i="1"/>
  <c r="D251" i="1"/>
  <c r="E251" i="1"/>
  <c r="F251" i="1"/>
  <c r="G251" i="1"/>
  <c r="H251" i="1"/>
  <c r="D1438" i="1"/>
  <c r="E1438" i="1"/>
  <c r="F1438" i="1"/>
  <c r="G1438" i="1"/>
  <c r="H1438" i="1"/>
  <c r="D868" i="1"/>
  <c r="E868" i="1"/>
  <c r="F868" i="1"/>
  <c r="G868" i="1"/>
  <c r="H868" i="1"/>
  <c r="D703" i="1"/>
  <c r="E703" i="1"/>
  <c r="F703" i="1"/>
  <c r="G703" i="1"/>
  <c r="H703" i="1"/>
  <c r="D636" i="1"/>
  <c r="E636" i="1"/>
  <c r="F636" i="1"/>
  <c r="G636" i="1"/>
  <c r="H636" i="1"/>
  <c r="D848" i="1"/>
  <c r="E848" i="1"/>
  <c r="F848" i="1"/>
  <c r="G848" i="1"/>
  <c r="H848" i="1"/>
  <c r="D835" i="1"/>
  <c r="E835" i="1"/>
  <c r="F835" i="1"/>
  <c r="G835" i="1"/>
  <c r="H835" i="1"/>
  <c r="D1230" i="1"/>
  <c r="E1230" i="1"/>
  <c r="F1230" i="1"/>
  <c r="G1230" i="1"/>
  <c r="H1230" i="1"/>
  <c r="D1220" i="1"/>
  <c r="E1220" i="1"/>
  <c r="F1220" i="1"/>
  <c r="G1220" i="1"/>
  <c r="H1220" i="1"/>
  <c r="D599" i="1"/>
  <c r="E599" i="1"/>
  <c r="F599" i="1"/>
  <c r="G599" i="1"/>
  <c r="H599" i="1"/>
  <c r="D1207" i="1"/>
  <c r="E1207" i="1"/>
  <c r="F1207" i="1"/>
  <c r="G1207" i="1"/>
  <c r="H1207" i="1"/>
  <c r="D1374" i="1"/>
  <c r="E1374" i="1"/>
  <c r="F1374" i="1"/>
  <c r="G1374" i="1"/>
  <c r="H1374" i="1"/>
  <c r="D263" i="1"/>
  <c r="E263" i="1"/>
  <c r="F263" i="1"/>
  <c r="G263" i="1"/>
  <c r="H263" i="1"/>
  <c r="D1228" i="1"/>
  <c r="E1228" i="1"/>
  <c r="F1228" i="1"/>
  <c r="G1228" i="1"/>
  <c r="H1228" i="1"/>
  <c r="D690" i="1"/>
  <c r="E690" i="1"/>
  <c r="F690" i="1"/>
  <c r="G690" i="1"/>
  <c r="H690" i="1"/>
  <c r="D1680" i="1"/>
  <c r="E1680" i="1"/>
  <c r="F1680" i="1"/>
  <c r="G1680" i="1"/>
  <c r="H1680" i="1"/>
  <c r="D1289" i="1"/>
  <c r="E1289" i="1"/>
  <c r="F1289" i="1"/>
  <c r="G1289" i="1"/>
  <c r="H1289" i="1"/>
  <c r="D1366" i="1"/>
  <c r="E1366" i="1"/>
  <c r="F1366" i="1"/>
  <c r="G1366" i="1"/>
  <c r="H1366" i="1"/>
  <c r="D341" i="1"/>
  <c r="E341" i="1"/>
  <c r="F341" i="1"/>
  <c r="G341" i="1"/>
  <c r="H341" i="1"/>
  <c r="D933" i="1"/>
  <c r="E933" i="1"/>
  <c r="F933" i="1"/>
  <c r="G933" i="1"/>
  <c r="H933" i="1"/>
  <c r="D105" i="1"/>
  <c r="E105" i="1"/>
  <c r="F105" i="1"/>
  <c r="G105" i="1"/>
  <c r="H105" i="1"/>
  <c r="D1474" i="1"/>
  <c r="E1474" i="1"/>
  <c r="F1474" i="1"/>
  <c r="G1474" i="1"/>
  <c r="H1474" i="1"/>
  <c r="D1747" i="1"/>
  <c r="E1747" i="1"/>
  <c r="F1747" i="1"/>
  <c r="G1747" i="1"/>
  <c r="H1747" i="1"/>
  <c r="D791" i="1"/>
  <c r="E791" i="1"/>
  <c r="F791" i="1"/>
  <c r="G791" i="1"/>
  <c r="H791" i="1"/>
  <c r="D874" i="1"/>
  <c r="E874" i="1"/>
  <c r="F874" i="1"/>
  <c r="G874" i="1"/>
  <c r="H874" i="1"/>
  <c r="D389" i="1"/>
  <c r="E389" i="1"/>
  <c r="F389" i="1"/>
  <c r="G389" i="1"/>
  <c r="H389" i="1"/>
  <c r="D315" i="1"/>
  <c r="E315" i="1"/>
  <c r="F315" i="1"/>
  <c r="G315" i="1"/>
  <c r="H315" i="1"/>
  <c r="D504" i="1"/>
  <c r="E504" i="1"/>
  <c r="F504" i="1"/>
  <c r="G504" i="1"/>
  <c r="H504" i="1"/>
  <c r="D984" i="1"/>
  <c r="E984" i="1"/>
  <c r="F984" i="1"/>
  <c r="G984" i="1"/>
  <c r="H984" i="1"/>
  <c r="D990" i="1"/>
  <c r="E990" i="1"/>
  <c r="F990" i="1"/>
  <c r="G990" i="1"/>
  <c r="H990" i="1"/>
  <c r="D918" i="1"/>
  <c r="E918" i="1"/>
  <c r="F918" i="1"/>
  <c r="G918" i="1"/>
  <c r="H918" i="1"/>
  <c r="D9" i="1"/>
  <c r="E9" i="1"/>
  <c r="F9" i="1"/>
  <c r="G9" i="1"/>
  <c r="H9" i="1"/>
  <c r="D1492" i="1"/>
  <c r="E1492" i="1"/>
  <c r="F1492" i="1"/>
  <c r="G1492" i="1"/>
  <c r="H1492" i="1"/>
  <c r="D581" i="1"/>
  <c r="E581" i="1"/>
  <c r="F581" i="1"/>
  <c r="G581" i="1"/>
  <c r="H581" i="1"/>
  <c r="D764" i="1"/>
  <c r="E764" i="1"/>
  <c r="F764" i="1"/>
  <c r="G764" i="1"/>
  <c r="H764" i="1"/>
  <c r="D429" i="1"/>
  <c r="E429" i="1"/>
  <c r="F429" i="1"/>
  <c r="G429" i="1"/>
  <c r="H429" i="1"/>
  <c r="D1263" i="1"/>
  <c r="E1263" i="1"/>
  <c r="F1263" i="1"/>
  <c r="G1263" i="1"/>
  <c r="H1263" i="1"/>
  <c r="D945" i="1"/>
  <c r="E945" i="1"/>
  <c r="F945" i="1"/>
  <c r="G945" i="1"/>
  <c r="H945" i="1"/>
  <c r="D127" i="1"/>
  <c r="E127" i="1"/>
  <c r="F127" i="1"/>
  <c r="G127" i="1"/>
  <c r="H127" i="1"/>
  <c r="D982" i="1"/>
  <c r="E982" i="1"/>
  <c r="F982" i="1"/>
  <c r="G982" i="1"/>
  <c r="H982" i="1"/>
  <c r="D451" i="1"/>
  <c r="E451" i="1"/>
  <c r="F451" i="1"/>
  <c r="G451" i="1"/>
  <c r="H451" i="1"/>
  <c r="D847" i="1"/>
  <c r="E847" i="1"/>
  <c r="F847" i="1"/>
  <c r="G847" i="1"/>
  <c r="H847" i="1"/>
  <c r="D1071" i="1"/>
  <c r="E1071" i="1"/>
  <c r="F1071" i="1"/>
  <c r="G1071" i="1"/>
  <c r="H1071" i="1"/>
  <c r="D325" i="1"/>
  <c r="E325" i="1"/>
  <c r="F325" i="1"/>
  <c r="G325" i="1"/>
  <c r="H325" i="1"/>
  <c r="D1026" i="1"/>
  <c r="E1026" i="1"/>
  <c r="F1026" i="1"/>
  <c r="G1026" i="1"/>
  <c r="H1026" i="1"/>
  <c r="D929" i="1"/>
  <c r="E929" i="1"/>
  <c r="F929" i="1"/>
  <c r="G929" i="1"/>
  <c r="H929" i="1"/>
  <c r="D388" i="1"/>
  <c r="E388" i="1"/>
  <c r="F388" i="1"/>
  <c r="G388" i="1"/>
  <c r="H388" i="1"/>
  <c r="D372" i="1"/>
  <c r="E372" i="1"/>
  <c r="F372" i="1"/>
  <c r="G372" i="1"/>
  <c r="H372" i="1"/>
  <c r="D1185" i="1"/>
  <c r="E1185" i="1"/>
  <c r="F1185" i="1"/>
  <c r="G1185" i="1"/>
  <c r="H1185" i="1"/>
  <c r="D1206" i="1"/>
  <c r="E1206" i="1"/>
  <c r="F1206" i="1"/>
  <c r="G1206" i="1"/>
  <c r="H1206" i="1"/>
  <c r="D1134" i="1"/>
  <c r="E1134" i="1"/>
  <c r="F1134" i="1"/>
  <c r="G1134" i="1"/>
  <c r="H1134" i="1"/>
  <c r="D482" i="1"/>
  <c r="E482" i="1"/>
  <c r="F482" i="1"/>
  <c r="G482" i="1"/>
  <c r="H482" i="1"/>
  <c r="D1103" i="1"/>
  <c r="E1103" i="1"/>
  <c r="F1103" i="1"/>
  <c r="G1103" i="1"/>
  <c r="H1103" i="1"/>
  <c r="D1012" i="1"/>
  <c r="E1012" i="1"/>
  <c r="F1012" i="1"/>
  <c r="G1012" i="1"/>
  <c r="H1012" i="1"/>
  <c r="D1621" i="1"/>
  <c r="E1621" i="1"/>
  <c r="F1621" i="1"/>
  <c r="G1621" i="1"/>
  <c r="H1621" i="1"/>
  <c r="D708" i="1"/>
  <c r="E708" i="1"/>
  <c r="F708" i="1"/>
  <c r="G708" i="1"/>
  <c r="H708" i="1"/>
  <c r="D486" i="1"/>
  <c r="E486" i="1"/>
  <c r="F486" i="1"/>
  <c r="G486" i="1"/>
  <c r="H486" i="1"/>
  <c r="D205" i="1"/>
  <c r="E205" i="1"/>
  <c r="F205" i="1"/>
  <c r="G205" i="1"/>
  <c r="H205" i="1"/>
  <c r="D506" i="1"/>
  <c r="E506" i="1"/>
  <c r="F506" i="1"/>
  <c r="G506" i="1"/>
  <c r="H506" i="1"/>
  <c r="D149" i="1"/>
  <c r="E149" i="1"/>
  <c r="F149" i="1"/>
  <c r="G149" i="1"/>
  <c r="H149" i="1"/>
  <c r="D1718" i="1"/>
  <c r="E1718" i="1"/>
  <c r="F1718" i="1"/>
  <c r="G1718" i="1"/>
  <c r="H1718" i="1"/>
  <c r="D1450" i="1"/>
  <c r="E1450" i="1"/>
  <c r="F1450" i="1"/>
  <c r="G1450" i="1"/>
  <c r="H1450" i="1"/>
  <c r="D1294" i="1"/>
  <c r="E1294" i="1"/>
  <c r="F1294" i="1"/>
  <c r="G1294" i="1"/>
  <c r="H1294" i="1"/>
  <c r="D1447" i="1"/>
  <c r="E1447" i="1"/>
  <c r="F1447" i="1"/>
  <c r="G1447" i="1"/>
  <c r="H1447" i="1"/>
  <c r="D449" i="1"/>
  <c r="E449" i="1"/>
  <c r="F449" i="1"/>
  <c r="G449" i="1"/>
  <c r="H449" i="1"/>
  <c r="D1762" i="1"/>
  <c r="E1762" i="1"/>
  <c r="F1762" i="1"/>
  <c r="G1762" i="1"/>
  <c r="H1762" i="1"/>
  <c r="D1590" i="1"/>
  <c r="E1590" i="1"/>
  <c r="F1590" i="1"/>
  <c r="G1590" i="1"/>
  <c r="H1590" i="1"/>
  <c r="D876" i="1"/>
  <c r="E876" i="1"/>
  <c r="F876" i="1"/>
  <c r="G876" i="1"/>
  <c r="H876" i="1"/>
  <c r="D783" i="1"/>
  <c r="E783" i="1"/>
  <c r="F783" i="1"/>
  <c r="G783" i="1"/>
  <c r="H783" i="1"/>
  <c r="D1242" i="1"/>
  <c r="E1242" i="1"/>
  <c r="F1242" i="1"/>
  <c r="G1242" i="1"/>
  <c r="H1242" i="1"/>
  <c r="D691" i="1"/>
  <c r="E691" i="1"/>
  <c r="F691" i="1"/>
  <c r="G691" i="1"/>
  <c r="H691" i="1"/>
  <c r="D1297" i="1"/>
  <c r="E1297" i="1"/>
  <c r="F1297" i="1"/>
  <c r="G1297" i="1"/>
  <c r="H1297" i="1"/>
  <c r="D1464" i="1"/>
  <c r="E1464" i="1"/>
  <c r="F1464" i="1"/>
  <c r="G1464" i="1"/>
  <c r="H1464" i="1"/>
  <c r="D1118" i="1"/>
  <c r="E1118" i="1"/>
  <c r="F1118" i="1"/>
  <c r="G1118" i="1"/>
  <c r="H1118" i="1"/>
  <c r="D248" i="1"/>
  <c r="E248" i="1"/>
  <c r="F248" i="1"/>
  <c r="G248" i="1"/>
  <c r="H248" i="1"/>
  <c r="D1391" i="1"/>
  <c r="E1391" i="1"/>
  <c r="F1391" i="1"/>
  <c r="G1391" i="1"/>
  <c r="H1391" i="1"/>
  <c r="D779" i="1"/>
  <c r="E779" i="1"/>
  <c r="F779" i="1"/>
  <c r="G779" i="1"/>
  <c r="H779" i="1"/>
  <c r="D1763" i="1"/>
  <c r="E1763" i="1"/>
  <c r="F1763" i="1"/>
  <c r="G1763" i="1"/>
  <c r="H1763" i="1"/>
  <c r="D348" i="1"/>
  <c r="E348" i="1"/>
  <c r="F348" i="1"/>
  <c r="G348" i="1"/>
  <c r="H348" i="1"/>
  <c r="D1667" i="1"/>
  <c r="E1667" i="1"/>
  <c r="F1667" i="1"/>
  <c r="G1667" i="1"/>
  <c r="H1667" i="1"/>
  <c r="D395" i="1"/>
  <c r="E395" i="1"/>
  <c r="F395" i="1"/>
  <c r="G395" i="1"/>
  <c r="H395" i="1"/>
  <c r="D497" i="1"/>
  <c r="E497" i="1"/>
  <c r="F497" i="1"/>
  <c r="G497" i="1"/>
  <c r="H497" i="1"/>
  <c r="D96" i="1"/>
  <c r="E96" i="1"/>
  <c r="F96" i="1"/>
  <c r="G96" i="1"/>
  <c r="H96" i="1"/>
  <c r="D1636" i="1"/>
  <c r="E1636" i="1"/>
  <c r="F1636" i="1"/>
  <c r="G1636" i="1"/>
  <c r="H1636" i="1"/>
  <c r="D102" i="1"/>
  <c r="E102" i="1"/>
  <c r="F102" i="1"/>
  <c r="G102" i="1"/>
  <c r="H102" i="1"/>
  <c r="D1019" i="1"/>
  <c r="E1019" i="1"/>
  <c r="F1019" i="1"/>
  <c r="G1019" i="1"/>
  <c r="H1019" i="1"/>
  <c r="D1752" i="1"/>
  <c r="E1752" i="1"/>
  <c r="F1752" i="1"/>
  <c r="G1752" i="1"/>
  <c r="H1752" i="1"/>
  <c r="D1649" i="1"/>
  <c r="E1649" i="1"/>
  <c r="F1649" i="1"/>
  <c r="G1649" i="1"/>
  <c r="H1649" i="1"/>
  <c r="D927" i="1"/>
  <c r="E927" i="1"/>
  <c r="F927" i="1"/>
  <c r="G927" i="1"/>
  <c r="H927" i="1"/>
  <c r="D558" i="1"/>
  <c r="E558" i="1"/>
  <c r="F558" i="1"/>
  <c r="G558" i="1"/>
  <c r="H558" i="1"/>
  <c r="D1771" i="1"/>
  <c r="E1771" i="1"/>
  <c r="F1771" i="1"/>
  <c r="G1771" i="1"/>
  <c r="H1771" i="1"/>
  <c r="D604" i="1"/>
  <c r="E604" i="1"/>
  <c r="F604" i="1"/>
  <c r="G604" i="1"/>
  <c r="H604" i="1"/>
  <c r="D754" i="1"/>
  <c r="E754" i="1"/>
  <c r="F754" i="1"/>
  <c r="G754" i="1"/>
  <c r="H754" i="1"/>
  <c r="D1310" i="1"/>
  <c r="E1310" i="1"/>
  <c r="F1310" i="1"/>
  <c r="G1310" i="1"/>
  <c r="H1310" i="1"/>
  <c r="D385" i="1"/>
  <c r="E385" i="1"/>
  <c r="F385" i="1"/>
  <c r="G385" i="1"/>
  <c r="H385" i="1"/>
  <c r="D839" i="1"/>
  <c r="E839" i="1"/>
  <c r="F839" i="1"/>
  <c r="G839" i="1"/>
  <c r="H839" i="1"/>
  <c r="D1576" i="1"/>
  <c r="E1576" i="1"/>
  <c r="F1576" i="1"/>
  <c r="G1576" i="1"/>
  <c r="H1576" i="1"/>
  <c r="D1522" i="1"/>
  <c r="E1522" i="1"/>
  <c r="F1522" i="1"/>
  <c r="G1522" i="1"/>
  <c r="H1522" i="1"/>
  <c r="D1723" i="1"/>
  <c r="E1723" i="1"/>
  <c r="F1723" i="1"/>
  <c r="G1723" i="1"/>
  <c r="H1723" i="1"/>
  <c r="D1572" i="1"/>
  <c r="E1572" i="1"/>
  <c r="F1572" i="1"/>
  <c r="G1572" i="1"/>
  <c r="H1572" i="1"/>
  <c r="D51" i="1"/>
  <c r="E51" i="1"/>
  <c r="F51" i="1"/>
  <c r="G51" i="1"/>
  <c r="H51" i="1"/>
  <c r="D476" i="1"/>
  <c r="E476" i="1"/>
  <c r="F476" i="1"/>
  <c r="G476" i="1"/>
  <c r="H476" i="1"/>
  <c r="D1593" i="1"/>
  <c r="E1593" i="1"/>
  <c r="F1593" i="1"/>
  <c r="G1593" i="1"/>
  <c r="H1593" i="1"/>
  <c r="D727" i="1"/>
  <c r="E727" i="1"/>
  <c r="F727" i="1"/>
  <c r="G727" i="1"/>
  <c r="H727" i="1"/>
  <c r="D1693" i="1"/>
  <c r="E1693" i="1"/>
  <c r="F1693" i="1"/>
  <c r="G1693" i="1"/>
  <c r="H1693" i="1"/>
  <c r="D1642" i="1"/>
  <c r="E1642" i="1"/>
  <c r="F1642" i="1"/>
  <c r="G1642" i="1"/>
  <c r="H1642" i="1"/>
  <c r="D1387" i="1"/>
  <c r="E1387" i="1"/>
  <c r="F1387" i="1"/>
  <c r="G1387" i="1"/>
  <c r="H1387" i="1"/>
  <c r="D413" i="1"/>
  <c r="E413" i="1"/>
  <c r="F413" i="1"/>
  <c r="G413" i="1"/>
  <c r="H413" i="1"/>
  <c r="D1421" i="1"/>
  <c r="E1421" i="1"/>
  <c r="F1421" i="1"/>
  <c r="G1421" i="1"/>
  <c r="H1421" i="1"/>
  <c r="D1099" i="1"/>
  <c r="E1099" i="1"/>
  <c r="F1099" i="1"/>
  <c r="G1099" i="1"/>
  <c r="H1099" i="1"/>
  <c r="D430" i="1"/>
  <c r="E430" i="1"/>
  <c r="F430" i="1"/>
  <c r="G430" i="1"/>
  <c r="H430" i="1"/>
  <c r="D260" i="1"/>
  <c r="E260" i="1"/>
  <c r="F260" i="1"/>
  <c r="G260" i="1"/>
  <c r="H260" i="1"/>
  <c r="D1452" i="1"/>
  <c r="E1452" i="1"/>
  <c r="F1452" i="1"/>
  <c r="G1452" i="1"/>
  <c r="H1452" i="1"/>
  <c r="D83" i="1"/>
  <c r="E83" i="1"/>
  <c r="F83" i="1"/>
  <c r="G83" i="1"/>
  <c r="H83" i="1"/>
  <c r="D750" i="1"/>
  <c r="E750" i="1"/>
  <c r="F750" i="1"/>
  <c r="G750" i="1"/>
  <c r="H750" i="1"/>
  <c r="D375" i="1"/>
  <c r="E375" i="1"/>
  <c r="F375" i="1"/>
  <c r="G375" i="1"/>
  <c r="H375" i="1"/>
  <c r="D1760" i="1"/>
  <c r="E1760" i="1"/>
  <c r="F1760" i="1"/>
  <c r="G1760" i="1"/>
  <c r="H1760" i="1"/>
  <c r="D904" i="1"/>
  <c r="E904" i="1"/>
  <c r="F904" i="1"/>
  <c r="G904" i="1"/>
  <c r="H904" i="1"/>
  <c r="D1314" i="1"/>
  <c r="E1314" i="1"/>
  <c r="F1314" i="1"/>
  <c r="G1314" i="1"/>
  <c r="H1314" i="1"/>
  <c r="D959" i="1"/>
  <c r="E959" i="1"/>
  <c r="F959" i="1"/>
  <c r="G959" i="1"/>
  <c r="H959" i="1"/>
  <c r="D1147" i="1"/>
  <c r="E1147" i="1"/>
  <c r="F1147" i="1"/>
  <c r="G1147" i="1"/>
  <c r="H1147" i="1"/>
  <c r="D261" i="1"/>
  <c r="E261" i="1"/>
  <c r="F261" i="1"/>
  <c r="G261" i="1"/>
  <c r="H261" i="1"/>
  <c r="D1257" i="1"/>
  <c r="E1257" i="1"/>
  <c r="F1257" i="1"/>
  <c r="G1257" i="1"/>
  <c r="H1257" i="1"/>
  <c r="D1216" i="1"/>
  <c r="E1216" i="1"/>
  <c r="F1216" i="1"/>
  <c r="G1216" i="1"/>
  <c r="H1216" i="1"/>
  <c r="D502" i="1"/>
  <c r="E502" i="1"/>
  <c r="F502" i="1"/>
  <c r="G502" i="1"/>
  <c r="H502" i="1"/>
  <c r="D1639" i="1"/>
  <c r="E1639" i="1"/>
  <c r="F1639" i="1"/>
  <c r="G1639" i="1"/>
  <c r="H1639" i="1"/>
  <c r="D1101" i="1"/>
  <c r="E1101" i="1"/>
  <c r="F1101" i="1"/>
  <c r="G1101" i="1"/>
  <c r="H1101" i="1"/>
  <c r="D125" i="1"/>
  <c r="E125" i="1"/>
  <c r="F125" i="1"/>
  <c r="G125" i="1"/>
  <c r="H125" i="1"/>
  <c r="D872" i="1"/>
  <c r="E872" i="1"/>
  <c r="F872" i="1"/>
  <c r="G872" i="1"/>
  <c r="H872" i="1"/>
  <c r="D952" i="1"/>
  <c r="E952" i="1"/>
  <c r="F952" i="1"/>
  <c r="G952" i="1"/>
  <c r="H952" i="1"/>
  <c r="D391" i="1"/>
  <c r="E391" i="1"/>
  <c r="F391" i="1"/>
  <c r="G391" i="1"/>
  <c r="H391" i="1"/>
  <c r="D501" i="1"/>
  <c r="E501" i="1"/>
  <c r="F501" i="1"/>
  <c r="G501" i="1"/>
  <c r="H501" i="1"/>
  <c r="D76" i="1"/>
  <c r="E76" i="1"/>
  <c r="F76" i="1"/>
  <c r="G76" i="1"/>
  <c r="H76" i="1"/>
  <c r="D813" i="1"/>
  <c r="E813" i="1"/>
  <c r="F813" i="1"/>
  <c r="G813" i="1"/>
  <c r="H813" i="1"/>
  <c r="D279" i="1"/>
  <c r="E279" i="1"/>
  <c r="F279" i="1"/>
  <c r="G279" i="1"/>
  <c r="H279" i="1"/>
  <c r="D173" i="1"/>
  <c r="E173" i="1"/>
  <c r="F173" i="1"/>
  <c r="G173" i="1"/>
  <c r="H173" i="1"/>
  <c r="D1163" i="1"/>
  <c r="E1163" i="1"/>
  <c r="F1163" i="1"/>
  <c r="G1163" i="1"/>
  <c r="H1163" i="1"/>
  <c r="D235" i="1"/>
  <c r="E235" i="1"/>
  <c r="F235" i="1"/>
  <c r="G235" i="1"/>
  <c r="H235" i="1"/>
  <c r="D1594" i="1"/>
  <c r="E1594" i="1"/>
  <c r="F1594" i="1"/>
  <c r="G1594" i="1"/>
  <c r="H1594" i="1"/>
  <c r="D692" i="1"/>
  <c r="E692" i="1"/>
  <c r="F692" i="1"/>
  <c r="G692" i="1"/>
  <c r="H692" i="1"/>
  <c r="D322" i="1"/>
  <c r="E322" i="1"/>
  <c r="F322" i="1"/>
  <c r="G322" i="1"/>
  <c r="H322" i="1"/>
  <c r="D516" i="1"/>
  <c r="E516" i="1"/>
  <c r="F516" i="1"/>
  <c r="G516" i="1"/>
  <c r="H516" i="1"/>
  <c r="D29" i="1"/>
  <c r="E29" i="1"/>
  <c r="F29" i="1"/>
  <c r="G29" i="1"/>
  <c r="H29" i="1"/>
  <c r="D725" i="1"/>
  <c r="E725" i="1"/>
  <c r="F725" i="1"/>
  <c r="G725" i="1"/>
  <c r="H725" i="1"/>
  <c r="D1274" i="1"/>
  <c r="E1274" i="1"/>
  <c r="F1274" i="1"/>
  <c r="G1274" i="1"/>
  <c r="H1274" i="1"/>
  <c r="D1171" i="1"/>
  <c r="E1171" i="1"/>
  <c r="F1171" i="1"/>
  <c r="G1171" i="1"/>
  <c r="H1171" i="1"/>
  <c r="D776" i="1"/>
  <c r="E776" i="1"/>
  <c r="F776" i="1"/>
  <c r="G776" i="1"/>
  <c r="H776" i="1"/>
  <c r="D1144" i="1"/>
  <c r="E1144" i="1"/>
  <c r="F1144" i="1"/>
  <c r="G1144" i="1"/>
  <c r="H1144" i="1"/>
  <c r="D129" i="1"/>
  <c r="E129" i="1"/>
  <c r="F129" i="1"/>
  <c r="G129" i="1"/>
  <c r="H129" i="1"/>
  <c r="D191" i="1"/>
  <c r="E191" i="1"/>
  <c r="F191" i="1"/>
  <c r="G191" i="1"/>
  <c r="H191" i="1"/>
  <c r="D153" i="1"/>
  <c r="E153" i="1"/>
  <c r="F153" i="1"/>
  <c r="G153" i="1"/>
  <c r="H153" i="1"/>
  <c r="D1742" i="1"/>
  <c r="E1742" i="1"/>
  <c r="F1742" i="1"/>
  <c r="G1742" i="1"/>
  <c r="H1742" i="1"/>
  <c r="D150" i="1"/>
  <c r="E150" i="1"/>
  <c r="F150" i="1"/>
  <c r="G150" i="1"/>
  <c r="H150" i="1"/>
  <c r="D485" i="1"/>
  <c r="E485" i="1"/>
  <c r="F485" i="1"/>
  <c r="G485" i="1"/>
  <c r="H485" i="1"/>
  <c r="D293" i="1"/>
  <c r="E293" i="1"/>
  <c r="F293" i="1"/>
  <c r="G293" i="1"/>
  <c r="H293" i="1"/>
  <c r="D1141" i="1"/>
  <c r="E1141" i="1"/>
  <c r="F1141" i="1"/>
  <c r="G1141" i="1"/>
  <c r="H1141" i="1"/>
  <c r="D1057" i="1"/>
  <c r="E1057" i="1"/>
  <c r="F1057" i="1"/>
  <c r="G1057" i="1"/>
  <c r="H1057" i="1"/>
  <c r="D955" i="1"/>
  <c r="E955" i="1"/>
  <c r="F955" i="1"/>
  <c r="G955" i="1"/>
  <c r="H955" i="1"/>
  <c r="D1159" i="1"/>
  <c r="E1159" i="1"/>
  <c r="F1159" i="1"/>
  <c r="G1159" i="1"/>
  <c r="H1159" i="1"/>
  <c r="D724" i="1"/>
  <c r="E724" i="1"/>
  <c r="F724" i="1"/>
  <c r="G724" i="1"/>
  <c r="H724" i="1"/>
  <c r="D445" i="1"/>
  <c r="E445" i="1"/>
  <c r="F445" i="1"/>
  <c r="G445" i="1"/>
  <c r="H445" i="1"/>
  <c r="D1577" i="1"/>
  <c r="E1577" i="1"/>
  <c r="F1577" i="1"/>
  <c r="G1577" i="1"/>
  <c r="H1577" i="1"/>
  <c r="D1665" i="1"/>
  <c r="E1665" i="1"/>
  <c r="F1665" i="1"/>
  <c r="G1665" i="1"/>
  <c r="H1665" i="1"/>
  <c r="D223" i="1"/>
  <c r="E223" i="1"/>
  <c r="F223" i="1"/>
  <c r="G223" i="1"/>
  <c r="H223" i="1"/>
  <c r="D870" i="1"/>
  <c r="E870" i="1"/>
  <c r="F870" i="1"/>
  <c r="G870" i="1"/>
  <c r="H870" i="1"/>
  <c r="D548" i="1"/>
  <c r="E548" i="1"/>
  <c r="F548" i="1"/>
  <c r="G548" i="1"/>
  <c r="H548" i="1"/>
  <c r="D942" i="1"/>
  <c r="E942" i="1"/>
  <c r="F942" i="1"/>
  <c r="G942" i="1"/>
  <c r="H942" i="1"/>
  <c r="D613" i="1"/>
  <c r="E613" i="1"/>
  <c r="F613" i="1"/>
  <c r="G613" i="1"/>
  <c r="H613" i="1"/>
  <c r="D416" i="1"/>
  <c r="E416" i="1"/>
  <c r="F416" i="1"/>
  <c r="G416" i="1"/>
  <c r="H416" i="1"/>
  <c r="D997" i="1"/>
  <c r="E997" i="1"/>
  <c r="F997" i="1"/>
  <c r="G997" i="1"/>
  <c r="H997" i="1"/>
  <c r="D174" i="1"/>
  <c r="E174" i="1"/>
  <c r="F174" i="1"/>
  <c r="G174" i="1"/>
  <c r="H174" i="1"/>
  <c r="D1544" i="1"/>
  <c r="E1544" i="1"/>
  <c r="F1544" i="1"/>
  <c r="G1544" i="1"/>
  <c r="H1544" i="1"/>
  <c r="D1549" i="1"/>
  <c r="E1549" i="1"/>
  <c r="F1549" i="1"/>
  <c r="G1549" i="1"/>
  <c r="H1549" i="1"/>
  <c r="D1146" i="1"/>
  <c r="E1146" i="1"/>
  <c r="F1146" i="1"/>
  <c r="G1146" i="1"/>
  <c r="H1146" i="1"/>
  <c r="D718" i="1"/>
  <c r="E718" i="1"/>
  <c r="F718" i="1"/>
  <c r="G718" i="1"/>
  <c r="H718" i="1"/>
  <c r="D137" i="1"/>
  <c r="E137" i="1"/>
  <c r="F137" i="1"/>
  <c r="G137" i="1"/>
  <c r="H137" i="1"/>
  <c r="D270" i="1"/>
  <c r="E270" i="1"/>
  <c r="F270" i="1"/>
  <c r="G270" i="1"/>
  <c r="H270" i="1"/>
  <c r="D289" i="1"/>
  <c r="E289" i="1"/>
  <c r="F289" i="1"/>
  <c r="G289" i="1"/>
  <c r="H289" i="1"/>
  <c r="D167" i="1"/>
  <c r="E167" i="1"/>
  <c r="F167" i="1"/>
  <c r="G167" i="1"/>
  <c r="H167" i="1"/>
  <c r="D778" i="1"/>
  <c r="E778" i="1"/>
  <c r="F778" i="1"/>
  <c r="G778" i="1"/>
  <c r="H778" i="1"/>
  <c r="D316" i="1"/>
  <c r="E316" i="1"/>
  <c r="F316" i="1"/>
  <c r="G316" i="1"/>
  <c r="H316" i="1"/>
  <c r="D236" i="1"/>
  <c r="E236" i="1"/>
  <c r="F236" i="1"/>
  <c r="G236" i="1"/>
  <c r="H236" i="1"/>
  <c r="D97" i="1"/>
  <c r="E97" i="1"/>
  <c r="F97" i="1"/>
  <c r="G97" i="1"/>
  <c r="H97" i="1"/>
  <c r="D397" i="1"/>
  <c r="E397" i="1"/>
  <c r="F397" i="1"/>
  <c r="G397" i="1"/>
  <c r="H397" i="1"/>
  <c r="D1041" i="1"/>
  <c r="E1041" i="1"/>
  <c r="F1041" i="1"/>
  <c r="G1041" i="1"/>
  <c r="H1041" i="1"/>
  <c r="D1182" i="1"/>
  <c r="E1182" i="1"/>
  <c r="F1182" i="1"/>
  <c r="G1182" i="1"/>
  <c r="H1182" i="1"/>
  <c r="D26" i="1"/>
  <c r="E26" i="1"/>
  <c r="F26" i="1"/>
  <c r="G26" i="1"/>
  <c r="H26" i="1"/>
  <c r="D1318" i="1"/>
  <c r="E1318" i="1"/>
  <c r="F1318" i="1"/>
  <c r="G1318" i="1"/>
  <c r="H1318" i="1"/>
  <c r="D296" i="1"/>
  <c r="E296" i="1"/>
  <c r="F296" i="1"/>
  <c r="G296" i="1"/>
  <c r="H296" i="1"/>
  <c r="D842" i="1"/>
  <c r="E842" i="1"/>
  <c r="F842" i="1"/>
  <c r="G842" i="1"/>
  <c r="H842" i="1"/>
  <c r="D1686" i="1"/>
  <c r="E1686" i="1"/>
  <c r="F1686" i="1"/>
  <c r="G1686" i="1"/>
  <c r="H1686" i="1"/>
  <c r="D71" i="1"/>
  <c r="E71" i="1"/>
  <c r="F71" i="1"/>
  <c r="G71" i="1"/>
  <c r="H71" i="1"/>
  <c r="D1181" i="1"/>
  <c r="E1181" i="1"/>
  <c r="F1181" i="1"/>
  <c r="G1181" i="1"/>
  <c r="H1181" i="1"/>
  <c r="D1064" i="1"/>
  <c r="E1064" i="1"/>
  <c r="F1064" i="1"/>
  <c r="G1064" i="1"/>
  <c r="H1064" i="1"/>
  <c r="D1286" i="1"/>
  <c r="E1286" i="1"/>
  <c r="F1286" i="1"/>
  <c r="G1286" i="1"/>
  <c r="H1286" i="1"/>
  <c r="D458" i="1"/>
  <c r="E458" i="1"/>
  <c r="F458" i="1"/>
  <c r="G458" i="1"/>
  <c r="H458" i="1"/>
  <c r="D27" i="1"/>
  <c r="E27" i="1"/>
  <c r="F27" i="1"/>
  <c r="G27" i="1"/>
  <c r="H27" i="1"/>
  <c r="D853" i="1"/>
  <c r="E853" i="1"/>
  <c r="F853" i="1"/>
  <c r="G853" i="1"/>
  <c r="H853" i="1"/>
  <c r="D1397" i="1"/>
  <c r="E1397" i="1"/>
  <c r="F1397" i="1"/>
  <c r="G1397" i="1"/>
  <c r="H1397" i="1"/>
  <c r="D1032" i="1"/>
  <c r="E1032" i="1"/>
  <c r="F1032" i="1"/>
  <c r="G1032" i="1"/>
  <c r="H1032" i="1"/>
  <c r="D1696" i="1"/>
  <c r="E1696" i="1"/>
  <c r="F1696" i="1"/>
  <c r="G1696" i="1"/>
  <c r="H1696" i="1"/>
  <c r="D1002" i="1"/>
  <c r="E1002" i="1"/>
  <c r="F1002" i="1"/>
  <c r="G1002" i="1"/>
  <c r="H1002" i="1"/>
  <c r="D1726" i="1"/>
  <c r="E1726" i="1"/>
  <c r="F1726" i="1"/>
  <c r="G1726" i="1"/>
  <c r="H1726" i="1"/>
  <c r="D737" i="1"/>
  <c r="E737" i="1"/>
  <c r="F737" i="1"/>
  <c r="G737" i="1"/>
  <c r="H737" i="1"/>
  <c r="D1149" i="1"/>
  <c r="E1149" i="1"/>
  <c r="F1149" i="1"/>
  <c r="G1149" i="1"/>
  <c r="H1149" i="1"/>
  <c r="D498" i="1"/>
  <c r="E498" i="1"/>
  <c r="F498" i="1"/>
  <c r="G498" i="1"/>
  <c r="H498" i="1"/>
  <c r="D1598" i="1"/>
  <c r="E1598" i="1"/>
  <c r="F1598" i="1"/>
  <c r="G1598" i="1"/>
  <c r="H1598" i="1"/>
  <c r="D1692" i="1"/>
  <c r="E1692" i="1"/>
  <c r="F1692" i="1"/>
  <c r="G1692" i="1"/>
  <c r="H1692" i="1"/>
  <c r="D1094" i="1"/>
  <c r="E1094" i="1"/>
  <c r="F1094" i="1"/>
  <c r="G1094" i="1"/>
  <c r="H1094" i="1"/>
  <c r="D54" i="1"/>
  <c r="E54" i="1"/>
  <c r="F54" i="1"/>
  <c r="G54" i="1"/>
  <c r="H54" i="1"/>
  <c r="D1566" i="1"/>
  <c r="E1566" i="1"/>
  <c r="F1566" i="1"/>
  <c r="G1566" i="1"/>
  <c r="H1566" i="1"/>
  <c r="D1360" i="1"/>
  <c r="E1360" i="1"/>
  <c r="F1360" i="1"/>
  <c r="G1360" i="1"/>
  <c r="H1360" i="1"/>
  <c r="D715" i="1"/>
  <c r="E715" i="1"/>
  <c r="F715" i="1"/>
  <c r="G715" i="1"/>
  <c r="H715" i="1"/>
  <c r="D1139" i="1"/>
  <c r="E1139" i="1"/>
  <c r="F1139" i="1"/>
  <c r="G1139" i="1"/>
  <c r="H1139" i="1"/>
  <c r="D901" i="1"/>
  <c r="E901" i="1"/>
  <c r="F901" i="1"/>
  <c r="G901" i="1"/>
  <c r="H901" i="1"/>
  <c r="D519" i="1"/>
  <c r="E519" i="1"/>
  <c r="F519" i="1"/>
  <c r="G519" i="1"/>
  <c r="H519" i="1"/>
  <c r="D1326" i="1"/>
  <c r="E1326" i="1"/>
  <c r="F1326" i="1"/>
  <c r="G1326" i="1"/>
  <c r="H1326" i="1"/>
  <c r="D626" i="1"/>
  <c r="E626" i="1"/>
  <c r="F626" i="1"/>
  <c r="G626" i="1"/>
  <c r="H626" i="1"/>
  <c r="D1647" i="1"/>
  <c r="E1647" i="1"/>
  <c r="F1647" i="1"/>
  <c r="G1647" i="1"/>
  <c r="H1647" i="1"/>
  <c r="D1368" i="1"/>
  <c r="E1368" i="1"/>
  <c r="F1368" i="1"/>
  <c r="G1368" i="1"/>
  <c r="H1368" i="1"/>
  <c r="D1233" i="1"/>
  <c r="E1233" i="1"/>
  <c r="F1233" i="1"/>
  <c r="G1233" i="1"/>
  <c r="H1233" i="1"/>
  <c r="D383" i="1"/>
  <c r="E383" i="1"/>
  <c r="F383" i="1"/>
  <c r="G383" i="1"/>
  <c r="H383" i="1"/>
  <c r="D1467" i="1"/>
  <c r="E1467" i="1"/>
  <c r="F1467" i="1"/>
  <c r="G1467" i="1"/>
  <c r="H1467" i="1"/>
  <c r="D767" i="1"/>
  <c r="E767" i="1"/>
  <c r="F767" i="1"/>
  <c r="G767" i="1"/>
  <c r="H767" i="1"/>
  <c r="D817" i="1"/>
  <c r="E817" i="1"/>
  <c r="F817" i="1"/>
  <c r="G817" i="1"/>
  <c r="H817" i="1"/>
  <c r="D518" i="1"/>
  <c r="E518" i="1"/>
  <c r="F518" i="1"/>
  <c r="G518" i="1"/>
  <c r="H518" i="1"/>
  <c r="D1521" i="1"/>
  <c r="E1521" i="1"/>
  <c r="F1521" i="1"/>
  <c r="G1521" i="1"/>
  <c r="H1521" i="1"/>
  <c r="D1503" i="1"/>
  <c r="E1503" i="1"/>
  <c r="F1503" i="1"/>
  <c r="G1503" i="1"/>
  <c r="H1503" i="1"/>
  <c r="D342" i="1"/>
  <c r="E342" i="1"/>
  <c r="F342" i="1"/>
  <c r="G342" i="1"/>
  <c r="H342" i="1"/>
  <c r="D175" i="1"/>
  <c r="E175" i="1"/>
  <c r="F175" i="1"/>
  <c r="G175" i="1"/>
  <c r="H175" i="1"/>
  <c r="D987" i="1"/>
  <c r="E987" i="1"/>
  <c r="F987" i="1"/>
  <c r="G987" i="1"/>
  <c r="H987" i="1"/>
  <c r="D1612" i="1"/>
  <c r="E1612" i="1"/>
  <c r="F1612" i="1"/>
  <c r="G1612" i="1"/>
  <c r="H1612" i="1"/>
  <c r="D1372" i="1"/>
  <c r="E1372" i="1"/>
  <c r="F1372" i="1"/>
  <c r="G1372" i="1"/>
  <c r="H1372" i="1"/>
  <c r="D882" i="1"/>
  <c r="E882" i="1"/>
  <c r="F882" i="1"/>
  <c r="G882" i="1"/>
  <c r="H882" i="1"/>
  <c r="D1300" i="1"/>
  <c r="E1300" i="1"/>
  <c r="F1300" i="1"/>
  <c r="G1300" i="1"/>
  <c r="H1300" i="1"/>
  <c r="D1724" i="1"/>
  <c r="E1724" i="1"/>
  <c r="F1724" i="1"/>
  <c r="G1724" i="1"/>
  <c r="H1724" i="1"/>
  <c r="D406" i="1"/>
  <c r="E406" i="1"/>
  <c r="F406" i="1"/>
  <c r="G406" i="1"/>
  <c r="H406" i="1"/>
  <c r="D1307" i="1"/>
  <c r="E1307" i="1"/>
  <c r="F1307" i="1"/>
  <c r="G1307" i="1"/>
  <c r="H1307" i="1"/>
  <c r="D99" i="1"/>
  <c r="E99" i="1"/>
  <c r="F99" i="1"/>
  <c r="G99" i="1"/>
  <c r="H99" i="1"/>
  <c r="D365" i="1"/>
  <c r="E365" i="1"/>
  <c r="F365" i="1"/>
  <c r="G365" i="1"/>
  <c r="H365" i="1"/>
  <c r="D106" i="1"/>
  <c r="E106" i="1"/>
  <c r="F106" i="1"/>
  <c r="G106" i="1"/>
  <c r="H106" i="1"/>
  <c r="D707" i="1"/>
  <c r="E707" i="1"/>
  <c r="F707" i="1"/>
  <c r="G707" i="1"/>
  <c r="H707" i="1"/>
  <c r="D108" i="1"/>
  <c r="E108" i="1"/>
  <c r="F108" i="1"/>
  <c r="G108" i="1"/>
  <c r="H108" i="1"/>
  <c r="D538" i="1"/>
  <c r="E538" i="1"/>
  <c r="F538" i="1"/>
  <c r="G538" i="1"/>
  <c r="H538" i="1"/>
  <c r="D1431" i="1"/>
  <c r="E1431" i="1"/>
  <c r="F1431" i="1"/>
  <c r="G1431" i="1"/>
  <c r="H1431" i="1"/>
  <c r="D601" i="1"/>
  <c r="E601" i="1"/>
  <c r="F601" i="1"/>
  <c r="G601" i="1"/>
  <c r="H601" i="1"/>
  <c r="D32" i="1"/>
  <c r="E32" i="1"/>
  <c r="F32" i="1"/>
  <c r="G32" i="1"/>
  <c r="H32" i="1"/>
  <c r="D440" i="1"/>
  <c r="E440" i="1"/>
  <c r="F440" i="1"/>
  <c r="G440" i="1"/>
  <c r="H440" i="1"/>
  <c r="D30" i="1"/>
  <c r="E30" i="1"/>
  <c r="F30" i="1"/>
  <c r="G30" i="1"/>
  <c r="H30" i="1"/>
  <c r="D633" i="1"/>
  <c r="E633" i="1"/>
  <c r="F633" i="1"/>
  <c r="G633" i="1"/>
  <c r="H633" i="1"/>
  <c r="D399" i="1"/>
  <c r="E399" i="1"/>
  <c r="F399" i="1"/>
  <c r="G399" i="1"/>
  <c r="H399" i="1"/>
  <c r="D865" i="1"/>
  <c r="E865" i="1"/>
  <c r="F865" i="1"/>
  <c r="G865" i="1"/>
  <c r="H865" i="1"/>
  <c r="D1418" i="1"/>
  <c r="E1418" i="1"/>
  <c r="F1418" i="1"/>
  <c r="G1418" i="1"/>
  <c r="H1418" i="1"/>
  <c r="D827" i="1"/>
  <c r="E827" i="1"/>
  <c r="F827" i="1"/>
  <c r="G827" i="1"/>
  <c r="H827" i="1"/>
  <c r="D1509" i="1"/>
  <c r="E1509" i="1"/>
  <c r="F1509" i="1"/>
  <c r="G1509" i="1"/>
  <c r="H1509" i="1"/>
  <c r="D1004" i="1"/>
  <c r="E1004" i="1"/>
  <c r="F1004" i="1"/>
  <c r="G1004" i="1"/>
  <c r="H1004" i="1"/>
  <c r="D763" i="1"/>
  <c r="E763" i="1"/>
  <c r="F763" i="1"/>
  <c r="G763" i="1"/>
  <c r="H763" i="1"/>
  <c r="D598" i="1"/>
  <c r="E598" i="1"/>
  <c r="F598" i="1"/>
  <c r="G598" i="1"/>
  <c r="H598" i="1"/>
  <c r="D873" i="1"/>
  <c r="E873" i="1"/>
  <c r="F873" i="1"/>
  <c r="G873" i="1"/>
  <c r="H873" i="1"/>
  <c r="D328" i="1"/>
  <c r="E328" i="1"/>
  <c r="F328" i="1"/>
  <c r="G328" i="1"/>
  <c r="H328" i="1"/>
  <c r="D1315" i="1"/>
  <c r="E1315" i="1"/>
  <c r="F1315" i="1"/>
  <c r="G1315" i="1"/>
  <c r="H1315" i="1"/>
  <c r="D461" i="1"/>
  <c r="E461" i="1"/>
  <c r="F461" i="1"/>
  <c r="G461" i="1"/>
  <c r="H461" i="1"/>
  <c r="D1655" i="1"/>
  <c r="E1655" i="1"/>
  <c r="F1655" i="1"/>
  <c r="G1655" i="1"/>
  <c r="H1655" i="1"/>
  <c r="D134" i="1"/>
  <c r="E134" i="1"/>
  <c r="F134" i="1"/>
  <c r="G134" i="1"/>
  <c r="H134" i="1"/>
  <c r="D1448" i="1"/>
  <c r="E1448" i="1"/>
  <c r="F1448" i="1"/>
  <c r="G1448" i="1"/>
  <c r="H1448" i="1"/>
  <c r="D295" i="1"/>
  <c r="E295" i="1"/>
  <c r="F295" i="1"/>
  <c r="G295" i="1"/>
  <c r="H295" i="1"/>
  <c r="D899" i="1"/>
  <c r="E899" i="1"/>
  <c r="F899" i="1"/>
  <c r="G899" i="1"/>
  <c r="H899" i="1"/>
  <c r="D408" i="1"/>
  <c r="E408" i="1"/>
  <c r="F408" i="1"/>
  <c r="G408" i="1"/>
  <c r="H408" i="1"/>
  <c r="D582" i="1"/>
  <c r="E582" i="1"/>
  <c r="F582" i="1"/>
  <c r="G582" i="1"/>
  <c r="H582" i="1"/>
  <c r="D128" i="1"/>
  <c r="E128" i="1"/>
  <c r="F128" i="1"/>
  <c r="G128" i="1"/>
  <c r="H128" i="1"/>
  <c r="D1719" i="1"/>
  <c r="E1719" i="1"/>
  <c r="F1719" i="1"/>
  <c r="G1719" i="1"/>
  <c r="H1719" i="1"/>
  <c r="D1371" i="1"/>
  <c r="E1371" i="1"/>
  <c r="F1371" i="1"/>
  <c r="G1371" i="1"/>
  <c r="H1371" i="1"/>
  <c r="D654" i="1"/>
  <c r="E654" i="1"/>
  <c r="F654" i="1"/>
  <c r="G654" i="1"/>
  <c r="H654" i="1"/>
  <c r="D1169" i="1"/>
  <c r="E1169" i="1"/>
  <c r="F1169" i="1"/>
  <c r="G1169" i="1"/>
  <c r="H1169" i="1"/>
  <c r="D765" i="1"/>
  <c r="E765" i="1"/>
  <c r="F765" i="1"/>
  <c r="G765" i="1"/>
  <c r="H765" i="1"/>
  <c r="D1766" i="1"/>
  <c r="E1766" i="1"/>
  <c r="F1766" i="1"/>
  <c r="G1766" i="1"/>
  <c r="H1766" i="1"/>
  <c r="D1409" i="1"/>
  <c r="E1409" i="1"/>
  <c r="F1409" i="1"/>
  <c r="G1409" i="1"/>
  <c r="H1409" i="1"/>
  <c r="D1526" i="1"/>
  <c r="E1526" i="1"/>
  <c r="F1526" i="1"/>
  <c r="G1526" i="1"/>
  <c r="H1526" i="1"/>
  <c r="D722" i="1"/>
  <c r="E722" i="1"/>
  <c r="F722" i="1"/>
  <c r="G722" i="1"/>
  <c r="H722" i="1"/>
  <c r="D915" i="1"/>
  <c r="E915" i="1"/>
  <c r="F915" i="1"/>
  <c r="G915" i="1"/>
  <c r="H915" i="1"/>
  <c r="D1562" i="1"/>
  <c r="E1562" i="1"/>
  <c r="F1562" i="1"/>
  <c r="G1562" i="1"/>
  <c r="H1562" i="1"/>
  <c r="D1088" i="1"/>
  <c r="E1088" i="1"/>
  <c r="F1088" i="1"/>
  <c r="G1088" i="1"/>
  <c r="H1088" i="1"/>
  <c r="D1042" i="1"/>
  <c r="E1042" i="1"/>
  <c r="F1042" i="1"/>
  <c r="G1042" i="1"/>
  <c r="H1042" i="1"/>
  <c r="D161" i="1"/>
  <c r="E161" i="1"/>
  <c r="F161" i="1"/>
  <c r="G161" i="1"/>
  <c r="H161" i="1"/>
  <c r="D996" i="1"/>
  <c r="E996" i="1"/>
  <c r="F996" i="1"/>
  <c r="G996" i="1"/>
  <c r="H996" i="1"/>
  <c r="D1364" i="1"/>
  <c r="E1364" i="1"/>
  <c r="F1364" i="1"/>
  <c r="G1364" i="1"/>
  <c r="H1364" i="1"/>
  <c r="D357" i="1"/>
  <c r="E357" i="1"/>
  <c r="F357" i="1"/>
  <c r="G357" i="1"/>
  <c r="H357" i="1"/>
  <c r="D1669" i="1"/>
  <c r="E1669" i="1"/>
  <c r="F1669" i="1"/>
  <c r="G1669" i="1"/>
  <c r="H1669" i="1"/>
  <c r="D644" i="1"/>
  <c r="E644" i="1"/>
  <c r="F644" i="1"/>
  <c r="G644" i="1"/>
  <c r="H644" i="1"/>
  <c r="D490" i="1"/>
  <c r="E490" i="1"/>
  <c r="F490" i="1"/>
  <c r="G490" i="1"/>
  <c r="H490" i="1"/>
  <c r="D976" i="1"/>
  <c r="E976" i="1"/>
  <c r="F976" i="1"/>
  <c r="G976" i="1"/>
  <c r="H976" i="1"/>
  <c r="D228" i="1"/>
  <c r="E228" i="1"/>
  <c r="F228" i="1"/>
  <c r="G228" i="1"/>
  <c r="H228" i="1"/>
  <c r="D686" i="1"/>
  <c r="E686" i="1"/>
  <c r="F686" i="1"/>
  <c r="G686" i="1"/>
  <c r="H686" i="1"/>
  <c r="D253" i="1"/>
  <c r="E253" i="1"/>
  <c r="F253" i="1"/>
  <c r="G253" i="1"/>
  <c r="H253" i="1"/>
  <c r="D1151" i="1"/>
  <c r="E1151" i="1"/>
  <c r="F1151" i="1"/>
  <c r="G1151" i="1"/>
  <c r="H1151" i="1"/>
  <c r="D164" i="1"/>
  <c r="E164" i="1"/>
  <c r="F164" i="1"/>
  <c r="G164" i="1"/>
  <c r="H164" i="1"/>
  <c r="D1155" i="1"/>
  <c r="E1155" i="1"/>
  <c r="F1155" i="1"/>
  <c r="G1155" i="1"/>
  <c r="H1155" i="1"/>
  <c r="D751" i="1"/>
  <c r="E751" i="1"/>
  <c r="F751" i="1"/>
  <c r="G751" i="1"/>
  <c r="H751" i="1"/>
  <c r="D820" i="1"/>
  <c r="E820" i="1"/>
  <c r="F820" i="1"/>
  <c r="G820" i="1"/>
  <c r="H820" i="1"/>
  <c r="D1657" i="1"/>
  <c r="E1657" i="1"/>
  <c r="F1657" i="1"/>
  <c r="G1657" i="1"/>
  <c r="H1657" i="1"/>
  <c r="D1281" i="1"/>
  <c r="E1281" i="1"/>
  <c r="F1281" i="1"/>
  <c r="G1281" i="1"/>
  <c r="H1281" i="1"/>
  <c r="D434" i="1"/>
  <c r="E434" i="1"/>
  <c r="F434" i="1"/>
  <c r="G434" i="1"/>
  <c r="H434" i="1"/>
  <c r="D1197" i="1"/>
  <c r="E1197" i="1"/>
  <c r="F1197" i="1"/>
  <c r="G1197" i="1"/>
  <c r="H1197" i="1"/>
  <c r="D530" i="1"/>
  <c r="E530" i="1"/>
  <c r="F530" i="1"/>
  <c r="G530" i="1"/>
  <c r="H530" i="1"/>
  <c r="D892" i="1"/>
  <c r="E892" i="1"/>
  <c r="F892" i="1"/>
  <c r="G892" i="1"/>
  <c r="H892" i="1"/>
  <c r="D1728" i="1"/>
  <c r="E1728" i="1"/>
  <c r="F1728" i="1"/>
  <c r="G1728" i="1"/>
  <c r="H1728" i="1"/>
  <c r="D1676" i="1"/>
  <c r="E1676" i="1"/>
  <c r="F1676" i="1"/>
  <c r="G1676" i="1"/>
  <c r="H1676" i="1"/>
  <c r="D948" i="1"/>
  <c r="E948" i="1"/>
  <c r="F948" i="1"/>
  <c r="G948" i="1"/>
  <c r="H948" i="1"/>
  <c r="D1279" i="1"/>
  <c r="E1279" i="1"/>
  <c r="F1279" i="1"/>
  <c r="G1279" i="1"/>
  <c r="H1279" i="1"/>
  <c r="D198" i="1"/>
  <c r="E198" i="1"/>
  <c r="F198" i="1"/>
  <c r="G198" i="1"/>
  <c r="H198" i="1"/>
  <c r="D318" i="1"/>
  <c r="E318" i="1"/>
  <c r="F318" i="1"/>
  <c r="G318" i="1"/>
  <c r="H318" i="1"/>
  <c r="D559" i="1"/>
  <c r="E559" i="1"/>
  <c r="F559" i="1"/>
  <c r="G559" i="1"/>
  <c r="H559" i="1"/>
  <c r="D1573" i="1"/>
  <c r="E1573" i="1"/>
  <c r="F1573" i="1"/>
  <c r="G1573" i="1"/>
  <c r="H1573" i="1"/>
  <c r="D1570" i="1"/>
  <c r="E1570" i="1"/>
  <c r="F1570" i="1"/>
  <c r="G1570" i="1"/>
  <c r="H1570" i="1"/>
  <c r="D1224" i="1"/>
  <c r="E1224" i="1"/>
  <c r="F1224" i="1"/>
  <c r="G1224" i="1"/>
  <c r="H1224" i="1"/>
  <c r="D208" i="1"/>
  <c r="E208" i="1"/>
  <c r="F208" i="1"/>
  <c r="G208" i="1"/>
  <c r="H208" i="1"/>
  <c r="D1354" i="1"/>
  <c r="E1354" i="1"/>
  <c r="F1354" i="1"/>
  <c r="G1354" i="1"/>
  <c r="H1354" i="1"/>
  <c r="D1018" i="1"/>
  <c r="E1018" i="1"/>
  <c r="F1018" i="1"/>
  <c r="G1018" i="1"/>
  <c r="H1018" i="1"/>
  <c r="D811" i="1"/>
  <c r="E811" i="1"/>
  <c r="F811" i="1"/>
  <c r="G811" i="1"/>
  <c r="H811" i="1"/>
  <c r="D935" i="1"/>
  <c r="E935" i="1"/>
  <c r="F935" i="1"/>
  <c r="G935" i="1"/>
  <c r="H935" i="1"/>
  <c r="D676" i="1"/>
  <c r="E676" i="1"/>
  <c r="F676" i="1"/>
  <c r="G676" i="1"/>
  <c r="H676" i="1"/>
  <c r="D1152" i="1"/>
  <c r="E1152" i="1"/>
  <c r="F1152" i="1"/>
  <c r="G1152" i="1"/>
  <c r="H1152" i="1"/>
  <c r="D1514" i="1"/>
  <c r="E1514" i="1"/>
  <c r="F1514" i="1"/>
  <c r="G1514" i="1"/>
  <c r="H1514" i="1"/>
  <c r="D974" i="1"/>
  <c r="E974" i="1"/>
  <c r="F974" i="1"/>
  <c r="G974" i="1"/>
  <c r="H974" i="1"/>
  <c r="D323" i="1"/>
  <c r="E323" i="1"/>
  <c r="F323" i="1"/>
  <c r="G323" i="1"/>
  <c r="H323" i="1"/>
  <c r="D849" i="1"/>
  <c r="E849" i="1"/>
  <c r="F849" i="1"/>
  <c r="G849" i="1"/>
  <c r="H849" i="1"/>
  <c r="D1624" i="1"/>
  <c r="E1624" i="1"/>
  <c r="F1624" i="1"/>
  <c r="G1624" i="1"/>
  <c r="H1624" i="1"/>
  <c r="D1365" i="1"/>
  <c r="E1365" i="1"/>
  <c r="F1365" i="1"/>
  <c r="G1365" i="1"/>
  <c r="H1365" i="1"/>
  <c r="D1290" i="1"/>
  <c r="E1290" i="1"/>
  <c r="F1290" i="1"/>
  <c r="G1290" i="1"/>
  <c r="H1290" i="1"/>
  <c r="D361" i="1"/>
  <c r="E361" i="1"/>
  <c r="F361" i="1"/>
  <c r="G361" i="1"/>
  <c r="H361" i="1"/>
  <c r="D944" i="1"/>
  <c r="E944" i="1"/>
  <c r="F944" i="1"/>
  <c r="G944" i="1"/>
  <c r="H944" i="1"/>
  <c r="D138" i="1"/>
  <c r="E138" i="1"/>
  <c r="F138" i="1"/>
  <c r="G138" i="1"/>
  <c r="H138" i="1"/>
  <c r="D947" i="1"/>
  <c r="E947" i="1"/>
  <c r="F947" i="1"/>
  <c r="G947" i="1"/>
  <c r="H947" i="1"/>
  <c r="D1768" i="1"/>
  <c r="E1768" i="1"/>
  <c r="F1768" i="1"/>
  <c r="G1768" i="1"/>
  <c r="H1768" i="1"/>
  <c r="D658" i="1"/>
  <c r="E658" i="1"/>
  <c r="F658" i="1"/>
  <c r="G658" i="1"/>
  <c r="H658" i="1"/>
  <c r="D1344" i="1"/>
  <c r="E1344" i="1"/>
  <c r="F1344" i="1"/>
  <c r="G1344" i="1"/>
  <c r="H1344" i="1"/>
  <c r="D344" i="1"/>
  <c r="E344" i="1"/>
  <c r="F344" i="1"/>
  <c r="G344" i="1"/>
  <c r="H344" i="1"/>
  <c r="D623" i="1"/>
  <c r="E623" i="1"/>
  <c r="F623" i="1"/>
  <c r="G623" i="1"/>
  <c r="H623" i="1"/>
  <c r="D393" i="1"/>
  <c r="E393" i="1"/>
  <c r="F393" i="1"/>
  <c r="G393" i="1"/>
  <c r="H393" i="1"/>
  <c r="D1568" i="1"/>
  <c r="E1568" i="1"/>
  <c r="F1568" i="1"/>
  <c r="G1568" i="1"/>
  <c r="H1568" i="1"/>
  <c r="D932" i="1"/>
  <c r="E932" i="1"/>
  <c r="F932" i="1"/>
  <c r="G932" i="1"/>
  <c r="H932" i="1"/>
  <c r="D1247" i="1"/>
  <c r="E1247" i="1"/>
  <c r="F1247" i="1"/>
  <c r="G1247" i="1"/>
  <c r="H1247" i="1"/>
  <c r="D1425" i="1"/>
  <c r="E1425" i="1"/>
  <c r="F1425" i="1"/>
  <c r="G1425" i="1"/>
  <c r="H1425" i="1"/>
  <c r="D685" i="1"/>
  <c r="E685" i="1"/>
  <c r="F685" i="1"/>
  <c r="G685" i="1"/>
  <c r="H685" i="1"/>
  <c r="D484" i="1"/>
  <c r="E484" i="1"/>
  <c r="F484" i="1"/>
  <c r="G484" i="1"/>
  <c r="H484" i="1"/>
  <c r="D1014" i="1"/>
  <c r="E1014" i="1"/>
  <c r="F1014" i="1"/>
  <c r="G1014" i="1"/>
  <c r="H1014" i="1"/>
  <c r="D833" i="1"/>
  <c r="E833" i="1"/>
  <c r="F833" i="1"/>
  <c r="G833" i="1"/>
  <c r="H833" i="1"/>
  <c r="D1076" i="1"/>
  <c r="E1076" i="1"/>
  <c r="F1076" i="1"/>
  <c r="G1076" i="1"/>
  <c r="H1076" i="1"/>
  <c r="D770" i="1"/>
  <c r="E770" i="1"/>
  <c r="F770" i="1"/>
  <c r="G770" i="1"/>
  <c r="H770" i="1"/>
  <c r="D1060" i="1"/>
  <c r="E1060" i="1"/>
  <c r="F1060" i="1"/>
  <c r="G1060" i="1"/>
  <c r="H1060" i="1"/>
  <c r="D552" i="1"/>
  <c r="E552" i="1"/>
  <c r="F552" i="1"/>
  <c r="G552" i="1"/>
  <c r="H552" i="1"/>
  <c r="D752" i="1"/>
  <c r="E752" i="1"/>
  <c r="F752" i="1"/>
  <c r="G752" i="1"/>
  <c r="H752" i="1"/>
  <c r="D909" i="1"/>
  <c r="E909" i="1"/>
  <c r="F909" i="1"/>
  <c r="G909" i="1"/>
  <c r="H909" i="1"/>
  <c r="D262" i="1"/>
  <c r="E262" i="1"/>
  <c r="F262" i="1"/>
  <c r="G262" i="1"/>
  <c r="H262" i="1"/>
  <c r="D394" i="1"/>
  <c r="E394" i="1"/>
  <c r="F394" i="1"/>
  <c r="G394" i="1"/>
  <c r="H394" i="1"/>
  <c r="D561" i="1"/>
  <c r="E561" i="1"/>
  <c r="F561" i="1"/>
  <c r="G561" i="1"/>
  <c r="H561" i="1"/>
  <c r="D1757" i="1"/>
  <c r="E1757" i="1"/>
  <c r="F1757" i="1"/>
  <c r="G1757" i="1"/>
  <c r="H1757" i="1"/>
  <c r="D77" i="1"/>
  <c r="E77" i="1"/>
  <c r="F77" i="1"/>
  <c r="G77" i="1"/>
  <c r="H77" i="1"/>
  <c r="D116" i="1"/>
  <c r="E116" i="1"/>
  <c r="F116" i="1"/>
  <c r="G116" i="1"/>
  <c r="H116" i="1"/>
  <c r="D294" i="1"/>
  <c r="E294" i="1"/>
  <c r="F294" i="1"/>
  <c r="G294" i="1"/>
  <c r="H294" i="1"/>
  <c r="D396" i="1"/>
  <c r="E396" i="1"/>
  <c r="F396" i="1"/>
  <c r="G396" i="1"/>
  <c r="H396" i="1"/>
  <c r="D1126" i="1"/>
  <c r="E1126" i="1"/>
  <c r="F1126" i="1"/>
  <c r="G1126" i="1"/>
  <c r="H1126" i="1"/>
  <c r="D1756" i="1"/>
  <c r="E1756" i="1"/>
  <c r="F1756" i="1"/>
  <c r="G1756" i="1"/>
  <c r="H1756" i="1"/>
  <c r="D1545" i="1"/>
  <c r="E1545" i="1"/>
  <c r="F1545" i="1"/>
  <c r="G1545" i="1"/>
  <c r="H1545" i="1"/>
  <c r="D855" i="1"/>
  <c r="E855" i="1"/>
  <c r="F855" i="1"/>
  <c r="G855" i="1"/>
  <c r="H855" i="1"/>
  <c r="D1454" i="1"/>
  <c r="E1454" i="1"/>
  <c r="F1454" i="1"/>
  <c r="G1454" i="1"/>
  <c r="H1454" i="1"/>
  <c r="D245" i="1"/>
  <c r="E245" i="1"/>
  <c r="F245" i="1"/>
  <c r="G245" i="1"/>
  <c r="H245" i="1"/>
  <c r="D688" i="1"/>
  <c r="E688" i="1"/>
  <c r="F688" i="1"/>
  <c r="G688" i="1"/>
  <c r="H688" i="1"/>
  <c r="D953" i="1"/>
  <c r="E953" i="1"/>
  <c r="F953" i="1"/>
  <c r="G953" i="1"/>
  <c r="H953" i="1"/>
  <c r="D1273" i="1"/>
  <c r="E1273" i="1"/>
  <c r="F1273" i="1"/>
  <c r="G1273" i="1"/>
  <c r="H1273" i="1"/>
  <c r="D492" i="1"/>
  <c r="E492" i="1"/>
  <c r="F492" i="1"/>
  <c r="G492" i="1"/>
  <c r="H492" i="1"/>
  <c r="D136" i="1"/>
  <c r="E136" i="1"/>
  <c r="F136" i="1"/>
  <c r="G136" i="1"/>
  <c r="H136" i="1"/>
  <c r="D850" i="1"/>
  <c r="E850" i="1"/>
  <c r="F850" i="1"/>
  <c r="G850" i="1"/>
  <c r="H850" i="1"/>
  <c r="D250" i="1"/>
  <c r="E250" i="1"/>
  <c r="F250" i="1"/>
  <c r="G250" i="1"/>
  <c r="H250" i="1"/>
  <c r="D513" i="1"/>
  <c r="E513" i="1"/>
  <c r="F513" i="1"/>
  <c r="G513" i="1"/>
  <c r="H513" i="1"/>
  <c r="D212" i="1"/>
  <c r="E212" i="1"/>
  <c r="F212" i="1"/>
  <c r="G212" i="1"/>
  <c r="H212" i="1"/>
  <c r="D256" i="1"/>
  <c r="E256" i="1"/>
  <c r="F256" i="1"/>
  <c r="G256" i="1"/>
  <c r="H256" i="1"/>
  <c r="D151" i="1"/>
  <c r="E151" i="1"/>
  <c r="F151" i="1"/>
  <c r="G151" i="1"/>
  <c r="H151" i="1"/>
  <c r="D556" i="1"/>
  <c r="E556" i="1"/>
  <c r="F556" i="1"/>
  <c r="G556" i="1"/>
  <c r="H556" i="1"/>
  <c r="D1414" i="1"/>
  <c r="E1414" i="1"/>
  <c r="F1414" i="1"/>
  <c r="G1414" i="1"/>
  <c r="H1414" i="1"/>
  <c r="D1106" i="1"/>
  <c r="E1106" i="1"/>
  <c r="F1106" i="1"/>
  <c r="G1106" i="1"/>
  <c r="H1106" i="1"/>
  <c r="D49" i="1"/>
  <c r="E49" i="1"/>
  <c r="F49" i="1"/>
  <c r="G49" i="1"/>
  <c r="H49" i="1"/>
  <c r="D1268" i="1"/>
  <c r="E1268" i="1"/>
  <c r="F1268" i="1"/>
  <c r="G1268" i="1"/>
  <c r="H1268" i="1"/>
  <c r="D1301" i="1"/>
  <c r="E1301" i="1"/>
  <c r="F1301" i="1"/>
  <c r="G1301" i="1"/>
  <c r="H1301" i="1"/>
  <c r="D535" i="1"/>
  <c r="E535" i="1"/>
  <c r="F535" i="1"/>
  <c r="G535" i="1"/>
  <c r="H535" i="1"/>
  <c r="D800" i="1"/>
  <c r="E800" i="1"/>
  <c r="F800" i="1"/>
  <c r="G800" i="1"/>
  <c r="H800" i="1"/>
  <c r="D1708" i="1"/>
  <c r="E1708" i="1"/>
  <c r="F1708" i="1"/>
  <c r="G1708" i="1"/>
  <c r="H1708" i="1"/>
  <c r="D1618" i="1"/>
  <c r="E1618" i="1"/>
  <c r="F1618" i="1"/>
  <c r="G1618" i="1"/>
  <c r="H1618" i="1"/>
  <c r="D281" i="1"/>
  <c r="E281" i="1"/>
  <c r="F281" i="1"/>
  <c r="G281" i="1"/>
  <c r="H281" i="1"/>
  <c r="D1731" i="1"/>
  <c r="E1731" i="1"/>
  <c r="F1731" i="1"/>
  <c r="G1731" i="1"/>
  <c r="H1731" i="1"/>
  <c r="D1661" i="1"/>
  <c r="E1661" i="1"/>
  <c r="F1661" i="1"/>
  <c r="G1661" i="1"/>
  <c r="H1661" i="1"/>
  <c r="D380" i="1"/>
  <c r="E380" i="1"/>
  <c r="F380" i="1"/>
  <c r="G380" i="1"/>
  <c r="H380" i="1"/>
  <c r="D1073" i="1"/>
  <c r="E1073" i="1"/>
  <c r="F1073" i="1"/>
  <c r="G1073" i="1"/>
  <c r="H1073" i="1"/>
  <c r="D1428" i="1"/>
  <c r="E1428" i="1"/>
  <c r="F1428" i="1"/>
  <c r="G1428" i="1"/>
  <c r="H1428" i="1"/>
  <c r="D1125" i="1"/>
  <c r="E1125" i="1"/>
  <c r="F1125" i="1"/>
  <c r="G1125" i="1"/>
  <c r="H1125" i="1"/>
  <c r="D162" i="1"/>
  <c r="E162" i="1"/>
  <c r="F162" i="1"/>
  <c r="G162" i="1"/>
  <c r="H162" i="1"/>
  <c r="D720" i="1"/>
  <c r="E720" i="1"/>
  <c r="F720" i="1"/>
  <c r="G720" i="1"/>
  <c r="H720" i="1"/>
  <c r="D1262" i="1"/>
  <c r="E1262" i="1"/>
  <c r="F1262" i="1"/>
  <c r="G1262" i="1"/>
  <c r="H1262" i="1"/>
  <c r="D193" i="1"/>
  <c r="E193" i="1"/>
  <c r="F193" i="1"/>
  <c r="G193" i="1"/>
  <c r="H193" i="1"/>
  <c r="D1536" i="1"/>
  <c r="E1536" i="1"/>
  <c r="F1536" i="1"/>
  <c r="G1536" i="1"/>
  <c r="H1536" i="1"/>
  <c r="D572" i="1"/>
  <c r="E572" i="1"/>
  <c r="F572" i="1"/>
  <c r="G572" i="1"/>
  <c r="H572" i="1"/>
  <c r="D845" i="1"/>
  <c r="E845" i="1"/>
  <c r="F845" i="1"/>
  <c r="G845" i="1"/>
  <c r="H845" i="1"/>
  <c r="D356" i="1"/>
  <c r="E356" i="1"/>
  <c r="F356" i="1"/>
  <c r="G356" i="1"/>
  <c r="H356" i="1"/>
  <c r="D1196" i="1"/>
  <c r="E1196" i="1"/>
  <c r="F1196" i="1"/>
  <c r="G1196" i="1"/>
  <c r="H1196" i="1"/>
  <c r="D333" i="1"/>
  <c r="E333" i="1"/>
  <c r="F333" i="1"/>
  <c r="G333" i="1"/>
  <c r="H333" i="1"/>
  <c r="D67" i="1"/>
  <c r="E67" i="1"/>
  <c r="F67" i="1"/>
  <c r="G67" i="1"/>
  <c r="H67" i="1"/>
  <c r="D1343" i="1"/>
  <c r="E1343" i="1"/>
  <c r="F1343" i="1"/>
  <c r="G1343" i="1"/>
  <c r="H1343" i="1"/>
  <c r="D1070" i="1"/>
  <c r="E1070" i="1"/>
  <c r="F1070" i="1"/>
  <c r="G1070" i="1"/>
  <c r="H1070" i="1"/>
  <c r="D1160" i="1"/>
  <c r="E1160" i="1"/>
  <c r="F1160" i="1"/>
  <c r="G1160" i="1"/>
  <c r="H1160" i="1"/>
  <c r="D400" i="1"/>
  <c r="E400" i="1"/>
  <c r="F400" i="1"/>
  <c r="G400" i="1"/>
  <c r="H400" i="1"/>
  <c r="D3" i="1"/>
  <c r="E3" i="1"/>
  <c r="F3" i="1"/>
  <c r="G3" i="1"/>
  <c r="H3" i="1"/>
  <c r="D1750" i="1"/>
  <c r="E1750" i="1"/>
  <c r="F1750" i="1"/>
  <c r="G1750" i="1"/>
  <c r="H1750" i="1"/>
  <c r="D499" i="1"/>
  <c r="E499" i="1"/>
  <c r="F499" i="1"/>
  <c r="G499" i="1"/>
  <c r="H499" i="1"/>
  <c r="D961" i="1"/>
  <c r="E961" i="1"/>
  <c r="F961" i="1"/>
  <c r="G961" i="1"/>
  <c r="H961" i="1"/>
  <c r="D910" i="1"/>
  <c r="E910" i="1"/>
  <c r="F910" i="1"/>
  <c r="G910" i="1"/>
  <c r="H910" i="1"/>
  <c r="D880" i="1"/>
  <c r="E880" i="1"/>
  <c r="F880" i="1"/>
  <c r="G880" i="1"/>
  <c r="H880" i="1"/>
  <c r="D7" i="1"/>
  <c r="E7" i="1"/>
  <c r="F7" i="1"/>
  <c r="G7" i="1"/>
  <c r="H7" i="1"/>
  <c r="D1055" i="1"/>
  <c r="E1055" i="1"/>
  <c r="F1055" i="1"/>
  <c r="G1055" i="1"/>
  <c r="H1055" i="1"/>
  <c r="D1459" i="1"/>
  <c r="E1459" i="1"/>
  <c r="F1459" i="1"/>
  <c r="G1459" i="1"/>
  <c r="H1459" i="1"/>
  <c r="D1065" i="1"/>
  <c r="E1065" i="1"/>
  <c r="F1065" i="1"/>
  <c r="G1065" i="1"/>
  <c r="H1065" i="1"/>
  <c r="D1129" i="1"/>
  <c r="E1129" i="1"/>
  <c r="F1129" i="1"/>
  <c r="G1129" i="1"/>
  <c r="H1129" i="1"/>
  <c r="D1432" i="1"/>
  <c r="E1432" i="1"/>
  <c r="F1432" i="1"/>
  <c r="G1432" i="1"/>
  <c r="H1432" i="1"/>
  <c r="D266" i="1"/>
  <c r="E266" i="1"/>
  <c r="F266" i="1"/>
  <c r="G266" i="1"/>
  <c r="H266" i="1"/>
  <c r="D110" i="1"/>
  <c r="E110" i="1"/>
  <c r="F110" i="1"/>
  <c r="G110" i="1"/>
  <c r="H110" i="1"/>
  <c r="D1478" i="1"/>
  <c r="E1478" i="1"/>
  <c r="F1478" i="1"/>
  <c r="G1478" i="1"/>
  <c r="H1478" i="1"/>
  <c r="D566" i="1"/>
  <c r="E566" i="1"/>
  <c r="F566" i="1"/>
  <c r="G566" i="1"/>
  <c r="H566" i="1"/>
  <c r="D815" i="1"/>
  <c r="E815" i="1"/>
  <c r="F815" i="1"/>
  <c r="G815" i="1"/>
  <c r="H815" i="1"/>
  <c r="D1736" i="1"/>
  <c r="E1736" i="1"/>
  <c r="F1736" i="1"/>
  <c r="G1736" i="1"/>
  <c r="H1736" i="1"/>
  <c r="D625" i="1"/>
  <c r="E625" i="1"/>
  <c r="F625" i="1"/>
  <c r="G625" i="1"/>
  <c r="H625" i="1"/>
  <c r="D210" i="1"/>
  <c r="E210" i="1"/>
  <c r="F210" i="1"/>
  <c r="G210" i="1"/>
  <c r="H210" i="1"/>
  <c r="D717" i="1"/>
  <c r="E717" i="1"/>
  <c r="F717" i="1"/>
  <c r="G717" i="1"/>
  <c r="H717" i="1"/>
  <c r="D335" i="1"/>
  <c r="E335" i="1"/>
  <c r="F335" i="1"/>
  <c r="G335" i="1"/>
  <c r="H335" i="1"/>
  <c r="D674" i="1"/>
  <c r="E674" i="1"/>
  <c r="F674" i="1"/>
  <c r="G674" i="1"/>
  <c r="H674" i="1"/>
  <c r="D1356" i="1"/>
  <c r="E1356" i="1"/>
  <c r="F1356" i="1"/>
  <c r="G1356" i="1"/>
  <c r="H1356" i="1"/>
  <c r="D232" i="1"/>
  <c r="E232" i="1"/>
  <c r="F232" i="1"/>
  <c r="G232" i="1"/>
  <c r="H232" i="1"/>
  <c r="D1564" i="1"/>
  <c r="E1564" i="1"/>
  <c r="F1564" i="1"/>
  <c r="G1564" i="1"/>
  <c r="H1564" i="1"/>
  <c r="D1043" i="1"/>
  <c r="E1043" i="1"/>
  <c r="F1043" i="1"/>
  <c r="G1043" i="1"/>
  <c r="H1043" i="1"/>
  <c r="D1308" i="1"/>
  <c r="E1308" i="1"/>
  <c r="F1308" i="1"/>
  <c r="G1308" i="1"/>
  <c r="H1308" i="1"/>
  <c r="D298" i="1"/>
  <c r="E298" i="1"/>
  <c r="F298" i="1"/>
  <c r="G298" i="1"/>
  <c r="H298" i="1"/>
  <c r="D712" i="1"/>
  <c r="E712" i="1"/>
  <c r="F712" i="1"/>
  <c r="G712" i="1"/>
  <c r="H712" i="1"/>
  <c r="D216" i="1"/>
  <c r="E216" i="1"/>
  <c r="F216" i="1"/>
  <c r="G216" i="1"/>
  <c r="H216" i="1"/>
  <c r="D267" i="1"/>
  <c r="E267" i="1"/>
  <c r="F267" i="1"/>
  <c r="G267" i="1"/>
  <c r="H267" i="1"/>
  <c r="D656" i="1"/>
  <c r="E656" i="1"/>
  <c r="F656" i="1"/>
  <c r="G656" i="1"/>
  <c r="H656" i="1"/>
  <c r="D1382" i="1"/>
  <c r="E1382" i="1"/>
  <c r="F1382" i="1"/>
  <c r="G1382" i="1"/>
  <c r="H1382" i="1"/>
  <c r="D386" i="1"/>
  <c r="E386" i="1"/>
  <c r="F386" i="1"/>
  <c r="G386" i="1"/>
  <c r="H386" i="1"/>
  <c r="D1580" i="1"/>
  <c r="E1580" i="1"/>
  <c r="F1580" i="1"/>
  <c r="G1580" i="1"/>
  <c r="H1580" i="1"/>
  <c r="D1656" i="1"/>
  <c r="E1656" i="1"/>
  <c r="F1656" i="1"/>
  <c r="G1656" i="1"/>
  <c r="H1656" i="1"/>
  <c r="D991" i="1"/>
  <c r="E991" i="1"/>
  <c r="F991" i="1"/>
  <c r="G991" i="1"/>
  <c r="H991" i="1"/>
  <c r="D920" i="1"/>
  <c r="E920" i="1"/>
  <c r="F920" i="1"/>
  <c r="G920" i="1"/>
  <c r="H920" i="1"/>
  <c r="D618" i="1"/>
  <c r="E618" i="1"/>
  <c r="F618" i="1"/>
  <c r="G618" i="1"/>
  <c r="H618" i="1"/>
  <c r="D112" i="1"/>
  <c r="E112" i="1"/>
  <c r="F112" i="1"/>
  <c r="G112" i="1"/>
  <c r="H112" i="1"/>
  <c r="D755" i="1"/>
  <c r="E755" i="1"/>
  <c r="F755" i="1"/>
  <c r="G755" i="1"/>
  <c r="H755" i="1"/>
  <c r="D1510" i="1"/>
  <c r="E1510" i="1"/>
  <c r="F1510" i="1"/>
  <c r="G1510" i="1"/>
  <c r="H1510" i="1"/>
  <c r="D1355" i="1"/>
  <c r="E1355" i="1"/>
  <c r="F1355" i="1"/>
  <c r="G1355" i="1"/>
  <c r="H1355" i="1"/>
  <c r="D284" i="1"/>
  <c r="E284" i="1"/>
  <c r="F284" i="1"/>
  <c r="G284" i="1"/>
  <c r="H284" i="1"/>
  <c r="D1243" i="1"/>
  <c r="E1243" i="1"/>
  <c r="F1243" i="1"/>
  <c r="G1243" i="1"/>
  <c r="H1243" i="1"/>
  <c r="D968" i="1"/>
  <c r="E968" i="1"/>
  <c r="F968" i="1"/>
  <c r="G968" i="1"/>
  <c r="H968" i="1"/>
  <c r="D531" i="1"/>
  <c r="E531" i="1"/>
  <c r="F531" i="1"/>
  <c r="G531" i="1"/>
  <c r="H531" i="1"/>
  <c r="D1725" i="1"/>
  <c r="E1725" i="1"/>
  <c r="F1725" i="1"/>
  <c r="G1725" i="1"/>
  <c r="H1725" i="1"/>
  <c r="D1542" i="1"/>
  <c r="E1542" i="1"/>
  <c r="F1542" i="1"/>
  <c r="G1542" i="1"/>
  <c r="H1542" i="1"/>
  <c r="D1429" i="1"/>
  <c r="E1429" i="1"/>
  <c r="F1429" i="1"/>
  <c r="G1429" i="1"/>
  <c r="H1429" i="1"/>
  <c r="D1184" i="1"/>
  <c r="E1184" i="1"/>
  <c r="F1184" i="1"/>
  <c r="G1184" i="1"/>
  <c r="H1184" i="1"/>
  <c r="D1150" i="1"/>
  <c r="E1150" i="1"/>
  <c r="F1150" i="1"/>
  <c r="G1150" i="1"/>
  <c r="H1150" i="1"/>
  <c r="D891" i="1"/>
  <c r="E891" i="1"/>
  <c r="F891" i="1"/>
  <c r="G891" i="1"/>
  <c r="H891" i="1"/>
  <c r="D1131" i="1"/>
  <c r="E1131" i="1"/>
  <c r="F1131" i="1"/>
  <c r="G1131" i="1"/>
  <c r="H1131" i="1"/>
  <c r="D859" i="1"/>
  <c r="E859" i="1"/>
  <c r="F859" i="1"/>
  <c r="G859" i="1"/>
  <c r="H859" i="1"/>
  <c r="D1127" i="1"/>
  <c r="E1127" i="1"/>
  <c r="F1127" i="1"/>
  <c r="G1127" i="1"/>
  <c r="H1127" i="1"/>
  <c r="D1068" i="1"/>
  <c r="E1068" i="1"/>
  <c r="F1068" i="1"/>
  <c r="G1068" i="1"/>
  <c r="H1068" i="1"/>
  <c r="D1081" i="1"/>
  <c r="E1081" i="1"/>
  <c r="F1081" i="1"/>
  <c r="G1081" i="1"/>
  <c r="H1081" i="1"/>
  <c r="D1085" i="1"/>
  <c r="E1085" i="1"/>
  <c r="F1085" i="1"/>
  <c r="G1085" i="1"/>
  <c r="H1085" i="1"/>
  <c r="D1445" i="1"/>
  <c r="E1445" i="1"/>
  <c r="F1445" i="1"/>
  <c r="G1445" i="1"/>
  <c r="H1445" i="1"/>
  <c r="D1622" i="1"/>
  <c r="E1622" i="1"/>
  <c r="F1622" i="1"/>
  <c r="G1622" i="1"/>
  <c r="H1622" i="1"/>
  <c r="D1417" i="1"/>
  <c r="E1417" i="1"/>
  <c r="F1417" i="1"/>
  <c r="G1417" i="1"/>
  <c r="H1417" i="1"/>
  <c r="D579" i="1"/>
  <c r="E579" i="1"/>
  <c r="F579" i="1"/>
  <c r="G579" i="1"/>
  <c r="H579" i="1"/>
  <c r="D1734" i="1"/>
  <c r="E1734" i="1"/>
  <c r="F1734" i="1"/>
  <c r="G1734" i="1"/>
  <c r="H1734" i="1"/>
  <c r="D305" i="1"/>
  <c r="E305" i="1"/>
  <c r="F305" i="1"/>
  <c r="G305" i="1"/>
  <c r="H305" i="1"/>
  <c r="D1351" i="1"/>
  <c r="E1351" i="1"/>
  <c r="F1351" i="1"/>
  <c r="G1351" i="1"/>
  <c r="H1351" i="1"/>
  <c r="D1471" i="1"/>
  <c r="E1471" i="1"/>
  <c r="F1471" i="1"/>
  <c r="G1471" i="1"/>
  <c r="H1471" i="1"/>
  <c r="D960" i="1"/>
  <c r="E960" i="1"/>
  <c r="F960" i="1"/>
  <c r="G960" i="1"/>
  <c r="H960" i="1"/>
  <c r="D537" i="1"/>
  <c r="E537" i="1"/>
  <c r="F537" i="1"/>
  <c r="G537" i="1"/>
  <c r="H537" i="1"/>
  <c r="D459" i="1"/>
  <c r="E459" i="1"/>
  <c r="F459" i="1"/>
  <c r="G459" i="1"/>
  <c r="H459" i="1"/>
  <c r="D1637" i="1"/>
  <c r="E1637" i="1"/>
  <c r="F1637" i="1"/>
  <c r="G1637" i="1"/>
  <c r="H1637" i="1"/>
  <c r="D213" i="1"/>
  <c r="E213" i="1"/>
  <c r="F213" i="1"/>
  <c r="G213" i="1"/>
  <c r="H213" i="1"/>
  <c r="D290" i="1"/>
  <c r="E290" i="1"/>
  <c r="F290" i="1"/>
  <c r="G290" i="1"/>
  <c r="H290" i="1"/>
  <c r="D16" i="1"/>
  <c r="E16" i="1"/>
  <c r="F16" i="1"/>
  <c r="G16" i="1"/>
  <c r="H16" i="1"/>
  <c r="D446" i="1"/>
  <c r="E446" i="1"/>
  <c r="F446" i="1"/>
  <c r="G446" i="1"/>
  <c r="H446" i="1"/>
  <c r="D1684" i="1"/>
  <c r="E1684" i="1"/>
  <c r="F1684" i="1"/>
  <c r="G1684" i="1"/>
  <c r="H1684" i="1"/>
  <c r="D56" i="1"/>
  <c r="E56" i="1"/>
  <c r="F56" i="1"/>
  <c r="G56" i="1"/>
  <c r="H56" i="1"/>
  <c r="D80" i="1"/>
  <c r="E80" i="1"/>
  <c r="F80" i="1"/>
  <c r="G80" i="1"/>
  <c r="H80" i="1"/>
  <c r="D183" i="1"/>
  <c r="E183" i="1"/>
  <c r="F183" i="1"/>
  <c r="G183" i="1"/>
  <c r="H183" i="1"/>
  <c r="D1434" i="1"/>
  <c r="E1434" i="1"/>
  <c r="F1434" i="1"/>
  <c r="G1434" i="1"/>
  <c r="H1434" i="1"/>
  <c r="D1473" i="1"/>
  <c r="E1473" i="1"/>
  <c r="F1473" i="1"/>
  <c r="G1473" i="1"/>
  <c r="H1473" i="1"/>
  <c r="D1013" i="1"/>
  <c r="E1013" i="1"/>
  <c r="F1013" i="1"/>
  <c r="G1013" i="1"/>
  <c r="H1013" i="1"/>
  <c r="D211" i="1"/>
  <c r="E211" i="1"/>
  <c r="F211" i="1"/>
  <c r="G211" i="1"/>
  <c r="H211" i="1"/>
  <c r="D1240" i="1"/>
  <c r="E1240" i="1"/>
  <c r="F1240" i="1"/>
  <c r="G1240" i="1"/>
  <c r="H1240" i="1"/>
  <c r="D20" i="1"/>
  <c r="E20" i="1"/>
  <c r="F20" i="1"/>
  <c r="G20" i="1"/>
  <c r="H20" i="1"/>
  <c r="D1110" i="1"/>
  <c r="E1110" i="1"/>
  <c r="F1110" i="1"/>
  <c r="G1110" i="1"/>
  <c r="H1110" i="1"/>
  <c r="D1108" i="1"/>
  <c r="E1108" i="1"/>
  <c r="F1108" i="1"/>
  <c r="G1108" i="1"/>
  <c r="H1108" i="1"/>
  <c r="D1122" i="1"/>
  <c r="E1122" i="1"/>
  <c r="F1122" i="1"/>
  <c r="G1122" i="1"/>
  <c r="H1122" i="1"/>
  <c r="D168" i="1"/>
  <c r="E168" i="1"/>
  <c r="F168" i="1"/>
  <c r="G168" i="1"/>
  <c r="H168" i="1"/>
  <c r="D1437" i="1"/>
  <c r="E1437" i="1"/>
  <c r="F1437" i="1"/>
  <c r="G1437" i="1"/>
  <c r="H1437" i="1"/>
  <c r="D1377" i="1"/>
  <c r="E1377" i="1"/>
  <c r="F1377" i="1"/>
  <c r="G1377" i="1"/>
  <c r="H1377" i="1"/>
  <c r="D283" i="1"/>
  <c r="E283" i="1"/>
  <c r="F283" i="1"/>
  <c r="G283" i="1"/>
  <c r="H283" i="1"/>
  <c r="D1538" i="1"/>
  <c r="E1538" i="1"/>
  <c r="F1538" i="1"/>
  <c r="G1538" i="1"/>
  <c r="H1538" i="1"/>
  <c r="D1089" i="1"/>
  <c r="E1089" i="1"/>
  <c r="F1089" i="1"/>
  <c r="G1089" i="1"/>
  <c r="H1089" i="1"/>
  <c r="D1705" i="1"/>
  <c r="E1705" i="1"/>
  <c r="F1705" i="1"/>
  <c r="G1705" i="1"/>
  <c r="H1705" i="1"/>
  <c r="D1759" i="1"/>
  <c r="E1759" i="1"/>
  <c r="F1759" i="1"/>
  <c r="G1759" i="1"/>
  <c r="H1759" i="1"/>
  <c r="D1379" i="1"/>
  <c r="E1379" i="1"/>
  <c r="F1379" i="1"/>
  <c r="G1379" i="1"/>
  <c r="H1379" i="1"/>
  <c r="D1634" i="1"/>
  <c r="E1634" i="1"/>
  <c r="F1634" i="1"/>
  <c r="G1634" i="1"/>
  <c r="H1634" i="1"/>
  <c r="D1553" i="1"/>
  <c r="E1553" i="1"/>
  <c r="F1553" i="1"/>
  <c r="G1553" i="1"/>
  <c r="H1553" i="1"/>
  <c r="D324" i="1"/>
  <c r="E324" i="1"/>
  <c r="F324" i="1"/>
  <c r="G324" i="1"/>
  <c r="H324" i="1"/>
  <c r="D38" i="1"/>
  <c r="E38" i="1"/>
  <c r="F38" i="1"/>
  <c r="G38" i="1"/>
  <c r="H38" i="1"/>
  <c r="D1312" i="1"/>
  <c r="E1312" i="1"/>
  <c r="F1312" i="1"/>
  <c r="G1312" i="1"/>
  <c r="H1312" i="1"/>
  <c r="D998" i="1"/>
  <c r="E998" i="1"/>
  <c r="F998" i="1"/>
  <c r="G998" i="1"/>
  <c r="H998" i="1"/>
  <c r="D182" i="1"/>
  <c r="E182" i="1"/>
  <c r="F182" i="1"/>
  <c r="G182" i="1"/>
  <c r="H182" i="1"/>
  <c r="D1713" i="1"/>
  <c r="E1713" i="1"/>
  <c r="F1713" i="1"/>
  <c r="G1713" i="1"/>
  <c r="H1713" i="1"/>
  <c r="D1469" i="1"/>
  <c r="E1469" i="1"/>
  <c r="F1469" i="1"/>
  <c r="G1469" i="1"/>
  <c r="H1469" i="1"/>
  <c r="D457" i="1"/>
  <c r="E457" i="1"/>
  <c r="F457" i="1"/>
  <c r="G457" i="1"/>
  <c r="H457" i="1"/>
  <c r="D493" i="1"/>
  <c r="E493" i="1"/>
  <c r="F493" i="1"/>
  <c r="G493" i="1"/>
  <c r="H493" i="1"/>
  <c r="D824" i="1"/>
  <c r="E824" i="1"/>
  <c r="F824" i="1"/>
  <c r="G824" i="1"/>
  <c r="H824" i="1"/>
  <c r="D1682" i="1"/>
  <c r="E1682" i="1"/>
  <c r="F1682" i="1"/>
  <c r="G1682" i="1"/>
  <c r="H1682" i="1"/>
  <c r="D1000" i="1"/>
  <c r="E1000" i="1"/>
  <c r="F1000" i="1"/>
  <c r="G1000" i="1"/>
  <c r="H1000" i="1"/>
  <c r="D830" i="1"/>
  <c r="E830" i="1"/>
  <c r="F830" i="1"/>
  <c r="G830" i="1"/>
  <c r="H830" i="1"/>
  <c r="D528" i="1"/>
  <c r="E528" i="1"/>
  <c r="F528" i="1"/>
  <c r="G528" i="1"/>
  <c r="H528" i="1"/>
  <c r="D1628" i="1"/>
  <c r="E1628" i="1"/>
  <c r="F1628" i="1"/>
  <c r="G1628" i="1"/>
  <c r="H1628" i="1"/>
  <c r="D549" i="1"/>
  <c r="E549" i="1"/>
  <c r="F549" i="1"/>
  <c r="G549" i="1"/>
  <c r="H549" i="1"/>
  <c r="D657" i="1"/>
  <c r="E657" i="1"/>
  <c r="F657" i="1"/>
  <c r="G657" i="1"/>
  <c r="H657" i="1"/>
  <c r="D1323" i="1"/>
  <c r="E1323" i="1"/>
  <c r="F1323" i="1"/>
  <c r="G1323" i="1"/>
  <c r="H1323" i="1"/>
  <c r="D81" i="1"/>
  <c r="E81" i="1"/>
  <c r="F81" i="1"/>
  <c r="G81" i="1"/>
  <c r="H81" i="1"/>
  <c r="D1114" i="1"/>
  <c r="E1114" i="1"/>
  <c r="F1114" i="1"/>
  <c r="G1114" i="1"/>
  <c r="H1114" i="1"/>
  <c r="D616" i="1"/>
  <c r="E616" i="1"/>
  <c r="F616" i="1"/>
  <c r="G616" i="1"/>
  <c r="H616" i="1"/>
  <c r="D65" i="1"/>
  <c r="E65" i="1"/>
  <c r="F65" i="1"/>
  <c r="G65" i="1"/>
  <c r="H65" i="1"/>
  <c r="D443" i="1"/>
  <c r="E443" i="1"/>
  <c r="F443" i="1"/>
  <c r="G443" i="1"/>
  <c r="H443" i="1"/>
  <c r="D790" i="1"/>
  <c r="E790" i="1"/>
  <c r="F790" i="1"/>
  <c r="G790" i="1"/>
  <c r="H790" i="1"/>
  <c r="D1385" i="1"/>
  <c r="E1385" i="1"/>
  <c r="F1385" i="1"/>
  <c r="G1385" i="1"/>
  <c r="H1385" i="1"/>
  <c r="D702" i="1"/>
  <c r="E702" i="1"/>
  <c r="F702" i="1"/>
  <c r="G702" i="1"/>
  <c r="H702" i="1"/>
  <c r="D1140" i="1"/>
  <c r="E1140" i="1"/>
  <c r="F1140" i="1"/>
  <c r="G1140" i="1"/>
  <c r="H1140" i="1"/>
  <c r="D195" i="1"/>
  <c r="E195" i="1"/>
  <c r="F195" i="1"/>
  <c r="G195" i="1"/>
  <c r="H195" i="1"/>
  <c r="D649" i="1"/>
  <c r="E649" i="1"/>
  <c r="F649" i="1"/>
  <c r="G649" i="1"/>
  <c r="H649" i="1"/>
  <c r="D1115" i="1"/>
  <c r="E1115" i="1"/>
  <c r="F1115" i="1"/>
  <c r="G1115" i="1"/>
  <c r="H1115" i="1"/>
  <c r="D1025" i="1"/>
  <c r="E1025" i="1"/>
  <c r="F1025" i="1"/>
  <c r="G1025" i="1"/>
  <c r="H1025" i="1"/>
  <c r="D1386" i="1"/>
  <c r="E1386" i="1"/>
  <c r="F1386" i="1"/>
  <c r="G1386" i="1"/>
  <c r="H1386" i="1"/>
  <c r="D988" i="1"/>
  <c r="E988" i="1"/>
  <c r="F988" i="1"/>
  <c r="G988" i="1"/>
  <c r="H988" i="1"/>
  <c r="D812" i="1"/>
  <c r="E812" i="1"/>
  <c r="F812" i="1"/>
  <c r="G812" i="1"/>
  <c r="H812" i="1"/>
  <c r="D753" i="1"/>
  <c r="E753" i="1"/>
  <c r="F753" i="1"/>
  <c r="G753" i="1"/>
  <c r="H753" i="1"/>
  <c r="D706" i="1"/>
  <c r="E706" i="1"/>
  <c r="F706" i="1"/>
  <c r="G706" i="1"/>
  <c r="H706" i="1"/>
  <c r="D713" i="1"/>
  <c r="E713" i="1"/>
  <c r="F713" i="1"/>
  <c r="G713" i="1"/>
  <c r="H713" i="1"/>
  <c r="D275" i="1"/>
  <c r="E275" i="1"/>
  <c r="F275" i="1"/>
  <c r="G275" i="1"/>
  <c r="H275" i="1"/>
  <c r="D1749" i="1"/>
  <c r="E1749" i="1"/>
  <c r="F1749" i="1"/>
  <c r="G1749" i="1"/>
  <c r="H1749" i="1"/>
  <c r="D169" i="1"/>
  <c r="E169" i="1"/>
  <c r="F169" i="1"/>
  <c r="G169" i="1"/>
  <c r="H169" i="1"/>
  <c r="D1461" i="1"/>
  <c r="E1461" i="1"/>
  <c r="F1461" i="1"/>
  <c r="G1461" i="1"/>
  <c r="H1461" i="1"/>
  <c r="D612" i="1"/>
  <c r="E612" i="1"/>
  <c r="F612" i="1"/>
  <c r="G612" i="1"/>
  <c r="H612" i="1"/>
  <c r="D1744" i="1"/>
  <c r="E1744" i="1"/>
  <c r="F1744" i="1"/>
  <c r="G1744" i="1"/>
  <c r="H1744" i="1"/>
  <c r="D1670" i="1"/>
  <c r="E1670" i="1"/>
  <c r="F1670" i="1"/>
  <c r="G1670" i="1"/>
  <c r="H1670" i="1"/>
  <c r="D971" i="1"/>
  <c r="E971" i="1"/>
  <c r="F971" i="1"/>
  <c r="G971" i="1"/>
  <c r="H971" i="1"/>
  <c r="D825" i="1"/>
  <c r="E825" i="1"/>
  <c r="F825" i="1"/>
  <c r="G825" i="1"/>
  <c r="H825" i="1"/>
  <c r="D1769" i="1"/>
  <c r="E1769" i="1"/>
  <c r="F1769" i="1"/>
  <c r="G1769" i="1"/>
  <c r="H1769" i="1"/>
  <c r="D1439" i="1"/>
  <c r="E1439" i="1"/>
  <c r="F1439" i="1"/>
  <c r="G1439" i="1"/>
  <c r="H1439" i="1"/>
  <c r="D543" i="1"/>
  <c r="E543" i="1"/>
  <c r="F543" i="1"/>
  <c r="G543" i="1"/>
  <c r="H543" i="1"/>
  <c r="D1218" i="1"/>
  <c r="E1218" i="1"/>
  <c r="F1218" i="1"/>
  <c r="G1218" i="1"/>
  <c r="H1218" i="1"/>
  <c r="D632" i="1"/>
  <c r="E632" i="1"/>
  <c r="F632" i="1"/>
  <c r="G632" i="1"/>
  <c r="H632" i="1"/>
  <c r="D1259" i="1"/>
  <c r="E1259" i="1"/>
  <c r="F1259" i="1"/>
  <c r="G1259" i="1"/>
  <c r="H1259" i="1"/>
  <c r="D1255" i="1"/>
  <c r="E1255" i="1"/>
  <c r="F1255" i="1"/>
  <c r="G1255" i="1"/>
  <c r="H1255" i="1"/>
  <c r="D1225" i="1"/>
  <c r="E1225" i="1"/>
  <c r="F1225" i="1"/>
  <c r="G1225" i="1"/>
  <c r="H1225" i="1"/>
  <c r="D1484" i="1"/>
  <c r="E1484" i="1"/>
  <c r="F1484" i="1"/>
  <c r="G1484" i="1"/>
  <c r="H1484" i="1"/>
  <c r="D551" i="1"/>
  <c r="E551" i="1"/>
  <c r="F551" i="1"/>
  <c r="G551" i="1"/>
  <c r="H551" i="1"/>
  <c r="D42" i="1"/>
  <c r="E42" i="1"/>
  <c r="F42" i="1"/>
  <c r="G42" i="1"/>
  <c r="H42" i="1"/>
  <c r="D58" i="1"/>
  <c r="E58" i="1"/>
  <c r="F58" i="1"/>
  <c r="G58" i="1"/>
  <c r="H58" i="1"/>
  <c r="D1652" i="1"/>
  <c r="E1652" i="1"/>
  <c r="F1652" i="1"/>
  <c r="G1652" i="1"/>
  <c r="H1652" i="1"/>
  <c r="D1209" i="1"/>
  <c r="E1209" i="1"/>
  <c r="F1209" i="1"/>
  <c r="G1209" i="1"/>
  <c r="H1209" i="1"/>
  <c r="D412" i="1"/>
  <c r="E412" i="1"/>
  <c r="F412" i="1"/>
  <c r="G412" i="1"/>
  <c r="H412" i="1"/>
  <c r="D826" i="1"/>
  <c r="E826" i="1"/>
  <c r="F826" i="1"/>
  <c r="G826" i="1"/>
  <c r="H826" i="1"/>
  <c r="D1324" i="1"/>
  <c r="E1324" i="1"/>
  <c r="F1324" i="1"/>
  <c r="G1324" i="1"/>
  <c r="H1324" i="1"/>
  <c r="D1481" i="1"/>
  <c r="E1481" i="1"/>
  <c r="F1481" i="1"/>
  <c r="G1481" i="1"/>
  <c r="H1481" i="1"/>
  <c r="D219" i="1"/>
  <c r="E219" i="1"/>
  <c r="F219" i="1"/>
  <c r="G219" i="1"/>
  <c r="H219" i="1"/>
  <c r="D1104" i="1"/>
  <c r="E1104" i="1"/>
  <c r="F1104" i="1"/>
  <c r="G1104" i="1"/>
  <c r="H1104" i="1"/>
  <c r="D837" i="1"/>
  <c r="E837" i="1"/>
  <c r="F837" i="1"/>
  <c r="G837" i="1"/>
  <c r="H837" i="1"/>
  <c r="D709" i="1"/>
  <c r="E709" i="1"/>
  <c r="F709" i="1"/>
  <c r="G709" i="1"/>
  <c r="H709" i="1"/>
  <c r="D1199" i="1"/>
  <c r="E1199" i="1"/>
  <c r="F1199" i="1"/>
  <c r="G1199" i="1"/>
  <c r="H1199" i="1"/>
  <c r="D306" i="1"/>
  <c r="E306" i="1"/>
  <c r="F306" i="1"/>
  <c r="G306" i="1"/>
  <c r="H306" i="1"/>
  <c r="D1304" i="1"/>
  <c r="E1304" i="1"/>
  <c r="F1304" i="1"/>
  <c r="G1304" i="1"/>
  <c r="H1304" i="1"/>
  <c r="D143" i="1"/>
  <c r="E143" i="1"/>
  <c r="F143" i="1"/>
  <c r="G143" i="1"/>
  <c r="H143" i="1"/>
  <c r="D1177" i="1"/>
  <c r="E1177" i="1"/>
  <c r="F1177" i="1"/>
  <c r="G1177" i="1"/>
  <c r="H1177" i="1"/>
  <c r="D1254" i="1"/>
  <c r="E1254" i="1"/>
  <c r="F1254" i="1"/>
  <c r="G1254" i="1"/>
  <c r="H1254" i="1"/>
  <c r="D651" i="1"/>
  <c r="E651" i="1"/>
  <c r="F651" i="1"/>
  <c r="G651" i="1"/>
  <c r="H651" i="1"/>
  <c r="D330" i="1"/>
  <c r="E330" i="1"/>
  <c r="F330" i="1"/>
  <c r="G330" i="1"/>
  <c r="H330" i="1"/>
  <c r="D607" i="1"/>
  <c r="E607" i="1"/>
  <c r="F607" i="1"/>
  <c r="G607" i="1"/>
  <c r="H607" i="1"/>
  <c r="D1533" i="1"/>
  <c r="E1533" i="1"/>
  <c r="F1533" i="1"/>
  <c r="G1533" i="1"/>
  <c r="H1533" i="1"/>
  <c r="D276" i="1"/>
  <c r="E276" i="1"/>
  <c r="F276" i="1"/>
  <c r="G276" i="1"/>
  <c r="H276" i="1"/>
  <c r="D550" i="1"/>
  <c r="E550" i="1"/>
  <c r="F550" i="1"/>
  <c r="G550" i="1"/>
  <c r="H550" i="1"/>
  <c r="D1346" i="1"/>
  <c r="E1346" i="1"/>
  <c r="F1346" i="1"/>
  <c r="G1346" i="1"/>
  <c r="H1346" i="1"/>
  <c r="D1751" i="1"/>
  <c r="E1751" i="1"/>
  <c r="F1751" i="1"/>
  <c r="G1751" i="1"/>
  <c r="H1751" i="1"/>
  <c r="D353" i="1"/>
  <c r="E353" i="1"/>
  <c r="F353" i="1"/>
  <c r="G353" i="1"/>
  <c r="H353" i="1"/>
  <c r="D1128" i="1"/>
  <c r="E1128" i="1"/>
  <c r="F1128" i="1"/>
  <c r="G1128" i="1"/>
  <c r="H1128" i="1"/>
  <c r="D273" i="1"/>
  <c r="E273" i="1"/>
  <c r="F273" i="1"/>
  <c r="G273" i="1"/>
  <c r="H273" i="1"/>
  <c r="D1166" i="1"/>
  <c r="E1166" i="1"/>
  <c r="F1166" i="1"/>
  <c r="G1166" i="1"/>
  <c r="H1166" i="1"/>
  <c r="D738" i="1"/>
  <c r="E738" i="1"/>
  <c r="F738" i="1"/>
  <c r="G738" i="1"/>
  <c r="H738" i="1"/>
  <c r="D1008" i="1"/>
  <c r="E1008" i="1"/>
  <c r="F1008" i="1"/>
  <c r="G1008" i="1"/>
  <c r="H1008" i="1"/>
  <c r="D464" i="1"/>
  <c r="E464" i="1"/>
  <c r="F464" i="1"/>
  <c r="G464" i="1"/>
  <c r="H464" i="1"/>
  <c r="D131" i="1"/>
  <c r="E131" i="1"/>
  <c r="F131" i="1"/>
  <c r="G131" i="1"/>
  <c r="H131" i="1"/>
  <c r="D635" i="1"/>
  <c r="E635" i="1"/>
  <c r="F635" i="1"/>
  <c r="G635" i="1"/>
  <c r="H635" i="1"/>
  <c r="D1755" i="1"/>
  <c r="E1755" i="1"/>
  <c r="F1755" i="1"/>
  <c r="G1755" i="1"/>
  <c r="H1755" i="1"/>
  <c r="D584" i="1"/>
  <c r="E584" i="1"/>
  <c r="F584" i="1"/>
  <c r="G584" i="1"/>
  <c r="H584" i="1"/>
  <c r="D1543" i="1"/>
  <c r="E1543" i="1"/>
  <c r="F1543" i="1"/>
  <c r="G1543" i="1"/>
  <c r="H1543" i="1"/>
  <c r="D1231" i="1"/>
  <c r="E1231" i="1"/>
  <c r="F1231" i="1"/>
  <c r="G1231" i="1"/>
  <c r="H1231" i="1"/>
  <c r="D1066" i="1"/>
  <c r="E1066" i="1"/>
  <c r="F1066" i="1"/>
  <c r="G1066" i="1"/>
  <c r="H1066" i="1"/>
  <c r="D1422" i="1"/>
  <c r="E1422" i="1"/>
  <c r="F1422" i="1"/>
  <c r="G1422" i="1"/>
  <c r="H1422" i="1"/>
  <c r="D1090" i="1"/>
  <c r="E1090" i="1"/>
  <c r="F1090" i="1"/>
  <c r="G1090" i="1"/>
  <c r="H1090" i="1"/>
  <c r="D122" i="1"/>
  <c r="E122" i="1"/>
  <c r="F122" i="1"/>
  <c r="G122" i="1"/>
  <c r="H122" i="1"/>
  <c r="D166" i="1"/>
  <c r="E166" i="1"/>
  <c r="F166" i="1"/>
  <c r="G166" i="1"/>
  <c r="H166" i="1"/>
  <c r="D526" i="1"/>
  <c r="E526" i="1"/>
  <c r="F526" i="1"/>
  <c r="G526" i="1"/>
  <c r="H526" i="1"/>
  <c r="D1015" i="1"/>
  <c r="E1015" i="1"/>
  <c r="F1015" i="1"/>
  <c r="G1015" i="1"/>
  <c r="H1015" i="1"/>
  <c r="D366" i="1"/>
  <c r="E366" i="1"/>
  <c r="F366" i="1"/>
  <c r="G366" i="1"/>
  <c r="H366" i="1"/>
  <c r="D1462" i="1"/>
  <c r="E1462" i="1"/>
  <c r="F1462" i="1"/>
  <c r="G1462" i="1"/>
  <c r="H1462" i="1"/>
  <c r="D310" i="1"/>
  <c r="E310" i="1"/>
  <c r="F310" i="1"/>
  <c r="G310" i="1"/>
  <c r="H310" i="1"/>
  <c r="D1489" i="1"/>
  <c r="E1489" i="1"/>
  <c r="F1489" i="1"/>
  <c r="G1489" i="1"/>
  <c r="H1489" i="1"/>
  <c r="D1264" i="1"/>
  <c r="E1264" i="1"/>
  <c r="F1264" i="1"/>
  <c r="G1264" i="1"/>
  <c r="H1264" i="1"/>
  <c r="D731" i="1"/>
  <c r="E731" i="1"/>
  <c r="F731" i="1"/>
  <c r="G731" i="1"/>
  <c r="H731" i="1"/>
  <c r="D1765" i="1"/>
  <c r="E1765" i="1"/>
  <c r="F1765" i="1"/>
  <c r="G1765" i="1"/>
  <c r="H1765" i="1"/>
  <c r="D1412" i="1"/>
  <c r="E1412" i="1"/>
  <c r="F1412" i="1"/>
  <c r="G1412" i="1"/>
  <c r="H1412" i="1"/>
  <c r="D1353" i="1"/>
  <c r="E1353" i="1"/>
  <c r="F1353" i="1"/>
  <c r="G1353" i="1"/>
  <c r="H1353" i="1"/>
  <c r="D258" i="1"/>
  <c r="E258" i="1"/>
  <c r="G258" i="1"/>
  <c r="H258" i="1"/>
  <c r="D21" i="4" l="1"/>
  <c r="E21" i="4" s="1"/>
  <c r="D31" i="4"/>
  <c r="E31" i="4" s="1"/>
  <c r="D22" i="4"/>
  <c r="E22" i="4" s="1"/>
  <c r="D43" i="4"/>
  <c r="E43" i="4" s="1"/>
  <c r="D42" i="4"/>
  <c r="E42" i="4" s="1"/>
  <c r="D30" i="4"/>
  <c r="E30" i="4" s="1"/>
  <c r="I848" i="1"/>
  <c r="I951" i="1"/>
  <c r="I1398" i="1"/>
  <c r="I1148" i="1"/>
  <c r="I541" i="1"/>
  <c r="I1730" i="1"/>
  <c r="I366" i="1"/>
  <c r="I276" i="1"/>
  <c r="I16" i="1"/>
  <c r="I855" i="1"/>
  <c r="I1757" i="1"/>
  <c r="I82" i="1"/>
  <c r="I878" i="1"/>
  <c r="I387" i="1"/>
  <c r="I1352" i="1"/>
  <c r="I1265" i="1"/>
  <c r="I1707" i="1"/>
  <c r="I229" i="1"/>
  <c r="I745" i="1"/>
  <c r="I1305" i="1"/>
  <c r="I534" i="1"/>
  <c r="I1236" i="1"/>
  <c r="I653" i="1"/>
  <c r="I1037" i="1"/>
  <c r="I925" i="1"/>
  <c r="I1745" i="1"/>
  <c r="I533" i="1"/>
  <c r="I1641" i="1"/>
  <c r="I22" i="1"/>
  <c r="I62" i="1"/>
  <c r="I782" i="1"/>
  <c r="I1457" i="1"/>
  <c r="I958" i="1"/>
  <c r="I900" i="1"/>
  <c r="I25" i="1"/>
  <c r="I1477" i="1"/>
  <c r="I969" i="1"/>
  <c r="I300" i="1"/>
  <c r="I1035" i="1"/>
  <c r="I505" i="1"/>
  <c r="I1635" i="1"/>
  <c r="I734" i="1"/>
  <c r="I496" i="1"/>
  <c r="I126" i="1"/>
  <c r="I57" i="1"/>
  <c r="I124" i="1"/>
  <c r="I8" i="1"/>
  <c r="I816" i="1"/>
  <c r="I1172" i="1"/>
  <c r="I1659" i="1"/>
  <c r="I532" i="1"/>
  <c r="I812" i="1"/>
  <c r="I880" i="1"/>
  <c r="I1323" i="1"/>
  <c r="I712" i="1"/>
  <c r="I65" i="1"/>
  <c r="I1162" i="1"/>
  <c r="I1284" i="1"/>
  <c r="I1491" i="1"/>
  <c r="I1128" i="1"/>
  <c r="I525" i="1"/>
  <c r="I592" i="1"/>
  <c r="I55" i="1"/>
  <c r="I529" i="1"/>
  <c r="I840" i="1"/>
  <c r="I1194" i="1"/>
  <c r="I471" i="1"/>
  <c r="I1298" i="1"/>
  <c r="I1651" i="1"/>
  <c r="I1039" i="1"/>
  <c r="I766" i="1"/>
  <c r="I679" i="1"/>
  <c r="I922" i="1"/>
  <c r="I836" i="1"/>
  <c r="I1268" i="1"/>
  <c r="I549" i="1"/>
  <c r="I1364" i="1"/>
  <c r="I1556" i="1"/>
  <c r="I1448" i="1"/>
  <c r="I30" i="1"/>
  <c r="I1326" i="1"/>
  <c r="I449" i="1"/>
  <c r="I1220" i="1"/>
  <c r="I1170" i="1"/>
  <c r="I821" i="1"/>
  <c r="I838" i="1"/>
  <c r="I180" i="1"/>
  <c r="I1687" i="1"/>
  <c r="I1375" i="1"/>
  <c r="I1353" i="1"/>
  <c r="I1751" i="1"/>
  <c r="I686" i="1"/>
  <c r="I1409" i="1"/>
  <c r="I984" i="1"/>
  <c r="I377" i="1"/>
  <c r="I1387" i="1"/>
  <c r="I248" i="1"/>
  <c r="I1200" i="1"/>
  <c r="D10" i="4"/>
  <c r="E10" i="4" s="1"/>
  <c r="I1008" i="1"/>
  <c r="I1481" i="1"/>
  <c r="I1140" i="1"/>
  <c r="I953" i="1"/>
  <c r="I1573" i="1"/>
  <c r="I892" i="1"/>
  <c r="I191" i="1"/>
  <c r="I1163" i="1"/>
  <c r="I1019" i="1"/>
  <c r="I1450" i="1"/>
  <c r="I486" i="1"/>
  <c r="I451" i="1"/>
  <c r="I1229" i="1"/>
  <c r="I1605" i="1"/>
  <c r="I1341" i="1"/>
  <c r="I1117" i="1"/>
  <c r="I274" i="1"/>
  <c r="I797" i="1"/>
  <c r="I172" i="1"/>
  <c r="I1010" i="1"/>
  <c r="I1569" i="1"/>
  <c r="I1513" i="1"/>
  <c r="I93" i="1"/>
  <c r="I808" i="1"/>
  <c r="I1633" i="1"/>
  <c r="I1498" i="1"/>
  <c r="I1238" i="1"/>
  <c r="I1648" i="1"/>
  <c r="I12" i="1"/>
  <c r="I101" i="1"/>
  <c r="I759" i="1"/>
  <c r="I701" i="1"/>
  <c r="I1403" i="1"/>
  <c r="I689" i="1"/>
  <c r="I1629" i="1"/>
  <c r="I515" i="1"/>
  <c r="I1392" i="1"/>
  <c r="I1339" i="1"/>
  <c r="I1038" i="1"/>
  <c r="I744" i="1"/>
  <c r="I177" i="1"/>
  <c r="I1244" i="1"/>
  <c r="I660" i="1"/>
  <c r="I1036" i="1"/>
  <c r="I1406" i="1"/>
  <c r="I1313" i="1"/>
  <c r="I1603" i="1"/>
  <c r="I1369" i="1"/>
  <c r="I730" i="1"/>
  <c r="I1408" i="1"/>
  <c r="I1225" i="1"/>
  <c r="D6" i="4"/>
  <c r="E6" i="4" s="1"/>
  <c r="D8" i="4"/>
  <c r="E8" i="4" s="1"/>
  <c r="D7" i="4"/>
  <c r="E7" i="4" s="1"/>
  <c r="D5" i="4"/>
  <c r="E5" i="4" s="1"/>
  <c r="I251" i="1"/>
  <c r="I829" i="1"/>
  <c r="I1049" i="1"/>
  <c r="I818" i="1"/>
  <c r="I132" i="1"/>
  <c r="I1001" i="1"/>
  <c r="I1045" i="1"/>
  <c r="I313" i="1"/>
  <c r="I545" i="1"/>
  <c r="I301" i="1"/>
  <c r="I793" i="1"/>
  <c r="I956" i="1"/>
  <c r="I1335" i="1"/>
  <c r="I1267" i="1"/>
  <c r="I917" i="1"/>
  <c r="I118" i="1"/>
  <c r="I247" i="1"/>
  <c r="I473" i="1"/>
  <c r="I536" i="1"/>
  <c r="I879" i="1"/>
  <c r="I799" i="1"/>
  <c r="I1435" i="1"/>
  <c r="I359" i="1"/>
  <c r="I1017" i="1"/>
  <c r="I1178" i="1"/>
  <c r="I480" i="1"/>
  <c r="I1424" i="1"/>
  <c r="I716" i="1"/>
  <c r="I349" i="1"/>
  <c r="I1303" i="1"/>
  <c r="I1507" i="1"/>
  <c r="I73" i="1"/>
  <c r="I1560" i="1"/>
  <c r="I1388" i="1"/>
  <c r="I5" i="1"/>
  <c r="I748" i="1"/>
  <c r="I52" i="1"/>
  <c r="I1156" i="1"/>
  <c r="I195" i="1"/>
  <c r="I859" i="1"/>
  <c r="I531" i="1"/>
  <c r="I618" i="1"/>
  <c r="I1356" i="1"/>
  <c r="I490" i="1"/>
  <c r="I1088" i="1"/>
  <c r="I1587" i="1"/>
  <c r="I1625" i="1"/>
  <c r="I746" i="1"/>
  <c r="I194" i="1"/>
  <c r="I594" i="1"/>
  <c r="I364" i="1"/>
  <c r="I75" i="1"/>
  <c r="I1702" i="1"/>
  <c r="I35" i="1"/>
  <c r="I834" i="1"/>
  <c r="I1317" i="1"/>
  <c r="I1677" i="1"/>
  <c r="I939" i="1"/>
  <c r="I576" i="1"/>
  <c r="I474" i="1"/>
  <c r="I682" i="1"/>
  <c r="I640" i="1"/>
  <c r="I1136" i="1"/>
  <c r="I1046" i="1"/>
  <c r="I1348" i="1"/>
  <c r="I860" i="1"/>
  <c r="I363" i="1"/>
  <c r="I340" i="1"/>
  <c r="I1084" i="1"/>
  <c r="I1712" i="1"/>
  <c r="I314" i="1"/>
  <c r="I46" i="1"/>
  <c r="I311" i="1"/>
  <c r="I936" i="1"/>
  <c r="I930" i="1"/>
  <c r="I403" i="1"/>
  <c r="I698" i="1"/>
  <c r="I634" i="1"/>
  <c r="I169" i="1"/>
  <c r="I944" i="1"/>
  <c r="I29" i="1"/>
  <c r="I497" i="1"/>
  <c r="I1565" i="1"/>
  <c r="I731" i="1"/>
  <c r="I166" i="1"/>
  <c r="I330" i="1"/>
  <c r="I1089" i="1"/>
  <c r="I572" i="1"/>
  <c r="I256" i="1"/>
  <c r="I767" i="1"/>
  <c r="I715" i="1"/>
  <c r="I27" i="1"/>
  <c r="I316" i="1"/>
  <c r="I63" i="1"/>
  <c r="I785" i="1"/>
  <c r="I644" i="1"/>
  <c r="I1562" i="1"/>
  <c r="I601" i="1"/>
  <c r="I1300" i="1"/>
  <c r="I383" i="1"/>
  <c r="I178" i="1"/>
  <c r="I1349" i="1"/>
  <c r="I1217" i="1"/>
  <c r="I1027" i="1"/>
  <c r="I1399" i="1"/>
  <c r="I1205" i="1"/>
  <c r="I1608" i="1"/>
  <c r="I1722" i="1"/>
  <c r="I913" i="1"/>
  <c r="I546" i="1"/>
  <c r="I1466" i="1"/>
  <c r="I924" i="1"/>
  <c r="I1416" i="1"/>
  <c r="I1485" i="1"/>
  <c r="I11" i="1"/>
  <c r="I796" i="1"/>
  <c r="I1031" i="1"/>
  <c r="I710" i="1"/>
  <c r="I1561" i="1"/>
  <c r="I141" i="1"/>
  <c r="I697" i="1"/>
  <c r="I1589" i="1"/>
  <c r="I1527" i="1"/>
  <c r="I614" i="1"/>
  <c r="I244" i="1"/>
  <c r="I1515" i="1"/>
  <c r="I1173" i="1"/>
  <c r="I620" i="1"/>
  <c r="I371" i="1"/>
  <c r="I1460" i="1"/>
  <c r="I912" i="1"/>
  <c r="I1338" i="1"/>
  <c r="I1423" i="1"/>
  <c r="I1537" i="1"/>
  <c r="I1436" i="1"/>
  <c r="I726" i="1"/>
  <c r="I877" i="1"/>
  <c r="I684" i="1"/>
  <c r="I1222" i="1"/>
  <c r="I1456" i="1"/>
  <c r="I1738" i="1"/>
  <c r="I1579" i="1"/>
  <c r="I1490" i="1"/>
  <c r="I107" i="1"/>
  <c r="I1516" i="1"/>
  <c r="I1397" i="1"/>
  <c r="I700" i="1"/>
  <c r="I1304" i="1"/>
  <c r="I1259" i="1"/>
  <c r="I106" i="1"/>
  <c r="I1139" i="1"/>
  <c r="I236" i="1"/>
  <c r="I813" i="1"/>
  <c r="I904" i="1"/>
  <c r="I202" i="1"/>
  <c r="I1164" i="1"/>
  <c r="I652" i="1"/>
  <c r="I508" i="1"/>
  <c r="I632" i="1"/>
  <c r="I1386" i="1"/>
  <c r="I1118" i="1"/>
  <c r="I1079" i="1"/>
  <c r="I1090" i="1"/>
  <c r="I1254" i="1"/>
  <c r="I1104" i="1"/>
  <c r="I1324" i="1"/>
  <c r="I635" i="1"/>
  <c r="I1315" i="1"/>
  <c r="I1377" i="1"/>
  <c r="I1465" i="1"/>
  <c r="I966" i="1"/>
  <c r="I1066" i="1"/>
  <c r="I56" i="1"/>
  <c r="I1081" i="1"/>
  <c r="I1043" i="1"/>
  <c r="I499" i="1"/>
  <c r="I333" i="1"/>
  <c r="I1169" i="1"/>
  <c r="I1041" i="1"/>
  <c r="I416" i="1"/>
  <c r="I445" i="1"/>
  <c r="I150" i="1"/>
  <c r="I872" i="1"/>
  <c r="I1452" i="1"/>
  <c r="I1693" i="1"/>
  <c r="I1576" i="1"/>
  <c r="I927" i="1"/>
  <c r="I945" i="1"/>
  <c r="I1269" i="1"/>
  <c r="I1234" i="1"/>
  <c r="I343" i="1"/>
  <c r="I60" i="1"/>
  <c r="I589" i="1"/>
  <c r="I1137" i="1"/>
  <c r="I1285" i="1"/>
  <c r="I1703" i="1"/>
  <c r="I113" i="1"/>
  <c r="I983" i="1"/>
  <c r="I1051" i="1"/>
  <c r="I185" i="1"/>
  <c r="I661" i="1"/>
  <c r="I418" i="1"/>
  <c r="I1699" i="1"/>
  <c r="I268" i="1"/>
  <c r="I422" i="1"/>
  <c r="I668" i="1"/>
  <c r="I1093" i="1"/>
  <c r="I863" i="1"/>
  <c r="I605" i="1"/>
  <c r="I1106" i="1"/>
  <c r="I129" i="1"/>
  <c r="I1101" i="1"/>
  <c r="I421" i="1"/>
  <c r="I1529" i="1"/>
  <c r="I1558" i="1"/>
  <c r="I143" i="1"/>
  <c r="I283" i="1"/>
  <c r="I168" i="1"/>
  <c r="I1417" i="1"/>
  <c r="I1301" i="1"/>
  <c r="I932" i="1"/>
  <c r="I947" i="1"/>
  <c r="I952" i="1"/>
  <c r="I261" i="1"/>
  <c r="I83" i="1"/>
  <c r="I990" i="1"/>
  <c r="I1228" i="1"/>
  <c r="I719" i="1"/>
  <c r="I630" i="1"/>
  <c r="I304" i="1"/>
  <c r="I1678" i="1"/>
  <c r="I188" i="1"/>
  <c r="I1288" i="1"/>
  <c r="I405" i="1"/>
  <c r="I1016" i="1"/>
  <c r="I1505" i="1"/>
  <c r="I414" i="1"/>
  <c r="I639" i="1"/>
  <c r="I1109" i="1"/>
  <c r="I1496" i="1"/>
  <c r="I928" i="1"/>
  <c r="I1020" i="1"/>
  <c r="I1203" i="1"/>
  <c r="I1508" i="1"/>
  <c r="I1596" i="1"/>
  <c r="I242" i="1"/>
  <c r="I1332" i="1"/>
  <c r="I500" i="1"/>
  <c r="I1494" i="1"/>
  <c r="I90" i="1"/>
  <c r="I741" i="1"/>
  <c r="I1716" i="1"/>
  <c r="I1511" i="1"/>
  <c r="I520" i="1"/>
  <c r="I353" i="1"/>
  <c r="I362" i="1"/>
  <c r="I693" i="1"/>
  <c r="I436" i="1"/>
  <c r="I443" i="1"/>
  <c r="I1473" i="1"/>
  <c r="I3" i="1"/>
  <c r="I1231" i="1"/>
  <c r="I1533" i="1"/>
  <c r="I1439" i="1"/>
  <c r="I702" i="1"/>
  <c r="I1628" i="1"/>
  <c r="I1240" i="1"/>
  <c r="I183" i="1"/>
  <c r="I216" i="1"/>
  <c r="I674" i="1"/>
  <c r="I1262" i="1"/>
  <c r="I1731" i="1"/>
  <c r="I49" i="1"/>
  <c r="I250" i="1"/>
  <c r="I935" i="1"/>
  <c r="I598" i="1"/>
  <c r="I633" i="1"/>
  <c r="I1696" i="1"/>
  <c r="I1665" i="1"/>
  <c r="I76" i="1"/>
  <c r="I1760" i="1"/>
  <c r="I51" i="1"/>
  <c r="I754" i="1"/>
  <c r="I348" i="1"/>
  <c r="I691" i="1"/>
  <c r="I1185" i="1"/>
  <c r="I1492" i="1"/>
  <c r="I1361" i="1"/>
  <c r="I615" i="1"/>
  <c r="I425" i="1"/>
  <c r="I1277" i="1"/>
  <c r="I1698" i="1"/>
  <c r="I1704" i="1"/>
  <c r="I1611" i="1"/>
  <c r="I1063" i="1"/>
  <c r="I1052" i="1"/>
  <c r="I176" i="1"/>
  <c r="I217" i="1"/>
  <c r="I221" i="1"/>
  <c r="I803" i="1"/>
  <c r="I1430" i="1"/>
  <c r="I465" i="1"/>
  <c r="I462" i="1"/>
  <c r="I1091" i="1"/>
  <c r="I595" i="1"/>
  <c r="I893" i="1"/>
  <c r="I655" i="1"/>
  <c r="I740" i="1"/>
  <c r="I41" i="1"/>
  <c r="I478" i="1"/>
  <c r="I1479" i="1"/>
  <c r="I1463" i="1"/>
  <c r="I264" i="1"/>
  <c r="I593" i="1"/>
  <c r="I673" i="1"/>
  <c r="I846" i="1"/>
  <c r="I621" i="1"/>
  <c r="I567" i="1"/>
  <c r="I663" i="1"/>
  <c r="I669" i="1"/>
  <c r="I514" i="1"/>
  <c r="I641" i="1"/>
  <c r="I850" i="1"/>
  <c r="I1057" i="1"/>
  <c r="I1314" i="1"/>
  <c r="I395" i="1"/>
  <c r="I1114" i="1"/>
  <c r="I1000" i="1"/>
  <c r="I790" i="1"/>
  <c r="I1637" i="1"/>
  <c r="I1454" i="1"/>
  <c r="I77" i="1"/>
  <c r="I1060" i="1"/>
  <c r="I1018" i="1"/>
  <c r="I518" i="1"/>
  <c r="I626" i="1"/>
  <c r="I624" i="1"/>
  <c r="I680" i="1"/>
  <c r="I603" i="1"/>
  <c r="I1588" i="1"/>
  <c r="I1219" i="1"/>
  <c r="I883" i="1"/>
  <c r="I1138" i="1"/>
  <c r="I1199" i="1"/>
  <c r="I656" i="1"/>
  <c r="I430" i="1"/>
  <c r="I1512" i="1"/>
  <c r="I580" i="1"/>
  <c r="I1166" i="1"/>
  <c r="I1771" i="1"/>
  <c r="I102" i="1"/>
  <c r="I783" i="1"/>
  <c r="I1621" i="1"/>
  <c r="I388" i="1"/>
  <c r="I918" i="1"/>
  <c r="I1366" i="1"/>
  <c r="I690" i="1"/>
  <c r="I1058" i="1"/>
  <c r="I608" i="1"/>
  <c r="I1582" i="1"/>
  <c r="I1535" i="1"/>
  <c r="I908" i="1"/>
  <c r="I491" i="1"/>
  <c r="I747" i="1"/>
  <c r="I1701" i="1"/>
  <c r="I560" i="1"/>
  <c r="I259" i="1"/>
  <c r="I1601" i="1"/>
  <c r="I1180" i="1"/>
  <c r="I352" i="1"/>
  <c r="I1077" i="1"/>
  <c r="I214" i="1"/>
  <c r="I1050" i="1"/>
  <c r="I553" i="1"/>
  <c r="I61" i="1"/>
  <c r="I1086" i="1"/>
  <c r="I432" i="1"/>
  <c r="I287" i="1"/>
  <c r="I1737" i="1"/>
  <c r="I368" i="1"/>
  <c r="I1715" i="1"/>
  <c r="I1293" i="1"/>
  <c r="I1311" i="1"/>
  <c r="I1740" i="1"/>
  <c r="I852" i="1"/>
  <c r="I870" i="1"/>
  <c r="I1663" i="1"/>
  <c r="I1357" i="1"/>
  <c r="I1462" i="1"/>
  <c r="I526" i="1"/>
  <c r="I1264" i="1"/>
  <c r="I825" i="1"/>
  <c r="I1129" i="1"/>
  <c r="I400" i="1"/>
  <c r="I845" i="1"/>
  <c r="I484" i="1"/>
  <c r="I1290" i="1"/>
  <c r="I676" i="1"/>
  <c r="I899" i="1"/>
  <c r="I1004" i="1"/>
  <c r="I1431" i="1"/>
  <c r="I342" i="1"/>
  <c r="I1233" i="1"/>
  <c r="I1064" i="1"/>
  <c r="I1182" i="1"/>
  <c r="I476" i="1"/>
  <c r="I1310" i="1"/>
  <c r="I105" i="1"/>
  <c r="I1070" i="1"/>
  <c r="I720" i="1"/>
  <c r="I315" i="1"/>
  <c r="I1296" i="1"/>
  <c r="I550" i="1"/>
  <c r="I289" i="1"/>
  <c r="I1577" i="1"/>
  <c r="I485" i="1"/>
  <c r="I235" i="1"/>
  <c r="I1342" i="1"/>
  <c r="I351" i="1"/>
  <c r="I369" i="1"/>
  <c r="I822" i="1"/>
  <c r="I1023" i="1"/>
  <c r="I875" i="1"/>
  <c r="I617" i="1"/>
  <c r="I1754" i="1"/>
  <c r="I977" i="1"/>
  <c r="I439" i="1"/>
  <c r="I1700" i="1"/>
  <c r="I1213" i="1"/>
  <c r="I781" i="1"/>
  <c r="I981" i="1"/>
  <c r="I999" i="1"/>
  <c r="I24" i="1"/>
  <c r="I243" i="1"/>
  <c r="I1021" i="1"/>
  <c r="I1482" i="1"/>
  <c r="I1714" i="1"/>
  <c r="I1123" i="1"/>
  <c r="I571" i="1"/>
  <c r="I609" i="1"/>
  <c r="I586" i="1"/>
  <c r="I163" i="1"/>
  <c r="I1717" i="1"/>
  <c r="I1319" i="1"/>
  <c r="I705" i="1"/>
  <c r="I714" i="1"/>
  <c r="I234" i="1"/>
  <c r="I1149" i="1"/>
  <c r="I43" i="1"/>
  <c r="I1632" i="1"/>
  <c r="I1015" i="1"/>
  <c r="I1437" i="1"/>
  <c r="I1013" i="1"/>
  <c r="I1656" i="1"/>
  <c r="I1279" i="1"/>
  <c r="I1281" i="1"/>
  <c r="I1655" i="1"/>
  <c r="I1372" i="1"/>
  <c r="I296" i="1"/>
  <c r="I942" i="1"/>
  <c r="I1103" i="1"/>
  <c r="I292" i="1"/>
  <c r="I1174" i="1"/>
  <c r="I943" i="1"/>
  <c r="I374" i="1"/>
  <c r="I1370" i="1"/>
  <c r="I1769" i="1"/>
  <c r="I516" i="1"/>
  <c r="I1206" i="1"/>
  <c r="I308" i="1"/>
  <c r="I34" i="1"/>
  <c r="I1652" i="1"/>
  <c r="I1749" i="1"/>
  <c r="I20" i="1"/>
  <c r="I1351" i="1"/>
  <c r="I1514" i="1"/>
  <c r="I996" i="1"/>
  <c r="I1242" i="1"/>
  <c r="I1438" i="1"/>
  <c r="I678" i="1"/>
  <c r="I858" i="1"/>
  <c r="I419" i="1"/>
  <c r="I1115" i="1"/>
  <c r="I1108" i="1"/>
  <c r="I763" i="1"/>
  <c r="I1521" i="1"/>
  <c r="I581" i="1"/>
  <c r="I1586" i="1"/>
  <c r="I557" i="1"/>
  <c r="I1486" i="1"/>
  <c r="I457" i="1"/>
  <c r="I1553" i="1"/>
  <c r="I1755" i="1"/>
  <c r="I826" i="1"/>
  <c r="I537" i="1"/>
  <c r="I1622" i="1"/>
  <c r="I1429" i="1"/>
  <c r="I386" i="1"/>
  <c r="I625" i="1"/>
  <c r="I344" i="1"/>
  <c r="I198" i="1"/>
  <c r="I820" i="1"/>
  <c r="I1669" i="1"/>
  <c r="I1464" i="1"/>
  <c r="I506" i="1"/>
  <c r="I1012" i="1"/>
  <c r="I1474" i="1"/>
  <c r="I1207" i="1"/>
  <c r="I636" i="1"/>
  <c r="I1142" i="1"/>
  <c r="I1739" i="1"/>
  <c r="I1187" i="1"/>
  <c r="I1158" i="1"/>
  <c r="I121" i="1"/>
  <c r="I1415" i="1"/>
  <c r="I970" i="1"/>
  <c r="I38" i="1"/>
  <c r="I551" i="1"/>
  <c r="I1538" i="1"/>
  <c r="I258" i="1"/>
  <c r="I1209" i="1"/>
  <c r="I1744" i="1"/>
  <c r="I1428" i="1"/>
  <c r="I800" i="1"/>
  <c r="I151" i="1"/>
  <c r="I874" i="1"/>
  <c r="I1670" i="1"/>
  <c r="I1445" i="1"/>
  <c r="I1382" i="1"/>
  <c r="I323" i="1"/>
  <c r="I1184" i="1"/>
  <c r="I210" i="1"/>
  <c r="I281" i="1"/>
  <c r="I1273" i="1"/>
  <c r="I955" i="1"/>
  <c r="I555" i="1"/>
  <c r="I467" i="1"/>
  <c r="I1469" i="1"/>
  <c r="I1131" i="1"/>
  <c r="I968" i="1"/>
  <c r="I920" i="1"/>
  <c r="I1478" i="1"/>
  <c r="I7" i="1"/>
  <c r="I67" i="1"/>
  <c r="I1014" i="1"/>
  <c r="I54" i="1"/>
  <c r="I270" i="1"/>
  <c r="I502" i="1"/>
  <c r="I297" i="1"/>
  <c r="I511" i="1"/>
  <c r="I145" i="1"/>
  <c r="I773" i="1"/>
  <c r="I1282" i="1"/>
  <c r="I1083" i="1"/>
  <c r="I1446" i="1"/>
  <c r="I299" i="1"/>
  <c r="I1551" i="1"/>
  <c r="I1006" i="1"/>
  <c r="I1211" i="1"/>
  <c r="I540" i="1"/>
  <c r="I95" i="1"/>
  <c r="I1389" i="1"/>
  <c r="I957" i="1"/>
  <c r="I890" i="1"/>
  <c r="I787" i="1"/>
  <c r="I1681" i="1"/>
  <c r="I420" i="1"/>
  <c r="I1160" i="1"/>
  <c r="I770" i="1"/>
  <c r="I1624" i="1"/>
  <c r="I976" i="1"/>
  <c r="I582" i="1"/>
  <c r="I817" i="1"/>
  <c r="I1726" i="1"/>
  <c r="I71" i="1"/>
  <c r="I1274" i="1"/>
  <c r="I1071" i="1"/>
  <c r="I1263" i="1"/>
  <c r="I1289" i="1"/>
  <c r="I565" i="1"/>
  <c r="I926" i="1"/>
  <c r="I1495" i="1"/>
  <c r="I1451" i="1"/>
  <c r="I946" i="1"/>
  <c r="I1519" i="1"/>
  <c r="I1753" i="1"/>
  <c r="I575" i="1"/>
  <c r="I1271" i="1"/>
  <c r="I832" i="1"/>
  <c r="I1631" i="1"/>
  <c r="I460" i="1"/>
  <c r="I889" i="1"/>
  <c r="I240" i="1"/>
  <c r="I307" i="1"/>
  <c r="I1183" i="1"/>
  <c r="I115" i="1"/>
  <c r="I1384" i="1"/>
  <c r="I1276" i="1"/>
  <c r="I1097" i="1"/>
  <c r="I1607" i="1"/>
  <c r="I450" i="1"/>
  <c r="I637" i="1"/>
  <c r="I1679" i="1"/>
  <c r="I1468" i="1"/>
  <c r="I1189" i="1"/>
  <c r="I1497" i="1"/>
  <c r="I424" i="1"/>
  <c r="I1261" i="1"/>
  <c r="I896" i="1"/>
  <c r="I1325" i="1"/>
  <c r="I1746" i="1"/>
  <c r="I949" i="1"/>
  <c r="I1062" i="1"/>
  <c r="I1546" i="1"/>
  <c r="I249" i="1"/>
  <c r="I657" i="1"/>
  <c r="I528" i="1"/>
  <c r="I1379" i="1"/>
  <c r="I446" i="1"/>
  <c r="I891" i="1"/>
  <c r="I566" i="1"/>
  <c r="I1055" i="1"/>
  <c r="I910" i="1"/>
  <c r="I1750" i="1"/>
  <c r="I752" i="1"/>
  <c r="I1152" i="1"/>
  <c r="I1570" i="1"/>
  <c r="I1155" i="1"/>
  <c r="I1526" i="1"/>
  <c r="I1418" i="1"/>
  <c r="I707" i="1"/>
  <c r="I987" i="1"/>
  <c r="I1094" i="1"/>
  <c r="I1286" i="1"/>
  <c r="I842" i="1"/>
  <c r="I1549" i="1"/>
  <c r="I1144" i="1"/>
  <c r="I1639" i="1"/>
  <c r="I1147" i="1"/>
  <c r="I1522" i="1"/>
  <c r="I385" i="1"/>
  <c r="I1762" i="1"/>
  <c r="I1294" i="1"/>
  <c r="I929" i="1"/>
  <c r="I417" i="1"/>
  <c r="I1772" i="1"/>
  <c r="I37" i="1"/>
  <c r="I78" i="1"/>
  <c r="I1555" i="1"/>
  <c r="I1671" i="1"/>
  <c r="I184" i="1"/>
  <c r="I1404" i="1"/>
  <c r="I1034" i="1"/>
  <c r="I1334" i="1"/>
  <c r="I147" i="1"/>
  <c r="I916" i="1"/>
  <c r="I487" i="1"/>
  <c r="I447" i="1"/>
  <c r="I895" i="1"/>
  <c r="I1376" i="1"/>
  <c r="I1132" i="1"/>
  <c r="I1124" i="1"/>
  <c r="I761" i="1"/>
  <c r="I1711" i="1"/>
  <c r="I1695" i="1"/>
  <c r="I1329" i="1"/>
  <c r="I442" i="1"/>
  <c r="I1308" i="1"/>
  <c r="I1414" i="1"/>
  <c r="I1247" i="1"/>
  <c r="I1354" i="1"/>
  <c r="I1728" i="1"/>
  <c r="I1151" i="1"/>
  <c r="I654" i="1"/>
  <c r="I873" i="1"/>
  <c r="I827" i="1"/>
  <c r="I406" i="1"/>
  <c r="I1181" i="1"/>
  <c r="I174" i="1"/>
  <c r="I724" i="1"/>
  <c r="I1171" i="1"/>
  <c r="I322" i="1"/>
  <c r="I501" i="1"/>
  <c r="I1099" i="1"/>
  <c r="I1763" i="1"/>
  <c r="I205" i="1"/>
  <c r="I599" i="1"/>
  <c r="I835" i="1"/>
  <c r="I862" i="1"/>
  <c r="I367" i="1"/>
  <c r="I1322" i="1"/>
  <c r="I1501" i="1"/>
  <c r="I696" i="1"/>
  <c r="I986" i="1"/>
  <c r="I1007" i="1"/>
  <c r="I907" i="1"/>
  <c r="I1270" i="1"/>
  <c r="I428" i="1"/>
  <c r="I1483" i="1"/>
  <c r="I1105" i="1"/>
  <c r="I1347" i="1"/>
  <c r="I454" i="1"/>
  <c r="I1075" i="1"/>
  <c r="I1487" i="1"/>
  <c r="I1640" i="1"/>
  <c r="I94" i="1"/>
  <c r="I410" i="1"/>
  <c r="I452" i="1"/>
  <c r="I1729" i="1"/>
  <c r="I884" i="1"/>
  <c r="I1192" i="1"/>
  <c r="I332" i="1"/>
  <c r="I962" i="1"/>
  <c r="I1668" i="1"/>
  <c r="I735" i="1"/>
  <c r="I1583" i="1"/>
  <c r="I209" i="1"/>
  <c r="I109" i="1"/>
  <c r="I1061" i="1"/>
  <c r="I780" i="1"/>
  <c r="I186" i="1"/>
  <c r="I732" i="1"/>
  <c r="I160" i="1"/>
  <c r="I600" i="1"/>
  <c r="I18" i="1"/>
  <c r="I512" i="1"/>
  <c r="I1595" i="1"/>
  <c r="I887" i="1"/>
  <c r="I1056" i="1"/>
  <c r="I1186" i="1"/>
  <c r="I319" i="1"/>
  <c r="I1499" i="1"/>
  <c r="I378" i="1"/>
  <c r="I53" i="1"/>
  <c r="I239" i="1"/>
  <c r="I1550" i="1"/>
  <c r="I610" i="1"/>
  <c r="I736" i="1"/>
  <c r="I120" i="1"/>
  <c r="I88" i="1"/>
  <c r="I320" i="1"/>
  <c r="I992" i="1"/>
  <c r="I119" i="1"/>
  <c r="I252" i="1"/>
  <c r="I1266" i="1"/>
  <c r="I1472" i="1"/>
  <c r="I1540" i="1"/>
  <c r="I64" i="1"/>
  <c r="I1295" i="1"/>
  <c r="I1504" i="1"/>
  <c r="I317" i="1"/>
  <c r="I1520" i="1"/>
  <c r="I1761" i="1"/>
  <c r="I139" i="1"/>
  <c r="I677" i="1"/>
  <c r="I622" i="1"/>
  <c r="I1653" i="1"/>
  <c r="I1005" i="1"/>
  <c r="I1044" i="1"/>
  <c r="I426" i="1"/>
  <c r="I844" i="1"/>
  <c r="I1011" i="1"/>
  <c r="I1333" i="1"/>
  <c r="I585" i="1"/>
  <c r="I1643" i="1"/>
  <c r="I1112" i="1"/>
  <c r="I31" i="1"/>
  <c r="I769" i="1"/>
  <c r="I861" i="1"/>
  <c r="I1627" i="1"/>
  <c r="I1226" i="1"/>
  <c r="I658" i="1"/>
  <c r="I1197" i="1"/>
  <c r="I1719" i="1"/>
  <c r="I99" i="1"/>
  <c r="I1598" i="1"/>
  <c r="I718" i="1"/>
  <c r="I1594" i="1"/>
  <c r="I1257" i="1"/>
  <c r="I779" i="1"/>
  <c r="I263" i="1"/>
  <c r="I788" i="1"/>
  <c r="I1623" i="1"/>
  <c r="I66" i="1"/>
  <c r="I1145" i="1"/>
  <c r="I437" i="1"/>
  <c r="I50" i="1"/>
  <c r="I182" i="1"/>
  <c r="I1110" i="1"/>
  <c r="I305" i="1"/>
  <c r="I991" i="1"/>
  <c r="I394" i="1"/>
  <c r="I310" i="1"/>
  <c r="I122" i="1"/>
  <c r="I131" i="1"/>
  <c r="I738" i="1"/>
  <c r="I1346" i="1"/>
  <c r="I651" i="1"/>
  <c r="I42" i="1"/>
  <c r="I612" i="1"/>
  <c r="I706" i="1"/>
  <c r="I1312" i="1"/>
  <c r="I579" i="1"/>
  <c r="I1068" i="1"/>
  <c r="I1355" i="1"/>
  <c r="I112" i="1"/>
  <c r="I1580" i="1"/>
  <c r="I396" i="1"/>
  <c r="I909" i="1"/>
  <c r="I833" i="1"/>
  <c r="I685" i="1"/>
  <c r="I361" i="1"/>
  <c r="I1224" i="1"/>
  <c r="I559" i="1"/>
  <c r="I751" i="1"/>
  <c r="I1042" i="1"/>
  <c r="I915" i="1"/>
  <c r="I295" i="1"/>
  <c r="I399" i="1"/>
  <c r="I440" i="1"/>
  <c r="I882" i="1"/>
  <c r="I1647" i="1"/>
  <c r="I519" i="1"/>
  <c r="I1002" i="1"/>
  <c r="I26" i="1"/>
  <c r="I397" i="1"/>
  <c r="I997" i="1"/>
  <c r="I293" i="1"/>
  <c r="I1742" i="1"/>
  <c r="I558" i="1"/>
  <c r="I1752" i="1"/>
  <c r="I389" i="1"/>
  <c r="I1747" i="1"/>
  <c r="I1689" i="1"/>
  <c r="I1165" i="1"/>
  <c r="I402" i="1"/>
  <c r="I938" i="1"/>
  <c r="I1706" i="1"/>
  <c r="I1272" i="1"/>
  <c r="I1022" i="1"/>
  <c r="I544" i="1"/>
  <c r="I1634" i="1"/>
  <c r="I623" i="1"/>
  <c r="I1682" i="1"/>
  <c r="I1713" i="1"/>
  <c r="I80" i="1"/>
  <c r="I213" i="1"/>
  <c r="I1708" i="1"/>
  <c r="I393" i="1"/>
  <c r="I1676" i="1"/>
  <c r="I765" i="1"/>
  <c r="I108" i="1"/>
  <c r="I1566" i="1"/>
  <c r="I167" i="1"/>
  <c r="I1642" i="1"/>
  <c r="I1593" i="1"/>
  <c r="I847" i="1"/>
  <c r="I127" i="1"/>
  <c r="I1047" i="1"/>
  <c r="I1072" i="1"/>
  <c r="I1239" i="1"/>
  <c r="I1453" i="1"/>
  <c r="I338" i="1"/>
  <c r="I1350" i="1"/>
  <c r="I1547" i="1"/>
  <c r="I837" i="1"/>
  <c r="I58" i="1"/>
  <c r="I1484" i="1"/>
  <c r="I543" i="1"/>
  <c r="I1385" i="1"/>
  <c r="I824" i="1"/>
  <c r="I998" i="1"/>
  <c r="I459" i="1"/>
  <c r="I1471" i="1"/>
  <c r="I1073" i="1"/>
  <c r="I535" i="1"/>
  <c r="I556" i="1"/>
  <c r="I212" i="1"/>
  <c r="I1126" i="1"/>
  <c r="I116" i="1"/>
  <c r="I262" i="1"/>
  <c r="I552" i="1"/>
  <c r="I1076" i="1"/>
  <c r="I1768" i="1"/>
  <c r="I811" i="1"/>
  <c r="I208" i="1"/>
  <c r="I434" i="1"/>
  <c r="I357" i="1"/>
  <c r="I161" i="1"/>
  <c r="I128" i="1"/>
  <c r="I1509" i="1"/>
  <c r="I1307" i="1"/>
  <c r="I1467" i="1"/>
  <c r="I498" i="1"/>
  <c r="I1686" i="1"/>
  <c r="I1146" i="1"/>
  <c r="I1159" i="1"/>
  <c r="I776" i="1"/>
  <c r="I391" i="1"/>
  <c r="I1421" i="1"/>
  <c r="I1026" i="1"/>
  <c r="I1662" i="1"/>
  <c r="I1227" i="1"/>
  <c r="I993" i="1"/>
  <c r="I1287" i="1"/>
  <c r="I1442" i="1"/>
  <c r="I1765" i="1"/>
  <c r="I1543" i="1"/>
  <c r="I587" i="1"/>
  <c r="I1592" i="1"/>
  <c r="I275" i="1"/>
  <c r="I1489" i="1"/>
  <c r="I306" i="1"/>
  <c r="I713" i="1"/>
  <c r="I1025" i="1"/>
  <c r="I81" i="1"/>
  <c r="I1412" i="1"/>
  <c r="I464" i="1"/>
  <c r="I709" i="1"/>
  <c r="I1218" i="1"/>
  <c r="I753" i="1"/>
  <c r="I1705" i="1"/>
  <c r="I211" i="1"/>
  <c r="I290" i="1"/>
  <c r="I1085" i="1"/>
  <c r="I1510" i="1"/>
  <c r="I267" i="1"/>
  <c r="I1432" i="1"/>
  <c r="I1459" i="1"/>
  <c r="I961" i="1"/>
  <c r="I1425" i="1"/>
  <c r="I849" i="1"/>
  <c r="I318" i="1"/>
  <c r="I253" i="1"/>
  <c r="I722" i="1"/>
  <c r="I461" i="1"/>
  <c r="I32" i="1"/>
  <c r="I175" i="1"/>
  <c r="I901" i="1"/>
  <c r="I853" i="1"/>
  <c r="I97" i="1"/>
  <c r="I548" i="1"/>
  <c r="I153" i="1"/>
  <c r="I279" i="1"/>
  <c r="I375" i="1"/>
  <c r="I1718" i="1"/>
  <c r="I871" i="1"/>
  <c r="I13" i="1"/>
  <c r="I1493" i="1"/>
  <c r="I448" i="1"/>
  <c r="I728" i="1"/>
  <c r="I327" i="1"/>
  <c r="I345" i="1"/>
  <c r="I789" i="1"/>
  <c r="I1572" i="1"/>
  <c r="I1636" i="1"/>
  <c r="I1191" i="1"/>
  <c r="I48" i="1"/>
  <c r="I814" i="1"/>
  <c r="I570" i="1"/>
  <c r="I758" i="1"/>
  <c r="I17" i="1"/>
  <c r="I695" i="1"/>
  <c r="I347" i="1"/>
  <c r="I435" i="1"/>
  <c r="I919" i="1"/>
  <c r="I1154" i="1"/>
  <c r="I74" i="1"/>
  <c r="I1443" i="1"/>
  <c r="I433" i="1"/>
  <c r="I757" i="1"/>
  <c r="I1157" i="1"/>
  <c r="I1121" i="1"/>
  <c r="I762" i="1"/>
  <c r="I469" i="1"/>
  <c r="I1321" i="1"/>
  <c r="I774" i="1"/>
  <c r="I1235" i="1"/>
  <c r="I1413" i="1"/>
  <c r="I1524" i="1"/>
  <c r="I596" i="1"/>
  <c r="I427" i="1"/>
  <c r="I1646" i="1"/>
  <c r="I672" i="1"/>
  <c r="I1195" i="1"/>
  <c r="I798" i="1"/>
  <c r="I1575" i="1"/>
  <c r="I1292" i="1"/>
  <c r="I510" i="1"/>
  <c r="I45" i="1"/>
  <c r="I392" i="1"/>
  <c r="I1188" i="1"/>
  <c r="I1602" i="1"/>
  <c r="I806" i="1"/>
  <c r="I483" i="1"/>
  <c r="I1758" i="1"/>
  <c r="I331" i="1"/>
  <c r="I1613" i="1"/>
  <c r="I438" i="1"/>
  <c r="I280" i="1"/>
  <c r="I173" i="1"/>
  <c r="I959" i="1"/>
  <c r="I727" i="1"/>
  <c r="I1649" i="1"/>
  <c r="I1297" i="1"/>
  <c r="I708" i="1"/>
  <c r="I982" i="1"/>
  <c r="I791" i="1"/>
  <c r="I1230" i="1"/>
  <c r="I854" i="1"/>
  <c r="I733" i="1"/>
  <c r="I507" i="1"/>
  <c r="I1291" i="1"/>
  <c r="I1581" i="1"/>
  <c r="I1100" i="1"/>
  <c r="I155" i="1"/>
  <c r="I456" i="1"/>
  <c r="I19" i="1"/>
  <c r="I398" i="1"/>
  <c r="I980" i="1"/>
  <c r="I659" i="1"/>
  <c r="I1552" i="1"/>
  <c r="I1098" i="1"/>
  <c r="I631" i="1"/>
  <c r="I967" i="1"/>
  <c r="I170" i="1"/>
  <c r="I979" i="1"/>
  <c r="I1470" i="1"/>
  <c r="I477" i="1"/>
  <c r="I539" i="1"/>
  <c r="I468" i="1"/>
  <c r="I1241" i="1"/>
  <c r="I786" i="1"/>
  <c r="I1616" i="1"/>
  <c r="I1378" i="1"/>
  <c r="I159" i="1"/>
  <c r="I1096" i="1"/>
  <c r="I4" i="1"/>
  <c r="I1444" i="1"/>
  <c r="I224" i="1"/>
  <c r="I1373" i="1"/>
  <c r="I950" i="1"/>
  <c r="I1660" i="1"/>
  <c r="I562" i="1"/>
  <c r="I671" i="1"/>
  <c r="I463" i="1"/>
  <c r="I523" i="1"/>
  <c r="I527" i="1"/>
  <c r="I1455" i="1"/>
  <c r="I152" i="1"/>
  <c r="I1253" i="1"/>
  <c r="I455" i="1"/>
  <c r="I488" i="1"/>
  <c r="I694" i="1"/>
  <c r="I1694" i="1"/>
  <c r="I805" i="1"/>
  <c r="I573" i="1"/>
  <c r="I404" i="1"/>
  <c r="I1328" i="1"/>
  <c r="I241" i="1"/>
  <c r="I739" i="1"/>
  <c r="I1067" i="1"/>
  <c r="I36" i="1"/>
  <c r="I1336" i="1"/>
  <c r="I23" i="1"/>
  <c r="I1237" i="1"/>
  <c r="I1709" i="1"/>
  <c r="I954" i="1"/>
  <c r="I278" i="1"/>
  <c r="I1283" i="1"/>
  <c r="I1345" i="1"/>
  <c r="I237" i="1"/>
  <c r="I1024" i="1"/>
  <c r="I233" i="1"/>
  <c r="I666" i="1"/>
  <c r="I381" i="1"/>
  <c r="I914" i="1"/>
  <c r="I978" i="1"/>
  <c r="I201" i="1"/>
  <c r="I627" i="1"/>
  <c r="I750" i="1"/>
  <c r="I1723" i="1"/>
  <c r="I96" i="1"/>
  <c r="I1590" i="1"/>
  <c r="I1134" i="1"/>
  <c r="I764" i="1"/>
  <c r="I341" i="1"/>
  <c r="I868" i="1"/>
  <c r="I1525" i="1"/>
  <c r="I89" i="1"/>
  <c r="I1571" i="1"/>
  <c r="I1433" i="1"/>
  <c r="I866" i="1"/>
  <c r="I165" i="1"/>
  <c r="I204" i="1"/>
  <c r="I721" i="1"/>
  <c r="I227" i="1"/>
  <c r="I795" i="1"/>
  <c r="I894" i="1"/>
  <c r="I156" i="1"/>
  <c r="I931" i="1"/>
  <c r="I197" i="1"/>
  <c r="I1320" i="1"/>
  <c r="I921" i="1"/>
  <c r="I687" i="1"/>
  <c r="I336" i="1"/>
  <c r="I903" i="1"/>
  <c r="I111" i="1"/>
  <c r="I379" i="1"/>
  <c r="I59" i="1"/>
  <c r="I509" i="1"/>
  <c r="I189" i="1"/>
  <c r="I568" i="1"/>
  <c r="I777" i="1"/>
  <c r="I14" i="1"/>
  <c r="I1534" i="1"/>
  <c r="I481" i="1"/>
  <c r="I683" i="1"/>
  <c r="I382" i="1"/>
  <c r="I667" i="1"/>
  <c r="I358" i="1"/>
  <c r="I1664" i="1"/>
  <c r="I1153" i="1"/>
  <c r="I611" i="1"/>
  <c r="I886" i="1"/>
  <c r="I104" i="1"/>
  <c r="I1204" i="1"/>
  <c r="I1727" i="1"/>
  <c r="I1302" i="1"/>
  <c r="I1584" i="1"/>
  <c r="I522" i="1"/>
  <c r="I179" i="1"/>
  <c r="I851" i="1"/>
  <c r="I282" i="1"/>
  <c r="I1078" i="1"/>
  <c r="I989" i="1"/>
  <c r="I337" i="1"/>
  <c r="I1673" i="1"/>
  <c r="I564" i="1"/>
  <c r="I158" i="1"/>
  <c r="I100" i="1"/>
  <c r="I1215" i="1"/>
  <c r="I86" i="1"/>
  <c r="I470" i="1"/>
  <c r="I1548" i="1"/>
  <c r="I1539" i="1"/>
  <c r="I1330" i="1"/>
  <c r="I1619" i="1"/>
  <c r="I1327" i="1"/>
  <c r="I238" i="1"/>
  <c r="I285" i="1"/>
  <c r="I1654" i="1"/>
  <c r="I1394" i="1"/>
  <c r="I642" i="1"/>
  <c r="I1741" i="1"/>
  <c r="I588" i="1"/>
  <c r="I1691" i="1"/>
  <c r="I1054" i="1"/>
  <c r="I1567" i="1"/>
  <c r="I628" i="1"/>
  <c r="I6" i="1"/>
  <c r="I1541" i="1"/>
  <c r="I92" i="1"/>
  <c r="I675" i="1"/>
  <c r="I277" i="1"/>
  <c r="I376" i="1"/>
  <c r="I809" i="1"/>
  <c r="I1212" i="1"/>
  <c r="I231" i="1"/>
  <c r="I303" i="1"/>
  <c r="I819" i="1"/>
  <c r="I1299" i="1"/>
  <c r="I257" i="1"/>
  <c r="I1638" i="1"/>
  <c r="I554" i="1"/>
  <c r="I1232" i="1"/>
  <c r="I1626" i="1"/>
  <c r="I203" i="1"/>
  <c r="I1606" i="1"/>
  <c r="I602" i="1"/>
  <c r="I1306" i="1"/>
  <c r="I1480" i="1"/>
  <c r="I1133" i="1"/>
  <c r="I70" i="1"/>
  <c r="I760" i="1"/>
  <c r="I401" i="1"/>
  <c r="I1530" i="1"/>
  <c r="I1666" i="1"/>
  <c r="I1645" i="1"/>
  <c r="I823" i="1"/>
  <c r="I857" i="1"/>
  <c r="I40" i="1"/>
  <c r="I864" i="1"/>
  <c r="I1609" i="1"/>
  <c r="I1441" i="1"/>
  <c r="I1135" i="1"/>
  <c r="I1405" i="1"/>
  <c r="I768" i="1"/>
  <c r="I199" i="1"/>
  <c r="I869" i="1"/>
  <c r="I207" i="1"/>
  <c r="I495" i="1"/>
  <c r="I1597" i="1"/>
  <c r="I135" i="1"/>
  <c r="I756" i="1"/>
  <c r="I662" i="1"/>
  <c r="I85" i="1"/>
  <c r="I441" i="1"/>
  <c r="I1249" i="1"/>
  <c r="I218" i="1"/>
  <c r="I665" i="1"/>
  <c r="I1614" i="1"/>
  <c r="I1426" i="1"/>
  <c r="I828" i="1"/>
  <c r="I1367" i="1"/>
  <c r="I742" i="1"/>
  <c r="I114" i="1"/>
  <c r="I130" i="1"/>
  <c r="I1179" i="1"/>
  <c r="I664" i="1"/>
  <c r="I1116" i="1"/>
  <c r="I1130" i="1"/>
  <c r="I146" i="1"/>
  <c r="I1427" i="1"/>
  <c r="I647" i="1"/>
  <c r="I1111" i="1"/>
  <c r="I1721" i="1"/>
  <c r="I1531" i="1"/>
  <c r="I749" i="1"/>
  <c r="I355" i="1"/>
  <c r="I1381" i="1"/>
  <c r="I771" i="1"/>
  <c r="I1674" i="1"/>
  <c r="I902" i="1"/>
  <c r="I1074" i="1"/>
  <c r="I574" i="1"/>
  <c r="I801" i="1"/>
  <c r="I360" i="1"/>
  <c r="I154" i="1"/>
  <c r="I985" i="1"/>
  <c r="I784" i="1"/>
  <c r="I963" i="1"/>
  <c r="I321" i="1"/>
  <c r="I196" i="1"/>
  <c r="I1201" i="1"/>
  <c r="I1396" i="1"/>
  <c r="I670" i="1"/>
  <c r="I591" i="1"/>
  <c r="I1202" i="1"/>
  <c r="I648" i="1"/>
  <c r="I1578" i="1"/>
  <c r="I329" i="1"/>
  <c r="I28" i="1"/>
  <c r="I1190" i="1"/>
  <c r="I578" i="1"/>
  <c r="I807" i="1"/>
  <c r="I339" i="1"/>
  <c r="I1732" i="1"/>
  <c r="I1275" i="1"/>
  <c r="I1113" i="1"/>
  <c r="I346" i="1"/>
  <c r="I1697" i="1"/>
  <c r="I1620" i="1"/>
  <c r="I1488" i="1"/>
  <c r="I1028" i="1"/>
  <c r="I1557" i="1"/>
  <c r="I265" i="1"/>
  <c r="I1280" i="1"/>
  <c r="I1250" i="1"/>
  <c r="I1069" i="1"/>
  <c r="I1246" i="1"/>
  <c r="I898" i="1"/>
  <c r="I1177" i="1"/>
  <c r="I1461" i="1"/>
  <c r="I493" i="1"/>
  <c r="I1684" i="1"/>
  <c r="I1127" i="1"/>
  <c r="I284" i="1"/>
  <c r="I755" i="1"/>
  <c r="I266" i="1"/>
  <c r="I1065" i="1"/>
  <c r="I1661" i="1"/>
  <c r="I1618" i="1"/>
  <c r="I561" i="1"/>
  <c r="I974" i="1"/>
  <c r="I228" i="1"/>
  <c r="I328" i="1"/>
  <c r="I1503" i="1"/>
  <c r="I458" i="1"/>
  <c r="I223" i="1"/>
  <c r="I607" i="1"/>
  <c r="I971" i="1"/>
  <c r="I830" i="1"/>
  <c r="I1434" i="1"/>
  <c r="I232" i="1"/>
  <c r="I335" i="1"/>
  <c r="I356" i="1"/>
  <c r="I1536" i="1"/>
  <c r="I492" i="1"/>
  <c r="I688" i="1"/>
  <c r="I1344" i="1"/>
  <c r="I530" i="1"/>
  <c r="I1371" i="1"/>
  <c r="I365" i="1"/>
  <c r="I1692" i="1"/>
  <c r="I137" i="1"/>
  <c r="I692" i="1"/>
  <c r="I1216" i="1"/>
  <c r="I413" i="1"/>
  <c r="I604" i="1"/>
  <c r="I1391" i="1"/>
  <c r="I149" i="1"/>
  <c r="I325" i="1"/>
  <c r="I504" i="1"/>
  <c r="I1374" i="1"/>
  <c r="I569" i="1"/>
  <c r="I309" i="1"/>
  <c r="I865" i="1"/>
  <c r="I1368" i="1"/>
  <c r="I1318" i="1"/>
  <c r="I1141" i="1"/>
  <c r="I1585" i="1"/>
  <c r="I273" i="1"/>
  <c r="I1255" i="1"/>
  <c r="I616" i="1"/>
  <c r="I1122" i="1"/>
  <c r="I1725" i="1"/>
  <c r="I1243" i="1"/>
  <c r="I815" i="1"/>
  <c r="I110" i="1"/>
  <c r="I1125" i="1"/>
  <c r="I380" i="1"/>
  <c r="I1756" i="1"/>
  <c r="I294" i="1"/>
  <c r="I1365" i="1"/>
  <c r="I164" i="1"/>
  <c r="I134" i="1"/>
  <c r="I1612" i="1"/>
  <c r="I1032" i="1"/>
  <c r="I613" i="1"/>
  <c r="I725" i="1"/>
  <c r="I125" i="1"/>
  <c r="I260" i="1"/>
  <c r="I839" i="1"/>
  <c r="I1667" i="1"/>
  <c r="I1447" i="1"/>
  <c r="I372" i="1"/>
  <c r="I9" i="1"/>
  <c r="I1680" i="1"/>
  <c r="I1734" i="1"/>
  <c r="I298" i="1"/>
  <c r="I1564" i="1"/>
  <c r="I1343" i="1"/>
  <c r="I1196" i="1"/>
  <c r="I513" i="1"/>
  <c r="I136" i="1"/>
  <c r="I1568" i="1"/>
  <c r="I948" i="1"/>
  <c r="I1766" i="1"/>
  <c r="I538" i="1"/>
  <c r="I1360" i="1"/>
  <c r="I778" i="1"/>
  <c r="I412" i="1"/>
  <c r="I649" i="1"/>
  <c r="I1759" i="1"/>
  <c r="I876" i="1"/>
  <c r="I482" i="1"/>
  <c r="I429" i="1"/>
  <c r="I933" i="1"/>
  <c r="I703" i="1"/>
  <c r="I584" i="1"/>
  <c r="I1422" i="1"/>
  <c r="I219" i="1"/>
  <c r="I988" i="1"/>
  <c r="I324" i="1"/>
  <c r="I960" i="1"/>
  <c r="I1150" i="1"/>
  <c r="I1542" i="1"/>
  <c r="I717" i="1"/>
  <c r="I1736" i="1"/>
  <c r="I193" i="1"/>
  <c r="I162" i="1"/>
  <c r="I245" i="1"/>
  <c r="I1545" i="1"/>
  <c r="I138" i="1"/>
  <c r="I1657" i="1"/>
  <c r="I408" i="1"/>
  <c r="I1724" i="1"/>
  <c r="I737" i="1"/>
  <c r="I1544" i="1"/>
  <c r="I965" i="1"/>
  <c r="I1309" i="1"/>
  <c r="I68" i="1"/>
  <c r="I1176" i="1"/>
  <c r="I1604" i="1"/>
  <c r="I1720" i="1"/>
  <c r="I423" i="1"/>
  <c r="I226" i="1"/>
  <c r="I192" i="1"/>
  <c r="I1029" i="1"/>
  <c r="I729" i="1"/>
  <c r="I181" i="1"/>
  <c r="I1359" i="1"/>
  <c r="I1630" i="1"/>
  <c r="I1502" i="1"/>
  <c r="I711" i="1"/>
  <c r="I1770" i="1"/>
  <c r="I220" i="1"/>
  <c r="I1251" i="1"/>
  <c r="I1390" i="1"/>
  <c r="I157" i="1"/>
  <c r="I206" i="1"/>
  <c r="I1532" i="1"/>
  <c r="I775" i="1"/>
  <c r="I1193" i="1"/>
  <c r="I1554" i="1"/>
  <c r="I1733" i="1"/>
  <c r="I973" i="1"/>
  <c r="I1107" i="1"/>
  <c r="I1175" i="1"/>
  <c r="I1048" i="1"/>
  <c r="I542" i="1"/>
  <c r="I704" i="1"/>
  <c r="I254" i="1"/>
  <c r="I638" i="1"/>
  <c r="I10" i="1"/>
  <c r="I881" i="1"/>
  <c r="I1710" i="1"/>
  <c r="I200" i="1"/>
  <c r="I1518" i="1"/>
  <c r="I995" i="1"/>
  <c r="I1260" i="1"/>
  <c r="I269" i="1"/>
  <c r="I1650" i="1"/>
  <c r="I187" i="1"/>
  <c r="I72" i="1"/>
  <c r="I475" i="1"/>
  <c r="I1690" i="1"/>
  <c r="I272" i="1"/>
  <c r="I517" i="1"/>
  <c r="I867" i="1"/>
  <c r="I681" i="1"/>
  <c r="I326" i="1"/>
  <c r="I171" i="1"/>
  <c r="I975" i="1"/>
  <c r="I291" i="1"/>
  <c r="I370" i="1"/>
  <c r="I619" i="1"/>
  <c r="I792" i="1"/>
  <c r="I856" i="1"/>
  <c r="I1672" i="1"/>
  <c r="I1095" i="1"/>
  <c r="I1161" i="1"/>
  <c r="I1764" i="1"/>
  <c r="I583" i="1"/>
  <c r="I1210" i="1"/>
  <c r="I810" i="1"/>
  <c r="I1401" i="1"/>
  <c r="I1358" i="1"/>
  <c r="I384" i="1"/>
  <c r="I1743" i="1"/>
  <c r="I1440" i="1"/>
  <c r="I802" i="1"/>
  <c r="I1278" i="1"/>
  <c r="I964" i="1"/>
  <c r="I1615" i="1"/>
  <c r="I994" i="1"/>
  <c r="I1500" i="1"/>
  <c r="I1506" i="1"/>
  <c r="I1402" i="1"/>
  <c r="I723" i="1"/>
  <c r="I1040" i="1"/>
  <c r="C40" i="4"/>
  <c r="F40" i="4"/>
  <c r="H40" i="4"/>
  <c r="C40" i="3"/>
  <c r="D40" i="3"/>
  <c r="E40" i="3"/>
  <c r="F40" i="3"/>
  <c r="G40" i="3"/>
  <c r="H40" i="3"/>
  <c r="I40" i="3"/>
  <c r="C41" i="3"/>
  <c r="D41" i="3"/>
  <c r="E41" i="3"/>
  <c r="F41" i="3"/>
  <c r="G41" i="3"/>
  <c r="H41" i="3"/>
  <c r="I41" i="3"/>
  <c r="I40" i="4" l="1"/>
  <c r="G40" i="4"/>
  <c r="J40" i="4"/>
  <c r="K40" i="4" s="1"/>
  <c r="C36" i="3" l="1"/>
  <c r="C37" i="3"/>
  <c r="C38" i="3"/>
  <c r="C39" i="3"/>
  <c r="C44" i="3"/>
  <c r="C25" i="3"/>
  <c r="C26" i="3"/>
  <c r="C27" i="3"/>
  <c r="C28" i="3"/>
  <c r="C29" i="3"/>
  <c r="C30" i="3"/>
  <c r="C33" i="3"/>
  <c r="C14" i="3"/>
  <c r="C15" i="3"/>
  <c r="C16" i="3"/>
  <c r="C17" i="3"/>
  <c r="C18" i="3"/>
  <c r="C19" i="3"/>
  <c r="C20" i="3"/>
  <c r="C21" i="3"/>
  <c r="C22" i="3"/>
  <c r="C35" i="3"/>
  <c r="C24" i="3"/>
  <c r="C13" i="3"/>
  <c r="C4" i="3"/>
  <c r="C32" i="4"/>
  <c r="F32" i="4"/>
  <c r="H32" i="4"/>
  <c r="C33" i="4"/>
  <c r="F33" i="4"/>
  <c r="H33" i="4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3" i="3"/>
  <c r="E33" i="3"/>
  <c r="F33" i="3"/>
  <c r="G33" i="3"/>
  <c r="H33" i="3"/>
  <c r="I33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4" i="3"/>
  <c r="E44" i="3"/>
  <c r="F44" i="3"/>
  <c r="G44" i="3"/>
  <c r="H44" i="3"/>
  <c r="I44" i="3"/>
  <c r="I32" i="4" l="1"/>
  <c r="G32" i="4"/>
  <c r="I33" i="4"/>
  <c r="G33" i="4"/>
  <c r="I45" i="3"/>
  <c r="G45" i="3"/>
  <c r="E45" i="3"/>
  <c r="H45" i="3"/>
  <c r="F45" i="3"/>
  <c r="D45" i="3"/>
  <c r="E23" i="3"/>
  <c r="D23" i="3"/>
  <c r="I23" i="3"/>
  <c r="H23" i="3"/>
  <c r="G23" i="3"/>
  <c r="F23" i="3"/>
  <c r="H34" i="3"/>
  <c r="F34" i="3"/>
  <c r="D34" i="3"/>
  <c r="G34" i="3"/>
  <c r="E34" i="3"/>
  <c r="I34" i="3"/>
  <c r="C45" i="3"/>
  <c r="C34" i="3"/>
  <c r="C23" i="3"/>
  <c r="C12" i="3"/>
  <c r="J33" i="4"/>
  <c r="K33" i="4" s="1"/>
  <c r="J32" i="4"/>
  <c r="K32" i="4" s="1"/>
  <c r="C46" i="3" l="1"/>
  <c r="C36" i="4"/>
  <c r="F36" i="4"/>
  <c r="H36" i="4"/>
  <c r="C37" i="4"/>
  <c r="F37" i="4"/>
  <c r="H37" i="4"/>
  <c r="C38" i="4"/>
  <c r="F38" i="4"/>
  <c r="H38" i="4"/>
  <c r="C39" i="4"/>
  <c r="F39" i="4"/>
  <c r="H39" i="4"/>
  <c r="C41" i="4"/>
  <c r="F41" i="4"/>
  <c r="H41" i="4"/>
  <c r="C44" i="4"/>
  <c r="C14" i="4"/>
  <c r="F14" i="4"/>
  <c r="H14" i="4"/>
  <c r="C15" i="4"/>
  <c r="F15" i="4"/>
  <c r="H15" i="4"/>
  <c r="C16" i="4"/>
  <c r="F16" i="4"/>
  <c r="H16" i="4"/>
  <c r="C17" i="4"/>
  <c r="F17" i="4"/>
  <c r="H17" i="4"/>
  <c r="C18" i="4"/>
  <c r="F18" i="4"/>
  <c r="H18" i="4"/>
  <c r="C19" i="4"/>
  <c r="F19" i="4"/>
  <c r="H19" i="4"/>
  <c r="C20" i="4"/>
  <c r="F20" i="4"/>
  <c r="H20" i="4"/>
  <c r="G18" i="4" l="1"/>
  <c r="I36" i="4"/>
  <c r="G14" i="4"/>
  <c r="J36" i="4"/>
  <c r="K36" i="4" s="1"/>
  <c r="J41" i="4"/>
  <c r="K41" i="4" s="1"/>
  <c r="J37" i="4"/>
  <c r="K37" i="4" s="1"/>
  <c r="G37" i="4"/>
  <c r="J17" i="4"/>
  <c r="K17" i="4" s="1"/>
  <c r="J39" i="4"/>
  <c r="K39" i="4" s="1"/>
  <c r="J20" i="4"/>
  <c r="K20" i="4" s="1"/>
  <c r="I17" i="4"/>
  <c r="I39" i="4"/>
  <c r="J15" i="4"/>
  <c r="K15" i="4" s="1"/>
  <c r="I38" i="4"/>
  <c r="G19" i="4"/>
  <c r="G41" i="4"/>
  <c r="J38" i="4"/>
  <c r="K38" i="4" s="1"/>
  <c r="G36" i="4"/>
  <c r="I19" i="4"/>
  <c r="I15" i="4"/>
  <c r="I41" i="4"/>
  <c r="I37" i="4"/>
  <c r="I20" i="4"/>
  <c r="I18" i="4"/>
  <c r="I16" i="4"/>
  <c r="I14" i="4"/>
  <c r="G38" i="4"/>
  <c r="G39" i="4"/>
  <c r="G20" i="4"/>
  <c r="J16" i="4"/>
  <c r="K16" i="4" s="1"/>
  <c r="J14" i="4"/>
  <c r="K14" i="4" s="1"/>
  <c r="J19" i="4"/>
  <c r="K19" i="4" s="1"/>
  <c r="G17" i="4"/>
  <c r="G15" i="4"/>
  <c r="G16" i="4"/>
  <c r="J18" i="4"/>
  <c r="K18" i="4" s="1"/>
  <c r="C1" i="1" l="1"/>
  <c r="C11" i="4" l="1"/>
  <c r="F11" i="4"/>
  <c r="H11" i="4"/>
  <c r="I11" i="4" l="1"/>
  <c r="G11" i="4"/>
  <c r="J11" i="4"/>
  <c r="K11" i="4" s="1"/>
  <c r="C25" i="4" l="1"/>
  <c r="F25" i="4"/>
  <c r="H25" i="4"/>
  <c r="C26" i="4"/>
  <c r="F26" i="4"/>
  <c r="H26" i="4"/>
  <c r="C27" i="4"/>
  <c r="F27" i="4"/>
  <c r="H27" i="4"/>
  <c r="C28" i="4"/>
  <c r="F28" i="4"/>
  <c r="H28" i="4"/>
  <c r="C29" i="4"/>
  <c r="F29" i="4"/>
  <c r="H29" i="4"/>
  <c r="I29" i="4" l="1"/>
  <c r="J28" i="4"/>
  <c r="K28" i="4" s="1"/>
  <c r="I28" i="4"/>
  <c r="I25" i="4"/>
  <c r="G25" i="4"/>
  <c r="I27" i="4"/>
  <c r="G29" i="4"/>
  <c r="I26" i="4"/>
  <c r="G26" i="4"/>
  <c r="J27" i="4"/>
  <c r="K27" i="4" s="1"/>
  <c r="J25" i="4"/>
  <c r="K25" i="4" s="1"/>
  <c r="G28" i="4"/>
  <c r="J26" i="4"/>
  <c r="K26" i="4" s="1"/>
  <c r="G27" i="4"/>
  <c r="J29" i="4"/>
  <c r="K29" i="4" s="1"/>
  <c r="H44" i="4" l="1"/>
  <c r="I44" i="4" s="1"/>
  <c r="H5" i="4"/>
  <c r="I5" i="4" s="1"/>
  <c r="F44" i="4"/>
  <c r="F5" i="4"/>
  <c r="H35" i="4"/>
  <c r="F35" i="4"/>
  <c r="C35" i="4"/>
  <c r="J44" i="4" l="1"/>
  <c r="K44" i="4" s="1"/>
  <c r="G44" i="4"/>
  <c r="J5" i="4"/>
  <c r="K5" i="4" s="1"/>
  <c r="G5" i="4"/>
  <c r="C45" i="4"/>
  <c r="G35" i="4"/>
  <c r="I35" i="4"/>
  <c r="F45" i="4"/>
  <c r="H45" i="4"/>
  <c r="J35" i="4"/>
  <c r="G45" i="4" l="1"/>
  <c r="I45" i="4"/>
  <c r="K35" i="4"/>
  <c r="J45" i="4"/>
  <c r="K45" i="4" s="1"/>
  <c r="H4" i="4" l="1"/>
  <c r="H13" i="4"/>
  <c r="F4" i="4"/>
  <c r="F13" i="4"/>
  <c r="F24" i="4"/>
  <c r="H24" i="4"/>
  <c r="J24" i="4" l="1"/>
  <c r="J13" i="4"/>
  <c r="H23" i="4"/>
  <c r="F12" i="4"/>
  <c r="H34" i="4"/>
  <c r="F23" i="4"/>
  <c r="F34" i="4"/>
  <c r="H12" i="4"/>
  <c r="J4" i="4"/>
  <c r="F46" i="4" l="1"/>
  <c r="H46" i="4"/>
  <c r="J23" i="4"/>
  <c r="J34" i="4"/>
  <c r="J12" i="4"/>
  <c r="J46" i="4" l="1"/>
  <c r="C24" i="4" l="1"/>
  <c r="G24" i="4" l="1"/>
  <c r="I24" i="4"/>
  <c r="K24" i="4"/>
  <c r="C13" i="4" l="1"/>
  <c r="G13" i="4" l="1"/>
  <c r="I13" i="4"/>
  <c r="K13" i="4"/>
  <c r="C4" i="4" l="1"/>
  <c r="C12" i="4" l="1"/>
  <c r="G4" i="4"/>
  <c r="I4" i="4"/>
  <c r="K4" i="4"/>
  <c r="G12" i="4" l="1"/>
  <c r="I12" i="4"/>
  <c r="K12" i="4"/>
  <c r="D503" i="1" l="1"/>
  <c r="D9" i="4" s="1"/>
  <c r="E9" i="4" s="1"/>
  <c r="E503" i="1"/>
  <c r="F503" i="1"/>
  <c r="G503" i="1"/>
  <c r="H503" i="1"/>
  <c r="D40" i="4" l="1"/>
  <c r="E40" i="4" s="1"/>
  <c r="D32" i="4"/>
  <c r="E32" i="4" s="1"/>
  <c r="D44" i="4"/>
  <c r="E44" i="4" s="1"/>
  <c r="D17" i="4"/>
  <c r="E17" i="4" s="1"/>
  <c r="D33" i="4"/>
  <c r="E33" i="4" s="1"/>
  <c r="D38" i="4"/>
  <c r="E38" i="4" s="1"/>
  <c r="D41" i="4"/>
  <c r="E41" i="4" s="1"/>
  <c r="D37" i="4"/>
  <c r="E37" i="4" s="1"/>
  <c r="D11" i="4"/>
  <c r="E11" i="4" s="1"/>
  <c r="D15" i="4"/>
  <c r="E15" i="4" s="1"/>
  <c r="D39" i="4"/>
  <c r="E39" i="4" s="1"/>
  <c r="D14" i="4"/>
  <c r="E14" i="4" s="1"/>
  <c r="D36" i="4"/>
  <c r="E36" i="4" s="1"/>
  <c r="D18" i="4"/>
  <c r="E18" i="4" s="1"/>
  <c r="D20" i="4"/>
  <c r="E20" i="4" s="1"/>
  <c r="D16" i="4"/>
  <c r="E16" i="4" s="1"/>
  <c r="D19" i="4"/>
  <c r="E19" i="4" s="1"/>
  <c r="E1" i="1"/>
  <c r="H1" i="1"/>
  <c r="D1" i="1"/>
  <c r="G1" i="1"/>
  <c r="F1" i="1"/>
  <c r="D28" i="4"/>
  <c r="E28" i="4" s="1"/>
  <c r="D25" i="4"/>
  <c r="E25" i="4" s="1"/>
  <c r="D26" i="4"/>
  <c r="E26" i="4" s="1"/>
  <c r="D29" i="4"/>
  <c r="E29" i="4" s="1"/>
  <c r="D27" i="4"/>
  <c r="E27" i="4" s="1"/>
  <c r="I503" i="1"/>
  <c r="D35" i="4"/>
  <c r="C34" i="4"/>
  <c r="C23" i="4"/>
  <c r="D24" i="4"/>
  <c r="D13" i="4"/>
  <c r="D4" i="4"/>
  <c r="I1" i="1" l="1"/>
  <c r="C46" i="4"/>
  <c r="E35" i="4"/>
  <c r="D45" i="4"/>
  <c r="E45" i="4" s="1"/>
  <c r="K23" i="4"/>
  <c r="I23" i="4"/>
  <c r="G23" i="4"/>
  <c r="I34" i="4"/>
  <c r="G34" i="4"/>
  <c r="K34" i="4"/>
  <c r="D34" i="4"/>
  <c r="E24" i="4"/>
  <c r="E4" i="4"/>
  <c r="D12" i="4"/>
  <c r="D23" i="4"/>
  <c r="E23" i="4" s="1"/>
  <c r="E13" i="4"/>
  <c r="D46" i="4" l="1"/>
  <c r="I46" i="4"/>
  <c r="G46" i="4"/>
  <c r="K46" i="4"/>
  <c r="E12" i="4"/>
  <c r="E34" i="4"/>
  <c r="E46" i="4" l="1"/>
  <c r="I4" i="3"/>
  <c r="I12" i="3" s="1"/>
  <c r="I46" i="3" s="1"/>
  <c r="H4" i="3"/>
  <c r="H12" i="3" s="1"/>
  <c r="H46" i="3" s="1"/>
  <c r="G4" i="3"/>
  <c r="G12" i="3" s="1"/>
  <c r="G46" i="3" s="1"/>
  <c r="F4" i="3"/>
  <c r="F12" i="3" s="1"/>
  <c r="F46" i="3" s="1"/>
  <c r="E4" i="3"/>
  <c r="E12" i="3" s="1"/>
  <c r="E46" i="3" s="1"/>
  <c r="D4" i="3"/>
  <c r="D12" i="3" s="1"/>
  <c r="D46" i="3" s="1"/>
</calcChain>
</file>

<file path=xl/sharedStrings.xml><?xml version="1.0" encoding="utf-8"?>
<sst xmlns="http://schemas.openxmlformats.org/spreadsheetml/2006/main" count="17572" uniqueCount="4832">
  <si>
    <t>DSO</t>
  </si>
  <si>
    <t>AGENT SHOP NAME</t>
  </si>
  <si>
    <t>UDDOKTA</t>
  </si>
  <si>
    <t>BALANCE</t>
  </si>
  <si>
    <t>B2BS_AMT</t>
  </si>
  <si>
    <t>B2BR_AMT</t>
  </si>
  <si>
    <t>B2B GAP</t>
  </si>
  <si>
    <t>DSO NO</t>
  </si>
  <si>
    <t>DSO NAME</t>
  </si>
  <si>
    <t xml:space="preserve">Till-B2BS </t>
  </si>
  <si>
    <t>Till-B2BR</t>
  </si>
  <si>
    <t>Till Day CI</t>
  </si>
  <si>
    <t>Till Day CO</t>
  </si>
  <si>
    <t>Till Txn</t>
  </si>
  <si>
    <t>SAZZAD ISLAM</t>
  </si>
  <si>
    <t>MD. JAMAL ISLAM</t>
  </si>
  <si>
    <t>NINTANONDO ROY</t>
  </si>
  <si>
    <t>SREE BINDABON CHANDRA</t>
  </si>
  <si>
    <t>PITUS ROY</t>
  </si>
  <si>
    <t>AJHARUL</t>
  </si>
  <si>
    <t>ABDUS SALAM</t>
  </si>
  <si>
    <t>MD. ABDUL MANNAN</t>
  </si>
  <si>
    <t>RIMON ROY</t>
  </si>
  <si>
    <t>ASBI KARIM</t>
  </si>
  <si>
    <t>MD. GOLAM KIBRIA</t>
  </si>
  <si>
    <t>MONI BHUSION ROY</t>
  </si>
  <si>
    <t>ARUN ROY</t>
  </si>
  <si>
    <t>Uddokta wise DSO Sales SUMMARY</t>
  </si>
  <si>
    <t>Cash In</t>
  </si>
  <si>
    <t>%</t>
  </si>
  <si>
    <t>(CI+CO)</t>
  </si>
  <si>
    <t>MD. RUHUL AMIN</t>
  </si>
  <si>
    <t>SREE JOTISH CHANDRO ROY</t>
  </si>
  <si>
    <t>MD. ALAMIN ISLAM</t>
  </si>
  <si>
    <t>1k-Balance Ach.</t>
  </si>
  <si>
    <t>SUJAN SARKERR</t>
  </si>
  <si>
    <t>S-R=3k Ach.</t>
  </si>
  <si>
    <t>R-S=2k</t>
  </si>
  <si>
    <t>Total Strike</t>
  </si>
  <si>
    <t>MD. SUJAN ISLAM</t>
  </si>
  <si>
    <t>MD. ANZARUL ISLAM</t>
  </si>
  <si>
    <t>S</t>
  </si>
  <si>
    <t>R</t>
  </si>
  <si>
    <t>BABUL CHANDRO ROY</t>
  </si>
  <si>
    <t>GOPEN CHANDRO ROY</t>
  </si>
  <si>
    <t>MD. SAZZADUL ISLAM SOHAG</t>
  </si>
  <si>
    <t>MD. SUMON RAHMAN</t>
  </si>
  <si>
    <t>TONOY SINGHA ROY</t>
  </si>
  <si>
    <t>MD AZAD ALI</t>
  </si>
  <si>
    <t>SELIM SAZZAD</t>
  </si>
  <si>
    <t>NAHID ISLAM</t>
  </si>
  <si>
    <t>MD. EAMAN ALI</t>
  </si>
  <si>
    <t>01334764520</t>
  </si>
  <si>
    <t>01334764502</t>
  </si>
  <si>
    <t>01334764508</t>
  </si>
  <si>
    <t>01334764524</t>
  </si>
  <si>
    <t>01334764509</t>
  </si>
  <si>
    <t>01334764534</t>
  </si>
  <si>
    <t>01334764515</t>
  </si>
  <si>
    <t>01334764536</t>
  </si>
  <si>
    <t>01334764514</t>
  </si>
  <si>
    <t>01334764507</t>
  </si>
  <si>
    <t>01334764529</t>
  </si>
  <si>
    <t>01334764522</t>
  </si>
  <si>
    <t>01334764504</t>
  </si>
  <si>
    <t>01334764503</t>
  </si>
  <si>
    <t>01334764521</t>
  </si>
  <si>
    <t>01334764532</t>
  </si>
  <si>
    <t>01334764516</t>
  </si>
  <si>
    <t>01334764501</t>
  </si>
  <si>
    <t>01334764510</t>
  </si>
  <si>
    <t>01334764531</t>
  </si>
  <si>
    <t>01334764538</t>
  </si>
  <si>
    <t>01334764512</t>
  </si>
  <si>
    <t>01334764517</t>
  </si>
  <si>
    <t>01334764513</t>
  </si>
  <si>
    <t>01334764523</t>
  </si>
  <si>
    <t>01334764506</t>
  </si>
  <si>
    <t>01334764527</t>
  </si>
  <si>
    <t>01334764526</t>
  </si>
  <si>
    <t>01334764519</t>
  </si>
  <si>
    <t>01334764533</t>
  </si>
  <si>
    <t>01334764505</t>
  </si>
  <si>
    <t>01334764525</t>
  </si>
  <si>
    <t>01334764530</t>
  </si>
  <si>
    <t>01334764537</t>
  </si>
  <si>
    <t>01334764535</t>
  </si>
  <si>
    <t>01334764511</t>
  </si>
  <si>
    <t>MD. MIRAJUL ISLAM</t>
  </si>
  <si>
    <t>ABU MUSA</t>
  </si>
  <si>
    <t>MOSIUR RAHMAN</t>
  </si>
  <si>
    <t>UTTAM ROY</t>
  </si>
  <si>
    <t>01334764528</t>
  </si>
  <si>
    <t>01334764518</t>
  </si>
  <si>
    <t xml:space="preserve">ABDUL MAJED </t>
  </si>
  <si>
    <t>RIPON ISLAM</t>
  </si>
  <si>
    <t xml:space="preserve">MD. SHAHIN ISLAM </t>
  </si>
  <si>
    <t>UTTOM KUMAR</t>
  </si>
  <si>
    <t>M/S. SOURAV TRADERS-38</t>
  </si>
  <si>
    <t>SATYENDRONATH ROY-10</t>
  </si>
  <si>
    <t>MD. AZAM ISLAM-10</t>
  </si>
  <si>
    <t>PRODESH CHANDRO ROY</t>
  </si>
  <si>
    <t>MD. ALAMIN ISLAM-2</t>
  </si>
  <si>
    <t>MD. REJAUL ISLAM-10</t>
  </si>
  <si>
    <t>SUMON RAY-8</t>
  </si>
  <si>
    <t>MUNSIF TRADERS</t>
  </si>
  <si>
    <t>01793001015</t>
  </si>
  <si>
    <t>M/S SADHIN SENETARI AND HARDWARE</t>
  </si>
  <si>
    <t>01713723017</t>
  </si>
  <si>
    <t>Rofique Confectionery</t>
  </si>
  <si>
    <t>01936899961</t>
  </si>
  <si>
    <t>M/S SAMMI PHARMACY</t>
  </si>
  <si>
    <t>01768459894</t>
  </si>
  <si>
    <t>Ria Farmace</t>
  </si>
  <si>
    <t>01730186827</t>
  </si>
  <si>
    <t>Janata Telecom</t>
  </si>
  <si>
    <t>01797839910</t>
  </si>
  <si>
    <t>MS SHORIFUL ISH TRADERS</t>
  </si>
  <si>
    <t>01740235827</t>
  </si>
  <si>
    <t>AYAT TELECOM</t>
  </si>
  <si>
    <t>01733517324</t>
  </si>
  <si>
    <t>Jiya Cosmetic  &amp; Digital</t>
  </si>
  <si>
    <t>01740068606</t>
  </si>
  <si>
    <t>Moklesur Telecom</t>
  </si>
  <si>
    <t>01713765975</t>
  </si>
  <si>
    <t>Zahid Varities</t>
  </si>
  <si>
    <t>01713727915</t>
  </si>
  <si>
    <t>MS JUI COSMETICKS</t>
  </si>
  <si>
    <t>01763281327</t>
  </si>
  <si>
    <t>NISHI ENTERPRISE</t>
  </si>
  <si>
    <t>01734124552</t>
  </si>
  <si>
    <t>RADHIKA TRADERS</t>
  </si>
  <si>
    <t>01749692842</t>
  </si>
  <si>
    <t>TAFIJUL TELECOM</t>
  </si>
  <si>
    <t>01714507820</t>
  </si>
  <si>
    <t>SAKIL TELECOM</t>
  </si>
  <si>
    <t>01729898773</t>
  </si>
  <si>
    <t>L . T.S. TELECOM</t>
  </si>
  <si>
    <t>01341329037</t>
  </si>
  <si>
    <t>MAYER DOYA TELECOM</t>
  </si>
  <si>
    <t>01710538076</t>
  </si>
  <si>
    <t>M/S Halim Pharmacy</t>
  </si>
  <si>
    <t>01773127707</t>
  </si>
  <si>
    <t>Gopal Telecom</t>
  </si>
  <si>
    <t>01911504400</t>
  </si>
  <si>
    <t>VAI VAI STORE</t>
  </si>
  <si>
    <t>01346263318</t>
  </si>
  <si>
    <t>MA TELECOM</t>
  </si>
  <si>
    <t>01755434888</t>
  </si>
  <si>
    <t>Akhi Telecom</t>
  </si>
  <si>
    <t>01724137624</t>
  </si>
  <si>
    <t>GREEN IT CENTER</t>
  </si>
  <si>
    <t>01785313584</t>
  </si>
  <si>
    <t>MILON STORE</t>
  </si>
  <si>
    <t>01310383475</t>
  </si>
  <si>
    <t>RAKIBUL TELECOM</t>
  </si>
  <si>
    <t>01327821200</t>
  </si>
  <si>
    <t>GITA TELECOM</t>
  </si>
  <si>
    <t>01761662661</t>
  </si>
  <si>
    <t>DULU ELECTRIC</t>
  </si>
  <si>
    <t>01744666671</t>
  </si>
  <si>
    <t>ROHAN TRADERS</t>
  </si>
  <si>
    <t>01305662087</t>
  </si>
  <si>
    <t>M/S. Hori chandro Telecom</t>
  </si>
  <si>
    <t>01717400009</t>
  </si>
  <si>
    <t>Sojib Pharmacy</t>
  </si>
  <si>
    <t>01311964806</t>
  </si>
  <si>
    <t>MIRAZ STORE</t>
  </si>
  <si>
    <t>01346277833</t>
  </si>
  <si>
    <t>SOPNIL MULTIMEDIA</t>
  </si>
  <si>
    <t>01304113639</t>
  </si>
  <si>
    <t>M/S INAN O EHAN VARIETIES STORE</t>
  </si>
  <si>
    <t>01717105508</t>
  </si>
  <si>
    <t>SOHIDUL PHARMACY</t>
  </si>
  <si>
    <t>01329071240</t>
  </si>
  <si>
    <t>TUBA VARIETIES STORE</t>
  </si>
  <si>
    <t>01343136244</t>
  </si>
  <si>
    <t>RAJENDRO NATH STORE</t>
  </si>
  <si>
    <t>01305118116</t>
  </si>
  <si>
    <t>NUR ELECTRIC</t>
  </si>
  <si>
    <t>01770505426</t>
  </si>
  <si>
    <t>MUN PHARMACY</t>
  </si>
  <si>
    <t>01788654188</t>
  </si>
  <si>
    <t>SARKER ELECTRIC</t>
  </si>
  <si>
    <t>01332109645</t>
  </si>
  <si>
    <t>M/S BOCHIR UDDIN TRADERS</t>
  </si>
  <si>
    <t>01791949598</t>
  </si>
  <si>
    <t>Priti Telecom</t>
  </si>
  <si>
    <t>01742417484</t>
  </si>
  <si>
    <t>MAYER DOA STORE</t>
  </si>
  <si>
    <t>01333953167</t>
  </si>
  <si>
    <t>MA BABAR DOA GARMENTS AND CLOTH</t>
  </si>
  <si>
    <t>01854003394</t>
  </si>
  <si>
    <t>ANKON TELECOM</t>
  </si>
  <si>
    <t>01766642799</t>
  </si>
  <si>
    <t>Shultan Telecom</t>
  </si>
  <si>
    <t>01823032580</t>
  </si>
  <si>
    <t>LATEFUL STORE</t>
  </si>
  <si>
    <t>01737890935</t>
  </si>
  <si>
    <t>NIDHI ISHA TELECOM AND CENTER</t>
  </si>
  <si>
    <t>01346393155</t>
  </si>
  <si>
    <t>M/S BONDHU STORE</t>
  </si>
  <si>
    <t>01750954897</t>
  </si>
  <si>
    <t>Rashel Electronice</t>
  </si>
  <si>
    <t>01706303555</t>
  </si>
  <si>
    <t>Puspo Mobile House</t>
  </si>
  <si>
    <t>01788262000</t>
  </si>
  <si>
    <t>RASHI COSMETICS</t>
  </si>
  <si>
    <t>01780878491</t>
  </si>
  <si>
    <t>M/S. Nabab Tradars</t>
  </si>
  <si>
    <t>01737142291</t>
  </si>
  <si>
    <t>Labu Telecom</t>
  </si>
  <si>
    <t>01723705310</t>
  </si>
  <si>
    <t>UTSO TREDARS</t>
  </si>
  <si>
    <t>01313886200</t>
  </si>
  <si>
    <t>TOUFIK TRADERS</t>
  </si>
  <si>
    <t>01333439360</t>
  </si>
  <si>
    <t>Ma Moni Electric</t>
  </si>
  <si>
    <t>01783045133</t>
  </si>
  <si>
    <t>M/S AYAT TRADERS</t>
  </si>
  <si>
    <t>01614017784</t>
  </si>
  <si>
    <t>SOHAN STORE</t>
  </si>
  <si>
    <t>01601324400</t>
  </si>
  <si>
    <t>M/S RIPON TELECOM</t>
  </si>
  <si>
    <t>01796542550</t>
  </si>
  <si>
    <t>M/S Tahera  Traders,</t>
  </si>
  <si>
    <t>01300139414</t>
  </si>
  <si>
    <t>BHAI BHAI TELECOM  AND STUDIO</t>
  </si>
  <si>
    <t>01310101052</t>
  </si>
  <si>
    <t>M/S Tahera Traders</t>
  </si>
  <si>
    <t>01785647050</t>
  </si>
  <si>
    <t>Sumiya Telecom</t>
  </si>
  <si>
    <t>01710128781</t>
  </si>
  <si>
    <t>Mujahid Telecom</t>
  </si>
  <si>
    <t>01788121219</t>
  </si>
  <si>
    <t>MA BABAR DOA BEKARI</t>
  </si>
  <si>
    <t>01309464194</t>
  </si>
  <si>
    <t>M/S ZIARUL TRADERS</t>
  </si>
  <si>
    <t>01767559430</t>
  </si>
  <si>
    <t>SUMON TELECOM</t>
  </si>
  <si>
    <t>01717467677</t>
  </si>
  <si>
    <t>MAYER DOWA ELECTRONIX</t>
  </si>
  <si>
    <t>01715442362</t>
  </si>
  <si>
    <t>ATIKUL TELECOM</t>
  </si>
  <si>
    <t>01911085300</t>
  </si>
  <si>
    <t>01793166800</t>
  </si>
  <si>
    <t>M/S M. M A Traders</t>
  </si>
  <si>
    <t>01718624837</t>
  </si>
  <si>
    <t>M/S Sakil Traders</t>
  </si>
  <si>
    <t>01722699099</t>
  </si>
  <si>
    <t>Al Mahamud Farmeci</t>
  </si>
  <si>
    <t>01729565563</t>
  </si>
  <si>
    <t>SUMAIYA PHARMACY</t>
  </si>
  <si>
    <t>01781552174</t>
  </si>
  <si>
    <t>MASUD TELECOM O DIGITAL STUDIO</t>
  </si>
  <si>
    <t>01797707405</t>
  </si>
  <si>
    <t>Lion Telecom</t>
  </si>
  <si>
    <t>01318014408</t>
  </si>
  <si>
    <t>MUHID TRADERS</t>
  </si>
  <si>
    <t>01332021830</t>
  </si>
  <si>
    <t>M/S MOZAHID STUDIO AND TELICOM</t>
  </si>
  <si>
    <t>01988710381</t>
  </si>
  <si>
    <t>Monoz telecom</t>
  </si>
  <si>
    <t>01746093400</t>
  </si>
  <si>
    <t>YEASIN HOMEO HALL</t>
  </si>
  <si>
    <t>01791313515</t>
  </si>
  <si>
    <t>Medha Telecom</t>
  </si>
  <si>
    <t>01310161037</t>
  </si>
  <si>
    <t>CROKERISE</t>
  </si>
  <si>
    <t>01784849464</t>
  </si>
  <si>
    <t>MITHAI SWEETS</t>
  </si>
  <si>
    <t>01820027375</t>
  </si>
  <si>
    <t>MS BABU TELECOM</t>
  </si>
  <si>
    <t>01580980600</t>
  </si>
  <si>
    <t>BIPUL TELECOM</t>
  </si>
  <si>
    <t>01788053296</t>
  </si>
  <si>
    <t>Mizan Medecine Hole</t>
  </si>
  <si>
    <t>01980224453</t>
  </si>
  <si>
    <t>Momin Telecom</t>
  </si>
  <si>
    <t>01797833666</t>
  </si>
  <si>
    <t>RABIUL SWEET AND CONFECTIONERY</t>
  </si>
  <si>
    <t>01341031056</t>
  </si>
  <si>
    <t>Firoj Telecom</t>
  </si>
  <si>
    <t>01312758449</t>
  </si>
  <si>
    <t>Towhid Computer</t>
  </si>
  <si>
    <t>01521423821</t>
  </si>
  <si>
    <t>Bismilla Cosmetic</t>
  </si>
  <si>
    <t>01714053669</t>
  </si>
  <si>
    <t>Megmela Telecom</t>
  </si>
  <si>
    <t>01972481479</t>
  </si>
  <si>
    <t>Sadia Telecom</t>
  </si>
  <si>
    <t>01302167615</t>
  </si>
  <si>
    <t>SHAKILA STORE</t>
  </si>
  <si>
    <t>01748586837</t>
  </si>
  <si>
    <t>Alif Mike And Mim Sound System</t>
  </si>
  <si>
    <t>01990147344</t>
  </si>
  <si>
    <t>Rubel Telecom</t>
  </si>
  <si>
    <t>01755211515</t>
  </si>
  <si>
    <t>Bondho Store</t>
  </si>
  <si>
    <t>01924125984</t>
  </si>
  <si>
    <t>Alamin Telecom</t>
  </si>
  <si>
    <t>01729040395</t>
  </si>
  <si>
    <t>Syed Telecom</t>
  </si>
  <si>
    <t>01710569494</t>
  </si>
  <si>
    <t>Masud Traders</t>
  </si>
  <si>
    <t>01309414540</t>
  </si>
  <si>
    <t>Juyel  Telecom</t>
  </si>
  <si>
    <t>01730820764</t>
  </si>
  <si>
    <t>MD ARAFAT TRADERS</t>
  </si>
  <si>
    <t>01788215534</t>
  </si>
  <si>
    <t>VAI VAI TREDARS</t>
  </si>
  <si>
    <t>01760502065</t>
  </si>
  <si>
    <t>SAIFUL TELECOM</t>
  </si>
  <si>
    <t>01784028134</t>
  </si>
  <si>
    <t>SINHA TELECOM</t>
  </si>
  <si>
    <t>01945840388</t>
  </si>
  <si>
    <t>M/S Shadin  Digital Studio &amp;  Stationary</t>
  </si>
  <si>
    <t>01745214425</t>
  </si>
  <si>
    <t>M/S JEWELL VARIETIES STORE</t>
  </si>
  <si>
    <t>01986649424</t>
  </si>
  <si>
    <t>Brothers Telecom</t>
  </si>
  <si>
    <t>01784476088</t>
  </si>
  <si>
    <t>Hasanul Telecom</t>
  </si>
  <si>
    <t>01764981832</t>
  </si>
  <si>
    <t>JOYNAL TELECOM</t>
  </si>
  <si>
    <t>01740063561</t>
  </si>
  <si>
    <t>Akhi Cosmetice</t>
  </si>
  <si>
    <t>01751047450</t>
  </si>
  <si>
    <t>MA SOTOTA BANIJJALOY</t>
  </si>
  <si>
    <t>01706423167</t>
  </si>
  <si>
    <t>JAMAN COSMETICES AND GIFT STORE</t>
  </si>
  <si>
    <t>01715000142</t>
  </si>
  <si>
    <t>A. M. Mi. Ti. C</t>
  </si>
  <si>
    <t>01940673500</t>
  </si>
  <si>
    <t>LELIN DIGITAL STUDIO</t>
  </si>
  <si>
    <t>01793805014</t>
  </si>
  <si>
    <t>M/S RAFIA TRADERS</t>
  </si>
  <si>
    <t>01834702651</t>
  </si>
  <si>
    <t>M/S.Prodhan Telecom</t>
  </si>
  <si>
    <t>01751113777</t>
  </si>
  <si>
    <t>NAJMUL STORE</t>
  </si>
  <si>
    <t>01328980414</t>
  </si>
  <si>
    <t>MENAZUL TELICOM</t>
  </si>
  <si>
    <t>01770623405</t>
  </si>
  <si>
    <t>MA ENTERPRISE</t>
  </si>
  <si>
    <t>01326026021</t>
  </si>
  <si>
    <t>A R TRADERS</t>
  </si>
  <si>
    <t>01779150510</t>
  </si>
  <si>
    <t>MOBILE CARE</t>
  </si>
  <si>
    <t>01576585957</t>
  </si>
  <si>
    <t>AFIYA STORE</t>
  </si>
  <si>
    <t>01316002265</t>
  </si>
  <si>
    <t>SAJU TELECOM</t>
  </si>
  <si>
    <t>01770030084</t>
  </si>
  <si>
    <t>Korimul Store</t>
  </si>
  <si>
    <t>01740800300</t>
  </si>
  <si>
    <t>BISMILLAH VERAITES STORE</t>
  </si>
  <si>
    <t>01346298636</t>
  </si>
  <si>
    <t>Motaleb Store</t>
  </si>
  <si>
    <t>01750446679</t>
  </si>
  <si>
    <t>Bismillah Electric</t>
  </si>
  <si>
    <t>01761326470</t>
  </si>
  <si>
    <t>MA MEDINCEN DIMLA</t>
  </si>
  <si>
    <t>01954488926</t>
  </si>
  <si>
    <t>Simla Cosmetice Store</t>
  </si>
  <si>
    <t>01722220292</t>
  </si>
  <si>
    <t>RANA VARIETIES STORE</t>
  </si>
  <si>
    <t>01859695678</t>
  </si>
  <si>
    <t>Masud Telecom</t>
  </si>
  <si>
    <t>01713721173</t>
  </si>
  <si>
    <t>Kasem Telecom</t>
  </si>
  <si>
    <t>01774502529</t>
  </si>
  <si>
    <t>Alomgir Pan Store</t>
  </si>
  <si>
    <t>01773064156</t>
  </si>
  <si>
    <t>SATOTA MINI PETROL PAM AND VARIETIES STORE</t>
  </si>
  <si>
    <t>01331901468</t>
  </si>
  <si>
    <t>SAKIB TELECOM</t>
  </si>
  <si>
    <t>01343218450</t>
  </si>
  <si>
    <t>M/S JIMEL TRADERS</t>
  </si>
  <si>
    <t>01840556624</t>
  </si>
  <si>
    <t>Saju Store</t>
  </si>
  <si>
    <t>01797839909</t>
  </si>
  <si>
    <t>MIM COSMETICS</t>
  </si>
  <si>
    <t>01333864618</t>
  </si>
  <si>
    <t>ARIF TRADERS</t>
  </si>
  <si>
    <t>01957180660</t>
  </si>
  <si>
    <t>01820200485</t>
  </si>
  <si>
    <t>Dipok Hare</t>
  </si>
  <si>
    <t>01792998608</t>
  </si>
  <si>
    <t>Flexi Load &amp; Electric</t>
  </si>
  <si>
    <t>01751217353</t>
  </si>
  <si>
    <t>BISMILLAH ELECTRONICS</t>
  </si>
  <si>
    <t>01784289687</t>
  </si>
  <si>
    <t>KALAM TELECOM</t>
  </si>
  <si>
    <t>01717877778</t>
  </si>
  <si>
    <t>Labamba</t>
  </si>
  <si>
    <t>01774279363</t>
  </si>
  <si>
    <t>M/S Mun Traders</t>
  </si>
  <si>
    <t>01718876870</t>
  </si>
  <si>
    <t>MS ALAMIN PHARMACY</t>
  </si>
  <si>
    <t>01725058924</t>
  </si>
  <si>
    <t>SHARIF COMPUTER AND PHOTOCOPY</t>
  </si>
  <si>
    <t>01768522379</t>
  </si>
  <si>
    <t>MS RAISHA VARIETIES STORE</t>
  </si>
  <si>
    <t>01716956121</t>
  </si>
  <si>
    <t>MAHABUL STER</t>
  </si>
  <si>
    <t>01952969150</t>
  </si>
  <si>
    <t>SHAHIN TELECOM AND MOBILE ZONE</t>
  </si>
  <si>
    <t>01707992514</t>
  </si>
  <si>
    <t>RAISA COMPUTER AND MOBILE BANKING</t>
  </si>
  <si>
    <t>01781292103</t>
  </si>
  <si>
    <t>M/S MH TELECOM</t>
  </si>
  <si>
    <t>01729649903</t>
  </si>
  <si>
    <t>JANNATUL TELECOM</t>
  </si>
  <si>
    <t>01600306777</t>
  </si>
  <si>
    <t>SOBHAN TELECOM</t>
  </si>
  <si>
    <t>01331581854</t>
  </si>
  <si>
    <t>NEW TELECOM</t>
  </si>
  <si>
    <t>01322323378</t>
  </si>
  <si>
    <t>ADNAN TRADERS</t>
  </si>
  <si>
    <t>01757431701</t>
  </si>
  <si>
    <t>Azimul Store</t>
  </si>
  <si>
    <t>01722792293</t>
  </si>
  <si>
    <t>Esmail Telecom</t>
  </si>
  <si>
    <t>01980210005</t>
  </si>
  <si>
    <t>RONZON AUTO PARTS</t>
  </si>
  <si>
    <t>01795725355</t>
  </si>
  <si>
    <t>SADIA TELECOM AND RECHARGE POINT</t>
  </si>
  <si>
    <t>01713822498</t>
  </si>
  <si>
    <t>Milon Telecom</t>
  </si>
  <si>
    <t>01751358955</t>
  </si>
  <si>
    <t>M/S Bristi Veristice store</t>
  </si>
  <si>
    <t>01820638774</t>
  </si>
  <si>
    <t>Dristi Moni Telecom</t>
  </si>
  <si>
    <t>01738070350</t>
  </si>
  <si>
    <t>M/S. Hasi Telecom</t>
  </si>
  <si>
    <t>01962138295</t>
  </si>
  <si>
    <t>Shotorupa Bostrolay &amp; Telecom</t>
  </si>
  <si>
    <t>01786974909</t>
  </si>
  <si>
    <t>Shad Shahriar Telecom</t>
  </si>
  <si>
    <t>01785242720</t>
  </si>
  <si>
    <t>SOHEL TELECOM AND STUDIO</t>
  </si>
  <si>
    <t>01789897373</t>
  </si>
  <si>
    <t>M/S AZIJUL STORE</t>
  </si>
  <si>
    <t>01788961415</t>
  </si>
  <si>
    <t>M/S HABIB TRADERS</t>
  </si>
  <si>
    <t>01865934771</t>
  </si>
  <si>
    <t>SUNDHANI BOOK HOUSE</t>
  </si>
  <si>
    <t>01918896956</t>
  </si>
  <si>
    <t>RAHU STUDIO AND TELECOM</t>
  </si>
  <si>
    <t>01788021880</t>
  </si>
  <si>
    <t>WLECOME TELECOM</t>
  </si>
  <si>
    <t>01995381311</t>
  </si>
  <si>
    <t>ASHA VARIETIES STORE</t>
  </si>
  <si>
    <t>01857931194</t>
  </si>
  <si>
    <t>Mudi khaka &amp; Telecom</t>
  </si>
  <si>
    <t>01918701859</t>
  </si>
  <si>
    <t>HAPPY TRADERS</t>
  </si>
  <si>
    <t>01918701878</t>
  </si>
  <si>
    <t>NAYEM PHARMACY</t>
  </si>
  <si>
    <t>01742251319</t>
  </si>
  <si>
    <t>Siam Telecom</t>
  </si>
  <si>
    <t>01650277771</t>
  </si>
  <si>
    <t>Noyon Telecom</t>
  </si>
  <si>
    <t>01743810315</t>
  </si>
  <si>
    <t>MOBILE CLINIC</t>
  </si>
  <si>
    <t>01333951816</t>
  </si>
  <si>
    <t>BHAI BHAI COMPUTER AND PHOTOCOPY</t>
  </si>
  <si>
    <t>01927512034</t>
  </si>
  <si>
    <t>01332006808</t>
  </si>
  <si>
    <t>IBRAHIM STORE</t>
  </si>
  <si>
    <t>01303883690</t>
  </si>
  <si>
    <t>TORIKUL TELECOM</t>
  </si>
  <si>
    <t>01735201060</t>
  </si>
  <si>
    <t>FAIZA DIGITAL SHOP</t>
  </si>
  <si>
    <t>01824455881</t>
  </si>
  <si>
    <t>LIKHON STORE</t>
  </si>
  <si>
    <t>01709052870</t>
  </si>
  <si>
    <t>ALIF NUR STORE</t>
  </si>
  <si>
    <t>01328739785</t>
  </si>
  <si>
    <t>Iqbal Hardware</t>
  </si>
  <si>
    <t>01785662990</t>
  </si>
  <si>
    <t>SABBIR GENERAL STORE</t>
  </si>
  <si>
    <t>01737766799</t>
  </si>
  <si>
    <t>Jaki Telecom</t>
  </si>
  <si>
    <t>01794350604</t>
  </si>
  <si>
    <t>Mashud Store</t>
  </si>
  <si>
    <t>01717228676</t>
  </si>
  <si>
    <t>Mahafuza Telecom</t>
  </si>
  <si>
    <t>01920783589</t>
  </si>
  <si>
    <t>ARAFAT TELECOM</t>
  </si>
  <si>
    <t>01760108845</t>
  </si>
  <si>
    <t>SAIFI AND SANI TELECOM</t>
  </si>
  <si>
    <t>01718195059</t>
  </si>
  <si>
    <t>M/S Hasi Telecom</t>
  </si>
  <si>
    <t>01785405555</t>
  </si>
  <si>
    <t>Moshidul Islam</t>
  </si>
  <si>
    <t>01907318491</t>
  </si>
  <si>
    <t>PARVEZ SHOE STORE</t>
  </si>
  <si>
    <t>01744666014</t>
  </si>
  <si>
    <t>Faruk Telecom</t>
  </si>
  <si>
    <t>01930176547</t>
  </si>
  <si>
    <t>Mobile Bitan</t>
  </si>
  <si>
    <t>01755443700</t>
  </si>
  <si>
    <t>Nijam Traders</t>
  </si>
  <si>
    <t>01796003212</t>
  </si>
  <si>
    <t>01760325866</t>
  </si>
  <si>
    <t>BEST PELES STUDIO</t>
  </si>
  <si>
    <t>01300106947</t>
  </si>
  <si>
    <t>BHAI BHAI STORE</t>
  </si>
  <si>
    <t>01743257977</t>
  </si>
  <si>
    <t>Ma Telecom</t>
  </si>
  <si>
    <t>01774315208</t>
  </si>
  <si>
    <t>BOI MELA LIBRARY</t>
  </si>
  <si>
    <t>01770982090</t>
  </si>
  <si>
    <t>LABU TELECOM</t>
  </si>
  <si>
    <t>01317502932</t>
  </si>
  <si>
    <t>ARJUN TELECOM</t>
  </si>
  <si>
    <t>01783238652</t>
  </si>
  <si>
    <t>Robiul Store,</t>
  </si>
  <si>
    <t>01719290106</t>
  </si>
  <si>
    <t>Krishna Telecom</t>
  </si>
  <si>
    <t>01715607412</t>
  </si>
  <si>
    <t>KABBO STORE</t>
  </si>
  <si>
    <t>01328600777</t>
  </si>
  <si>
    <t>SULTANA STORE</t>
  </si>
  <si>
    <t>01707973080</t>
  </si>
  <si>
    <t>Abdul Khoddos Telecom</t>
  </si>
  <si>
    <t>01984473847</t>
  </si>
  <si>
    <t>M/S BULBUL STORE</t>
  </si>
  <si>
    <t>01744415785</t>
  </si>
  <si>
    <t>SADIKUL TELECOM AND ELECTRONICS</t>
  </si>
  <si>
    <t>01994180131</t>
  </si>
  <si>
    <t>MAYER DOYA VAI VAI TRADERS</t>
  </si>
  <si>
    <t>01727674713</t>
  </si>
  <si>
    <t>M/S RASED TRADERS</t>
  </si>
  <si>
    <t>01791800381</t>
  </si>
  <si>
    <t>Mobile &amp; Telecom</t>
  </si>
  <si>
    <t>01785270807</t>
  </si>
  <si>
    <t>ARKID FAISHON</t>
  </si>
  <si>
    <t>01841668971</t>
  </si>
  <si>
    <t>Electronice &amp;Telecom</t>
  </si>
  <si>
    <t>01797722456</t>
  </si>
  <si>
    <t>M/S Araf prani Seba</t>
  </si>
  <si>
    <t>01735535753</t>
  </si>
  <si>
    <t>ROBEL STORE</t>
  </si>
  <si>
    <t>01922974230</t>
  </si>
  <si>
    <t>HEDAYET STUDIO AND VARIETIES STORE</t>
  </si>
  <si>
    <t>01300879850</t>
  </si>
  <si>
    <t>MAA COMPUTER ELECTRONICS AND VARIETIES STORE</t>
  </si>
  <si>
    <t>01799002821</t>
  </si>
  <si>
    <t>JUI TELECOM AND MEDICINE</t>
  </si>
  <si>
    <t>01717531215</t>
  </si>
  <si>
    <t>M/S MUN CONSTRACTION</t>
  </si>
  <si>
    <t>01768429143</t>
  </si>
  <si>
    <t>M/S Biplob Modern Harbal</t>
  </si>
  <si>
    <t>01824578181</t>
  </si>
  <si>
    <t>MITHU VARIETIES STORE</t>
  </si>
  <si>
    <t>01308240370</t>
  </si>
  <si>
    <t>TUSHAR MEDICINE CORNER</t>
  </si>
  <si>
    <t>01734717142</t>
  </si>
  <si>
    <t>01793617039</t>
  </si>
  <si>
    <t>RIMON CONFECTIONERY</t>
  </si>
  <si>
    <t>01748018881</t>
  </si>
  <si>
    <t>MIM GARMENTS</t>
  </si>
  <si>
    <t>01753881619</t>
  </si>
  <si>
    <t>MOMOTA PHARMACY</t>
  </si>
  <si>
    <t>01732126777</t>
  </si>
  <si>
    <t>Zobayed Veristice Store</t>
  </si>
  <si>
    <t>01785203013</t>
  </si>
  <si>
    <t>M/S. Ma Traders</t>
  </si>
  <si>
    <t>01723012072</t>
  </si>
  <si>
    <t>Mithu Trades</t>
  </si>
  <si>
    <t>01717599646</t>
  </si>
  <si>
    <t>SAKIR TELICOM AND ELECTRONIX</t>
  </si>
  <si>
    <t>01955946948</t>
  </si>
  <si>
    <t>CHABID TELECOM</t>
  </si>
  <si>
    <t>01310273006</t>
  </si>
  <si>
    <t>SABANA COMPUTER</t>
  </si>
  <si>
    <t>01782789990</t>
  </si>
  <si>
    <t>MASUD VARITIES STORE</t>
  </si>
  <si>
    <t>01709243676</t>
  </si>
  <si>
    <t>SARMIN SIFA COSMETICS</t>
  </si>
  <si>
    <t>01304088830</t>
  </si>
  <si>
    <t>BOKUL TELECOM AND  VARIETIES STORE</t>
  </si>
  <si>
    <t>01937356367</t>
  </si>
  <si>
    <t>JOBAYDUL TELECOM</t>
  </si>
  <si>
    <t>01760599965</t>
  </si>
  <si>
    <t>M/S RUBEL  TRADERS</t>
  </si>
  <si>
    <t>01853609861</t>
  </si>
  <si>
    <t>Momota Pharmecy</t>
  </si>
  <si>
    <t>01784090659</t>
  </si>
  <si>
    <t>MOTALEB TELECOM</t>
  </si>
  <si>
    <t>01833777708</t>
  </si>
  <si>
    <t>MODINA OTOS AND HELMET CORNER</t>
  </si>
  <si>
    <t>01883996666</t>
  </si>
  <si>
    <t>M/S MUMU COSMETICS</t>
  </si>
  <si>
    <t>01332027790</t>
  </si>
  <si>
    <t>MALEK CONFECTIONARY</t>
  </si>
  <si>
    <t>01333867060</t>
  </si>
  <si>
    <t>JAHID STORE</t>
  </si>
  <si>
    <t>01332007011</t>
  </si>
  <si>
    <t>MAOWA TELECOM</t>
  </si>
  <si>
    <t>01918103119</t>
  </si>
  <si>
    <t>SALAM HARDWARE AND ELECTRIC STORE</t>
  </si>
  <si>
    <t>01744459705</t>
  </si>
  <si>
    <t>Subroto Store</t>
  </si>
  <si>
    <t>01741661931</t>
  </si>
  <si>
    <t>TAPOSH HAIR DRESSER</t>
  </si>
  <si>
    <t>01331928746</t>
  </si>
  <si>
    <t>HACHAN COSMETICS AND VARIETIES STORE</t>
  </si>
  <si>
    <t>01328638233</t>
  </si>
  <si>
    <t>Gobindro Telecom</t>
  </si>
  <si>
    <t>01797915229</t>
  </si>
  <si>
    <t>ma telecom</t>
  </si>
  <si>
    <t>01788285096</t>
  </si>
  <si>
    <t>ARPI SHOES AND SOCKS</t>
  </si>
  <si>
    <t>01306300054</t>
  </si>
  <si>
    <t>SADDAM SANITATION</t>
  </si>
  <si>
    <t>01305019614</t>
  </si>
  <si>
    <t>Rong varites Store</t>
  </si>
  <si>
    <t>01628333056</t>
  </si>
  <si>
    <t>Hojrot Telecom</t>
  </si>
  <si>
    <t>01751353670</t>
  </si>
  <si>
    <t>Siyam Pharmacy</t>
  </si>
  <si>
    <t>01740130145</t>
  </si>
  <si>
    <t>Shakil Pan Store</t>
  </si>
  <si>
    <t>01834505148</t>
  </si>
  <si>
    <t>Sunil Store</t>
  </si>
  <si>
    <t>01713662236</t>
  </si>
  <si>
    <t>Mehedi Telecom</t>
  </si>
  <si>
    <t>01722722555</t>
  </si>
  <si>
    <t>Bondhu Telecom and Verities Store</t>
  </si>
  <si>
    <t>01773528999</t>
  </si>
  <si>
    <t>M/S VAI VAI STORE</t>
  </si>
  <si>
    <t>01738656888</t>
  </si>
  <si>
    <t>Ma Baba Electronic</t>
  </si>
  <si>
    <t>01310115820</t>
  </si>
  <si>
    <t>Nirmol Hardware</t>
  </si>
  <si>
    <t>01797955503</t>
  </si>
  <si>
    <t>01341439777</t>
  </si>
  <si>
    <t>TAREQ TELECOM</t>
  </si>
  <si>
    <t>01335750711</t>
  </si>
  <si>
    <t>Motir Telecom</t>
  </si>
  <si>
    <t>01738126115</t>
  </si>
  <si>
    <t>Mamun Telecom</t>
  </si>
  <si>
    <t>01318191100</t>
  </si>
  <si>
    <t>FARUQ STORE</t>
  </si>
  <si>
    <t>01911626514</t>
  </si>
  <si>
    <t>Jolil Telecom</t>
  </si>
  <si>
    <t>01761280880</t>
  </si>
  <si>
    <t>Ridoy Farmace</t>
  </si>
  <si>
    <t>01750649676</t>
  </si>
  <si>
    <t>BIJOY PHOTO COPY</t>
  </si>
  <si>
    <t>01728170706</t>
  </si>
  <si>
    <t>Nazim Telecom</t>
  </si>
  <si>
    <t>01911411533</t>
  </si>
  <si>
    <t>Saudia Department Store</t>
  </si>
  <si>
    <t>01711418466</t>
  </si>
  <si>
    <t>M/S. Alamin Tradars</t>
  </si>
  <si>
    <t>01780675086</t>
  </si>
  <si>
    <t>Abdul High Store</t>
  </si>
  <si>
    <t>01780804186</t>
  </si>
  <si>
    <t>FAHIM VETERINARY</t>
  </si>
  <si>
    <t>01814150344</t>
  </si>
  <si>
    <t>RONGDHONU TRADERS</t>
  </si>
  <si>
    <t>01735709095</t>
  </si>
  <si>
    <t>KHAN JAHAN STORE</t>
  </si>
  <si>
    <t>01780606559</t>
  </si>
  <si>
    <t>FAZLUL STORE</t>
  </si>
  <si>
    <t>01785454268</t>
  </si>
  <si>
    <t>M/S RAYHAN TRADERS</t>
  </si>
  <si>
    <t>01715060627</t>
  </si>
  <si>
    <t>AL MOMIN STORE</t>
  </si>
  <si>
    <t>01854275345</t>
  </si>
  <si>
    <t>VAI VAI COMPUTER</t>
  </si>
  <si>
    <t>01713922557</t>
  </si>
  <si>
    <t>JUI JUTHI TELECOM AND VARIETIES STORE</t>
  </si>
  <si>
    <t>01605551717</t>
  </si>
  <si>
    <t>ASHIAN ENTERPRISE</t>
  </si>
  <si>
    <t>01731575523</t>
  </si>
  <si>
    <t>Rasel Confectionery</t>
  </si>
  <si>
    <t>01724077345</t>
  </si>
  <si>
    <t>Ziaur Store</t>
  </si>
  <si>
    <t>01784946426</t>
  </si>
  <si>
    <t>Jamal Telecom</t>
  </si>
  <si>
    <t>01728719363</t>
  </si>
  <si>
    <t>M/S MORSHEDA PHARMACY</t>
  </si>
  <si>
    <t>01799492383</t>
  </si>
  <si>
    <t>REZAUL TELECOM</t>
  </si>
  <si>
    <t>01767955206</t>
  </si>
  <si>
    <t>SHAPON TELECOM</t>
  </si>
  <si>
    <t>01822237172</t>
  </si>
  <si>
    <t>AKASH TELICOM AND BRISTY VERAITES STORE</t>
  </si>
  <si>
    <t>01324365500</t>
  </si>
  <si>
    <t>VAI VAI MOBILE SERVICING AND TELECOM</t>
  </si>
  <si>
    <t>01703038852</t>
  </si>
  <si>
    <t>M/S VAI VAI KRISI VERIETIES STORE</t>
  </si>
  <si>
    <t>01336144887</t>
  </si>
  <si>
    <t>MAHABUB TRADERS</t>
  </si>
  <si>
    <t>01779963542</t>
  </si>
  <si>
    <t>Roman Telecom</t>
  </si>
  <si>
    <t>01780722111</t>
  </si>
  <si>
    <t>Anorbo Telecom</t>
  </si>
  <si>
    <t>01920042887</t>
  </si>
  <si>
    <t>Bulu Pharmacy &amp; Telecom</t>
  </si>
  <si>
    <t>01717125380</t>
  </si>
  <si>
    <t>Rimu Varities Store</t>
  </si>
  <si>
    <t>01786730461</t>
  </si>
  <si>
    <t>Modina Pharmacy</t>
  </si>
  <si>
    <t>01303691301</t>
  </si>
  <si>
    <t>Liton Store</t>
  </si>
  <si>
    <t>01774248711</t>
  </si>
  <si>
    <t>Johir verities Store</t>
  </si>
  <si>
    <t>01794965518</t>
  </si>
  <si>
    <t>Misti Pharmecy</t>
  </si>
  <si>
    <t>01792415299</t>
  </si>
  <si>
    <t>M/S FOYEJ TELECOM AND ELECTRONICS</t>
  </si>
  <si>
    <t>01749726343</t>
  </si>
  <si>
    <t>NUR JAMAN STORE</t>
  </si>
  <si>
    <t>01933124070</t>
  </si>
  <si>
    <t>MITTHAHUL JANNAT TELECOM</t>
  </si>
  <si>
    <t>01794445859</t>
  </si>
  <si>
    <t>01307336613</t>
  </si>
  <si>
    <t>RIMI TELECOM</t>
  </si>
  <si>
    <t>01333953390</t>
  </si>
  <si>
    <t>LITON TELECOM</t>
  </si>
  <si>
    <t>01619844874</t>
  </si>
  <si>
    <t>M/S RAFI COSMETICS AND VARIETIES STORE</t>
  </si>
  <si>
    <t>01718594478</t>
  </si>
  <si>
    <t>FOYSAL TELECOM</t>
  </si>
  <si>
    <t>01791919707</t>
  </si>
  <si>
    <t>ESTART MOBILE</t>
  </si>
  <si>
    <t>01821292212</t>
  </si>
  <si>
    <t>MONIR HARDWARE</t>
  </si>
  <si>
    <t>01746389651</t>
  </si>
  <si>
    <t>S. K MEDICINE AND FEED</t>
  </si>
  <si>
    <t>01332027962</t>
  </si>
  <si>
    <t>ROBIN TELECOM</t>
  </si>
  <si>
    <t>01793656896</t>
  </si>
  <si>
    <t>PROTIDIN COSMETICS</t>
  </si>
  <si>
    <t>01728038012</t>
  </si>
  <si>
    <t>LABIB TELECOM</t>
  </si>
  <si>
    <t>01335710200</t>
  </si>
  <si>
    <t>01744461291</t>
  </si>
  <si>
    <t>ROHAN COMPUTER AND VARIETIES STORE</t>
  </si>
  <si>
    <t>01763132424</t>
  </si>
  <si>
    <t>MOLLA TELECOM</t>
  </si>
  <si>
    <t>01997222725</t>
  </si>
  <si>
    <t>Sumaya Varities  Store</t>
  </si>
  <si>
    <t>01315109210</t>
  </si>
  <si>
    <t>GRAMEEN STORE</t>
  </si>
  <si>
    <t>01755231141</t>
  </si>
  <si>
    <t>M/S Khusi Store,</t>
  </si>
  <si>
    <t>01713324650</t>
  </si>
  <si>
    <t>ABDULLAH PHARMECY</t>
  </si>
  <si>
    <t>01923500887</t>
  </si>
  <si>
    <t>MUCHABIR STORE</t>
  </si>
  <si>
    <t>01346298600</t>
  </si>
  <si>
    <t>DECORETOR</t>
  </si>
  <si>
    <t>01343136196</t>
  </si>
  <si>
    <t>SADIA TELECOM</t>
  </si>
  <si>
    <t>01344733111</t>
  </si>
  <si>
    <t>Manik Varitise Store</t>
  </si>
  <si>
    <t>01762880900</t>
  </si>
  <si>
    <t>Sumon Telecom</t>
  </si>
  <si>
    <t>01786902011</t>
  </si>
  <si>
    <t>BADSHA STORE</t>
  </si>
  <si>
    <t>01725018646</t>
  </si>
  <si>
    <t>Aminur Telecom</t>
  </si>
  <si>
    <t>01733097169</t>
  </si>
  <si>
    <t>Jibon Telecom</t>
  </si>
  <si>
    <t>01750638620</t>
  </si>
  <si>
    <t>RUPOK STORE</t>
  </si>
  <si>
    <t>01730570100</t>
  </si>
  <si>
    <t>KHAYRUL STORE</t>
  </si>
  <si>
    <t>01864775506</t>
  </si>
  <si>
    <t>AMBIA TELECOM</t>
  </si>
  <si>
    <t>01773608700</t>
  </si>
  <si>
    <t>Vai  Vai Electronic</t>
  </si>
  <si>
    <t>01813450416</t>
  </si>
  <si>
    <t>FARIYA O TAHSIN MULTIMEDIA</t>
  </si>
  <si>
    <t>01718638245</t>
  </si>
  <si>
    <t>M/S Lamiya Traders</t>
  </si>
  <si>
    <t>01821212127</t>
  </si>
  <si>
    <t>SINHA TRADERS</t>
  </si>
  <si>
    <t>01774849696</t>
  </si>
  <si>
    <t>AKHI VERITIES STORE</t>
  </si>
  <si>
    <t>01741772308</t>
  </si>
  <si>
    <t>SABUJ PHARMECY</t>
  </si>
  <si>
    <t>01774533011</t>
  </si>
  <si>
    <t>JONOTA FURNITURE</t>
  </si>
  <si>
    <t>01317547190</t>
  </si>
  <si>
    <t>PALASH STORE</t>
  </si>
  <si>
    <t>01774222700</t>
  </si>
  <si>
    <t>MS , MAFIFAH</t>
  </si>
  <si>
    <t>01848548533</t>
  </si>
  <si>
    <t>BHAI BHAI TELECOM</t>
  </si>
  <si>
    <t>01310166567</t>
  </si>
  <si>
    <t>MOYNUL ELECTRONICS</t>
  </si>
  <si>
    <t>01313385111</t>
  </si>
  <si>
    <t>SUJOY TRADERS</t>
  </si>
  <si>
    <t>01315729181</t>
  </si>
  <si>
    <t>MS SATTAR RICE MIL</t>
  </si>
  <si>
    <t>01322752575</t>
  </si>
  <si>
    <t>SIMANTO PHARMACY</t>
  </si>
  <si>
    <t>01706700730</t>
  </si>
  <si>
    <t>SEBA PHARMACY</t>
  </si>
  <si>
    <t>01300129150</t>
  </si>
  <si>
    <t>01785436363</t>
  </si>
  <si>
    <t>BISMILLAH TELICOM AND ELECTRONIX</t>
  </si>
  <si>
    <t>01777631119</t>
  </si>
  <si>
    <t>Liyon Store</t>
  </si>
  <si>
    <t>01311874283</t>
  </si>
  <si>
    <t>TASIM STORE</t>
  </si>
  <si>
    <t>01923934893</t>
  </si>
  <si>
    <t>Sagotom Sifat Telecom</t>
  </si>
  <si>
    <t>01314231750</t>
  </si>
  <si>
    <t>Nir Traders</t>
  </si>
  <si>
    <t>01850459204</t>
  </si>
  <si>
    <t>Sadikur store</t>
  </si>
  <si>
    <t>01774502502</t>
  </si>
  <si>
    <t>SHAMIM TELECOM</t>
  </si>
  <si>
    <t>01862682414</t>
  </si>
  <si>
    <t>RAZU TRADERS</t>
  </si>
  <si>
    <t>01911395818</t>
  </si>
  <si>
    <t>AFZAL TELECOM</t>
  </si>
  <si>
    <t>01306201738</t>
  </si>
  <si>
    <t>B S COMPUTER AND VARIETIES</t>
  </si>
  <si>
    <t>01797976144</t>
  </si>
  <si>
    <t>HASIB VARIETIES STORE AND COFFE HOUSE</t>
  </si>
  <si>
    <t>01737578086</t>
  </si>
  <si>
    <t>MINAJUL HAQUE TELECOM</t>
  </si>
  <si>
    <t>01312733800</t>
  </si>
  <si>
    <t>MS HAMIDUL TRADERS</t>
  </si>
  <si>
    <t>01307208086</t>
  </si>
  <si>
    <t>SHANTA TELECOM</t>
  </si>
  <si>
    <t>01305118190</t>
  </si>
  <si>
    <t>BAIT TELECOM</t>
  </si>
  <si>
    <t>01970215939</t>
  </si>
  <si>
    <t>FARHAN ELECTRIC WORK SHOP</t>
  </si>
  <si>
    <t>01718273872</t>
  </si>
  <si>
    <t>MOTO GEAR AND BIKE WASH</t>
  </si>
  <si>
    <t>01841702595</t>
  </si>
  <si>
    <t>RYZUL PAN O CHA STORE</t>
  </si>
  <si>
    <t>01302025111</t>
  </si>
  <si>
    <t>MOSTAFA STORE</t>
  </si>
  <si>
    <t>01962340686</t>
  </si>
  <si>
    <t>PINGKI TELECOM</t>
  </si>
  <si>
    <t>01944333521</t>
  </si>
  <si>
    <t>M/S. Zinna Garments</t>
  </si>
  <si>
    <t>01740142400</t>
  </si>
  <si>
    <t>Shek Pharmecy</t>
  </si>
  <si>
    <t>01707403540</t>
  </si>
  <si>
    <t>Shimul Electronics</t>
  </si>
  <si>
    <t>01870400450</t>
  </si>
  <si>
    <t>BABA MA VERAITES STORE</t>
  </si>
  <si>
    <t>01780803640</t>
  </si>
  <si>
    <t>Roma Digital Stodeo</t>
  </si>
  <si>
    <t>01786729700</t>
  </si>
  <si>
    <t>Mukta Varities Store</t>
  </si>
  <si>
    <t>01719860123</t>
  </si>
  <si>
    <t>ADITTO HARDWARE</t>
  </si>
  <si>
    <t>01346490928</t>
  </si>
  <si>
    <t>HIMEL MARKETING AND ELECTRIC HOUSE</t>
  </si>
  <si>
    <t>01329059959</t>
  </si>
  <si>
    <t>Masum Medecine Biponi,</t>
  </si>
  <si>
    <t>01303277831</t>
  </si>
  <si>
    <t>TOUHID TELECOM AND ELECTRONIX</t>
  </si>
  <si>
    <t>01748894886</t>
  </si>
  <si>
    <t>KAJOL MUDI STORE</t>
  </si>
  <si>
    <t>01744921945</t>
  </si>
  <si>
    <t>TOHIDUL TELECOM</t>
  </si>
  <si>
    <t>01773677573</t>
  </si>
  <si>
    <t>NAJRUL TELECOM</t>
  </si>
  <si>
    <t>01737427646</t>
  </si>
  <si>
    <t>01319204554</t>
  </si>
  <si>
    <t>AL FARABI TELECOM</t>
  </si>
  <si>
    <t>01737157060</t>
  </si>
  <si>
    <t>NAHID MEDICINE CORNER</t>
  </si>
  <si>
    <t>01735817247</t>
  </si>
  <si>
    <t>VAI VAI TELECOM</t>
  </si>
  <si>
    <t>01787854080</t>
  </si>
  <si>
    <t>BAIJID BOSTAMI TELECOM</t>
  </si>
  <si>
    <t>01994263626</t>
  </si>
  <si>
    <t>VAI VAI VERAITIES STORE</t>
  </si>
  <si>
    <t>01331931782</t>
  </si>
  <si>
    <t>Robiul Telecom</t>
  </si>
  <si>
    <t>01727891273</t>
  </si>
  <si>
    <t>Vai vai Enter Prize</t>
  </si>
  <si>
    <t>01722612853</t>
  </si>
  <si>
    <t>M/S REZAUL TREDARS</t>
  </si>
  <si>
    <t>01321661045</t>
  </si>
  <si>
    <t>MUKTI STATIONERY AND COSMETICS</t>
  </si>
  <si>
    <t>01333908134</t>
  </si>
  <si>
    <t>BULBUL STORE</t>
  </si>
  <si>
    <t>01834182056</t>
  </si>
  <si>
    <t>MONIR KHAN STORE</t>
  </si>
  <si>
    <t>01786711979</t>
  </si>
  <si>
    <t>NOYON VARIETIES STORE</t>
  </si>
  <si>
    <t>01797404065</t>
  </si>
  <si>
    <t>MOHOSENA VARIETIES STORE</t>
  </si>
  <si>
    <t>01882240518</t>
  </si>
  <si>
    <t>ABDULLAH TELECOM</t>
  </si>
  <si>
    <t>01993588284</t>
  </si>
  <si>
    <t>FORHAD STORE</t>
  </si>
  <si>
    <t>01308215264</t>
  </si>
  <si>
    <t>Lam Studeo</t>
  </si>
  <si>
    <t>01763189767</t>
  </si>
  <si>
    <t>MAA VETENARI PHARMECY</t>
  </si>
  <si>
    <t>01917057461</t>
  </si>
  <si>
    <t>HARUN TELECOM</t>
  </si>
  <si>
    <t>01766905861</t>
  </si>
  <si>
    <t>MS MOHASHIN TRADERS</t>
  </si>
  <si>
    <t>01322753455</t>
  </si>
  <si>
    <t>Fahad Telecom</t>
  </si>
  <si>
    <t>01761305575</t>
  </si>
  <si>
    <t>Lavlu Farmeci</t>
  </si>
  <si>
    <t>01729501966</t>
  </si>
  <si>
    <t>Bikash Verities Store</t>
  </si>
  <si>
    <t>01313334314</t>
  </si>
  <si>
    <t>Malakar  Store</t>
  </si>
  <si>
    <t>01701933209</t>
  </si>
  <si>
    <t>M/S TARIKUL TRADERS</t>
  </si>
  <si>
    <t>01346262090</t>
  </si>
  <si>
    <t>Rajaul Telecom</t>
  </si>
  <si>
    <t>01743900873</t>
  </si>
  <si>
    <t>Harun Telecom</t>
  </si>
  <si>
    <t>01825833653</t>
  </si>
  <si>
    <t>M/S MOBAROK STORE</t>
  </si>
  <si>
    <t>01765094298</t>
  </si>
  <si>
    <t>M/S AMIN TRADERS</t>
  </si>
  <si>
    <t>01896362222</t>
  </si>
  <si>
    <t>SATOTA COSMETICS AND VARIETIES STORE</t>
  </si>
  <si>
    <t>01793303038</t>
  </si>
  <si>
    <t>MONI MAISA TELECOM</t>
  </si>
  <si>
    <t>01703012525</t>
  </si>
  <si>
    <t>M/S BHAI BHAI VERITIES STORE</t>
  </si>
  <si>
    <t>01740007473</t>
  </si>
  <si>
    <t>Manik Store</t>
  </si>
  <si>
    <t>01907208709</t>
  </si>
  <si>
    <t>SALAM T STORE</t>
  </si>
  <si>
    <t>01774606375</t>
  </si>
  <si>
    <t>Muktior Telecom</t>
  </si>
  <si>
    <t>01917832894</t>
  </si>
  <si>
    <t>MITHUN TELECOM</t>
  </si>
  <si>
    <t>01336145776</t>
  </si>
  <si>
    <t>M/S FARUQ TRADERS</t>
  </si>
  <si>
    <t>01765092835</t>
  </si>
  <si>
    <t>TAIZUL STORE</t>
  </si>
  <si>
    <t>01751100994</t>
  </si>
  <si>
    <t>Noni Gopal Telecom</t>
  </si>
  <si>
    <t>01792654383</t>
  </si>
  <si>
    <t>SORDER STORE</t>
  </si>
  <si>
    <t>01822036726</t>
  </si>
  <si>
    <t>AZOM STORE</t>
  </si>
  <si>
    <t>01963443657</t>
  </si>
  <si>
    <t>MA BABAR DOYAR BHANDAR</t>
  </si>
  <si>
    <t>01739055034</t>
  </si>
  <si>
    <t>Vai Vai Traders</t>
  </si>
  <si>
    <t>01980219694</t>
  </si>
  <si>
    <t>Ma Baba Telecom</t>
  </si>
  <si>
    <t>01755460840</t>
  </si>
  <si>
    <t>M/S JANNAT TRADERS</t>
  </si>
  <si>
    <t>01740507122</t>
  </si>
  <si>
    <t>LAMIYA VARIETIES STORE</t>
  </si>
  <si>
    <t>01346393282</t>
  </si>
  <si>
    <t>MAYER DOWA CONFECTIONARY</t>
  </si>
  <si>
    <t>01576687291</t>
  </si>
  <si>
    <t>ADI PHARMACY</t>
  </si>
  <si>
    <t>01346371008</t>
  </si>
  <si>
    <t>MAMUN ELECTRONICS AND PHOTOCOPY</t>
  </si>
  <si>
    <t>01985201205</t>
  </si>
  <si>
    <t>AFROZA TRADERS</t>
  </si>
  <si>
    <t>01341437267</t>
  </si>
  <si>
    <t>MANIK STORE</t>
  </si>
  <si>
    <t>01942089640</t>
  </si>
  <si>
    <t>M/S BRISTY TELICOM AND PAN STORE</t>
  </si>
  <si>
    <t>01993571732</t>
  </si>
  <si>
    <t>SIFAT PHARMACY</t>
  </si>
  <si>
    <t>01824488776</t>
  </si>
  <si>
    <t>MA BABAR DOWA VARIETIES STORE</t>
  </si>
  <si>
    <t>01771152659</t>
  </si>
  <si>
    <t>Nipun Store</t>
  </si>
  <si>
    <t>01737649874</t>
  </si>
  <si>
    <t>ROYAL LIBRARY</t>
  </si>
  <si>
    <t>01787758988</t>
  </si>
  <si>
    <t>UDOY AUTO</t>
  </si>
  <si>
    <t>01760141370</t>
  </si>
  <si>
    <t>RUMAN STORE</t>
  </si>
  <si>
    <t>01343114991</t>
  </si>
  <si>
    <t>M/S SAFOWAN AND BROTHERS</t>
  </si>
  <si>
    <t>01714514421</t>
  </si>
  <si>
    <t>Sakir Digital Studeo</t>
  </si>
  <si>
    <t>01710208099</t>
  </si>
  <si>
    <t>M/S ANOWARA TEDERS</t>
  </si>
  <si>
    <t>01725192137</t>
  </si>
  <si>
    <t>RAKIB TELECOM</t>
  </si>
  <si>
    <t>01977477848</t>
  </si>
  <si>
    <t>MAISHA VARIETIES STORE AND DIGITAL STUDIO</t>
  </si>
  <si>
    <t>01314230835</t>
  </si>
  <si>
    <t>Nirob Pharmecy</t>
  </si>
  <si>
    <t>01729913039</t>
  </si>
  <si>
    <t>NIL PRESS DIGITAL STUDIO AND PHOTOSTAT</t>
  </si>
  <si>
    <t>01306342693</t>
  </si>
  <si>
    <t>M/S ABDULLAH ENTERPRISE</t>
  </si>
  <si>
    <t>01725462255</t>
  </si>
  <si>
    <t>m/s bashar telecom</t>
  </si>
  <si>
    <t>01312043736</t>
  </si>
  <si>
    <t>RUHUL AMIN STORE</t>
  </si>
  <si>
    <t>01306345520</t>
  </si>
  <si>
    <t>Rezaul Telecom</t>
  </si>
  <si>
    <t>01792918171</t>
  </si>
  <si>
    <t>ROMAN TELECOM</t>
  </si>
  <si>
    <t>01935966484</t>
  </si>
  <si>
    <t>MIJAN ENTERPRISE</t>
  </si>
  <si>
    <t>01774315188</t>
  </si>
  <si>
    <t>Disha Telecom</t>
  </si>
  <si>
    <t>01786677858</t>
  </si>
  <si>
    <t>KAJAL COMPUTER AND VARIETIES STORE</t>
  </si>
  <si>
    <t>01770419177</t>
  </si>
  <si>
    <t>MAHI MEDICINE CENTER</t>
  </si>
  <si>
    <t>01716766849</t>
  </si>
  <si>
    <t>MS AFZAL ELECTRONICS</t>
  </si>
  <si>
    <t>01717622188</t>
  </si>
  <si>
    <t>SHAHIN STORE</t>
  </si>
  <si>
    <t>01792064548</t>
  </si>
  <si>
    <t>S. M TELECOM</t>
  </si>
  <si>
    <t>01717260378</t>
  </si>
  <si>
    <t>NILPHAMARI KHELA GHOR VERAITES</t>
  </si>
  <si>
    <t>01313966941</t>
  </si>
  <si>
    <t>Shahin Electronic</t>
  </si>
  <si>
    <t>01318078400</t>
  </si>
  <si>
    <t>JANANI ELECTRONIC AND STATIONARY</t>
  </si>
  <si>
    <t>01773213874</t>
  </si>
  <si>
    <t>MS/ HOSSAIN ELECTRIC</t>
  </si>
  <si>
    <t>01303421287</t>
  </si>
  <si>
    <t>VAI VAI PHARMACY</t>
  </si>
  <si>
    <t>01713874134</t>
  </si>
  <si>
    <t>M/S Raihan Trades</t>
  </si>
  <si>
    <t>01783235788</t>
  </si>
  <si>
    <t>Ashequr Telecom</t>
  </si>
  <si>
    <t>01700616360</t>
  </si>
  <si>
    <t>RAHIMA GARMENTS</t>
  </si>
  <si>
    <t>01783127359</t>
  </si>
  <si>
    <t>M/S NAZMUL PRANI SASTHO SEBA</t>
  </si>
  <si>
    <t>01341414400</t>
  </si>
  <si>
    <t>JUYEL STORE</t>
  </si>
  <si>
    <t>01312825650</t>
  </si>
  <si>
    <t>MOHON DADA TELICOM</t>
  </si>
  <si>
    <t>01306007181</t>
  </si>
  <si>
    <t>ISLAM ELECTRONIC AND VARIETIES</t>
  </si>
  <si>
    <t>01705981057</t>
  </si>
  <si>
    <t>RAFIN TELECOM</t>
  </si>
  <si>
    <t>01738657000</t>
  </si>
  <si>
    <t>MAWA COSMETIC</t>
  </si>
  <si>
    <t>01894054307</t>
  </si>
  <si>
    <t>M/S SAZZAD ENTERPRISE</t>
  </si>
  <si>
    <t>01308866255</t>
  </si>
  <si>
    <t>KORIM TELECOM</t>
  </si>
  <si>
    <t>01786948632</t>
  </si>
  <si>
    <t>OPITA TELECOM</t>
  </si>
  <si>
    <t>01306129265</t>
  </si>
  <si>
    <t>ALHAMDULLIAH VARITES STORE</t>
  </si>
  <si>
    <t>01788447484</t>
  </si>
  <si>
    <t>MOJUMDER TELECOM AND DIGITAL STUDIO</t>
  </si>
  <si>
    <t>01755385856</t>
  </si>
  <si>
    <t>M/S SADIYA VARIETIES STORE</t>
  </si>
  <si>
    <t>01782882512</t>
  </si>
  <si>
    <t>SEEMA DIGITAL STUDIO</t>
  </si>
  <si>
    <t>01786432290</t>
  </si>
  <si>
    <t>SUMAIYA VARIETIES STORE</t>
  </si>
  <si>
    <t>01719814718</t>
  </si>
  <si>
    <t>LAM LIYAD TRADERS</t>
  </si>
  <si>
    <t>01789544648</t>
  </si>
  <si>
    <t>Siham Cosmetic</t>
  </si>
  <si>
    <t>01984857676</t>
  </si>
  <si>
    <t>Hasinur Telecom</t>
  </si>
  <si>
    <t>01883752301</t>
  </si>
  <si>
    <t>akramul telecome</t>
  </si>
  <si>
    <t>01713723911</t>
  </si>
  <si>
    <t>Haque Telecom</t>
  </si>
  <si>
    <t>01318105858</t>
  </si>
  <si>
    <t>Olier Telecom</t>
  </si>
  <si>
    <t>01792367891</t>
  </si>
  <si>
    <t>Rakib Store</t>
  </si>
  <si>
    <t>01315277783</t>
  </si>
  <si>
    <t>VAI VAI VERAITES STORE</t>
  </si>
  <si>
    <t>01718906321</t>
  </si>
  <si>
    <t>I S TELECOM</t>
  </si>
  <si>
    <t>01797623377</t>
  </si>
  <si>
    <t>COSMETICS</t>
  </si>
  <si>
    <t>01305268150</t>
  </si>
  <si>
    <t>Mukta Interprize</t>
  </si>
  <si>
    <t>01796554972</t>
  </si>
  <si>
    <t>Yousuf Cosmetice &amp; veritise Store</t>
  </si>
  <si>
    <t>01302112161</t>
  </si>
  <si>
    <t>R A telecom</t>
  </si>
  <si>
    <t>01741403816</t>
  </si>
  <si>
    <t>M. S. Electronic</t>
  </si>
  <si>
    <t>01737373477</t>
  </si>
  <si>
    <t>A.S.L Mobile Servising</t>
  </si>
  <si>
    <t>01750435000</t>
  </si>
  <si>
    <t>M/S Hasan Traders</t>
  </si>
  <si>
    <t>01706765015</t>
  </si>
  <si>
    <t>Rishad Telecom</t>
  </si>
  <si>
    <t>01793865166</t>
  </si>
  <si>
    <t>INSIRA VARIETIES STORE</t>
  </si>
  <si>
    <t>01331596807</t>
  </si>
  <si>
    <t>01343098818</t>
  </si>
  <si>
    <t>MS AL RAIYAN VARIETIES STORE</t>
  </si>
  <si>
    <t>01764846256</t>
  </si>
  <si>
    <t>APON TELECOM</t>
  </si>
  <si>
    <t>01333952322</t>
  </si>
  <si>
    <t>BORAT BHETENARI MEDICINE CENTER</t>
  </si>
  <si>
    <t>01950810308</t>
  </si>
  <si>
    <t>MAA VARIETIES STORE</t>
  </si>
  <si>
    <t>01766794513</t>
  </si>
  <si>
    <t>M/ RAKIB STORE</t>
  </si>
  <si>
    <t>01346371000</t>
  </si>
  <si>
    <t>KUNDU TRADERS</t>
  </si>
  <si>
    <t>01313299975</t>
  </si>
  <si>
    <t>Vai vai Telecom</t>
  </si>
  <si>
    <t>01794895815</t>
  </si>
  <si>
    <t>ASHRAFUL TELICOM</t>
  </si>
  <si>
    <t>01728120523</t>
  </si>
  <si>
    <t>Riyad Varieties Store</t>
  </si>
  <si>
    <t>01722459742</t>
  </si>
  <si>
    <t>HAJIGANJ TELECOM AND MOBILE SERVICING POINT</t>
  </si>
  <si>
    <t>01844938060</t>
  </si>
  <si>
    <t>MONAEM TRADERS</t>
  </si>
  <si>
    <t>01329029222</t>
  </si>
  <si>
    <t>01757375686</t>
  </si>
  <si>
    <t>NARAYAN STORE</t>
  </si>
  <si>
    <t>01774141262</t>
  </si>
  <si>
    <t>Jueel Cosmetice</t>
  </si>
  <si>
    <t>01757802904</t>
  </si>
  <si>
    <t>AL MODINA TRADERS</t>
  </si>
  <si>
    <t>01816843085</t>
  </si>
  <si>
    <t>MS SWAPON TRADERS</t>
  </si>
  <si>
    <t>01717002278</t>
  </si>
  <si>
    <t>Ataur Telecom</t>
  </si>
  <si>
    <t>01723952266</t>
  </si>
  <si>
    <t>MAA BABA DOYA</t>
  </si>
  <si>
    <t>01630075751</t>
  </si>
  <si>
    <t>AL HUSSAIN STORE</t>
  </si>
  <si>
    <t>01340157567</t>
  </si>
  <si>
    <t>Rasel Electronic</t>
  </si>
  <si>
    <t>01707423055</t>
  </si>
  <si>
    <t>M/S Akota Medical  Store,</t>
  </si>
  <si>
    <t>01787939596</t>
  </si>
  <si>
    <t>Motaleb Telecom</t>
  </si>
  <si>
    <t>01822299733</t>
  </si>
  <si>
    <t>Hasib Telecom</t>
  </si>
  <si>
    <t>01750369910</t>
  </si>
  <si>
    <t>Ma Farmeci</t>
  </si>
  <si>
    <t>01761585804</t>
  </si>
  <si>
    <t>Niramoy Pharmecy</t>
  </si>
  <si>
    <t>01989962183</t>
  </si>
  <si>
    <t>01767311533</t>
  </si>
  <si>
    <t>Sudipto Laibary &amp; Varities Store</t>
  </si>
  <si>
    <t>01409521031</t>
  </si>
  <si>
    <t>Sonar Bangla Telecom</t>
  </si>
  <si>
    <t>01796772992</t>
  </si>
  <si>
    <t>JIBON TEDERS</t>
  </si>
  <si>
    <t>01744386382</t>
  </si>
  <si>
    <t>Manik Electronic</t>
  </si>
  <si>
    <t>01767299377</t>
  </si>
  <si>
    <t>Syeam Shoe Store</t>
  </si>
  <si>
    <t>01764814873</t>
  </si>
  <si>
    <t>Sahin Telecom</t>
  </si>
  <si>
    <t>01750067466</t>
  </si>
  <si>
    <t>M/S SAGAR STORE</t>
  </si>
  <si>
    <t>01321649173</t>
  </si>
  <si>
    <t>Khokon Telecom</t>
  </si>
  <si>
    <t>01797952983</t>
  </si>
  <si>
    <t>Mayer Dowa Traders</t>
  </si>
  <si>
    <t>01762176981</t>
  </si>
  <si>
    <t>MOMINUR STORE</t>
  </si>
  <si>
    <t>01341352605</t>
  </si>
  <si>
    <t>Malek Store</t>
  </si>
  <si>
    <t>01984747333</t>
  </si>
  <si>
    <t>MAYER DOWA SAR O KITNASOK</t>
  </si>
  <si>
    <t>01706108889</t>
  </si>
  <si>
    <t>SUVO MOBAILE KORNAR</t>
  </si>
  <si>
    <t>01773505129</t>
  </si>
  <si>
    <t>Saiful Store</t>
  </si>
  <si>
    <t>01797948197</t>
  </si>
  <si>
    <t>01914029350</t>
  </si>
  <si>
    <t>MOHOSHIN TELECOM AND COSMITICES CENTER</t>
  </si>
  <si>
    <t>01761666058</t>
  </si>
  <si>
    <t>ARAFAT  STORE</t>
  </si>
  <si>
    <t>01304103433</t>
  </si>
  <si>
    <t>NAHID STORE</t>
  </si>
  <si>
    <t>01881158352</t>
  </si>
  <si>
    <t>Sawpon Telecom</t>
  </si>
  <si>
    <t>01744400081</t>
  </si>
  <si>
    <t>TOUFIQ VERAITES STORE</t>
  </si>
  <si>
    <t>01768409407</t>
  </si>
  <si>
    <t>TAJRIAN TRADERS</t>
  </si>
  <si>
    <t>01748899716</t>
  </si>
  <si>
    <t>JEWEL COMPUTER AND ELECTRONICS</t>
  </si>
  <si>
    <t>01718661499</t>
  </si>
  <si>
    <t>M/S RAHAT STORE</t>
  </si>
  <si>
    <t>01316124079</t>
  </si>
  <si>
    <t>RASHED SU-STORE</t>
  </si>
  <si>
    <t>01332093637</t>
  </si>
  <si>
    <t>SABUJ VARIETIES STORE</t>
  </si>
  <si>
    <t>01310117581</t>
  </si>
  <si>
    <t>Vai Vai Telecom</t>
  </si>
  <si>
    <t>01785406831</t>
  </si>
  <si>
    <t>ESHA STORE</t>
  </si>
  <si>
    <t>01797513425</t>
  </si>
  <si>
    <t>SATHI TELECOM AND COSMETICS</t>
  </si>
  <si>
    <t>01823223792</t>
  </si>
  <si>
    <t>Raihan Garments</t>
  </si>
  <si>
    <t>01725788144</t>
  </si>
  <si>
    <t>01312765991</t>
  </si>
  <si>
    <t>MAHABUL TELECOM</t>
  </si>
  <si>
    <t>01970188036</t>
  </si>
  <si>
    <t>FORHAD ELECTRONICS AND BETARI</t>
  </si>
  <si>
    <t>01763730363</t>
  </si>
  <si>
    <t>Mashiar Telecom</t>
  </si>
  <si>
    <t>01780776675</t>
  </si>
  <si>
    <t>NISA COSMETICS</t>
  </si>
  <si>
    <t>01897575661</t>
  </si>
  <si>
    <t>Moni Telecom</t>
  </si>
  <si>
    <t>01918244338</t>
  </si>
  <si>
    <t>MOSIAR HARDWARE</t>
  </si>
  <si>
    <t>01788160949</t>
  </si>
  <si>
    <t>01737726290</t>
  </si>
  <si>
    <t>Poritosh Telecom</t>
  </si>
  <si>
    <t>01713393847</t>
  </si>
  <si>
    <t>JAHEDUL STORE</t>
  </si>
  <si>
    <t>01778877465</t>
  </si>
  <si>
    <t>Seba Telecom</t>
  </si>
  <si>
    <t>01774444644</t>
  </si>
  <si>
    <t>Zia Telecom</t>
  </si>
  <si>
    <t>01774279401</t>
  </si>
  <si>
    <t>Raza Pan Store</t>
  </si>
  <si>
    <t>01799900671</t>
  </si>
  <si>
    <t>M/S Subol Store</t>
  </si>
  <si>
    <t>01722888545</t>
  </si>
  <si>
    <t>Ma Electronic center</t>
  </si>
  <si>
    <t>01318911611</t>
  </si>
  <si>
    <t>AMJAD TELECOM</t>
  </si>
  <si>
    <t>01727700063</t>
  </si>
  <si>
    <t>TANISHA TELECOM</t>
  </si>
  <si>
    <t>01339618600</t>
  </si>
  <si>
    <t>MONI MUKTA GARMENTS AND TELECOM</t>
  </si>
  <si>
    <t>01314269025</t>
  </si>
  <si>
    <t>Hasanur Telecom</t>
  </si>
  <si>
    <t>01755212158</t>
  </si>
  <si>
    <t>THE STATIONERY SOLUTATION</t>
  </si>
  <si>
    <t>01943225151</t>
  </si>
  <si>
    <t>Sharmin Telecom</t>
  </si>
  <si>
    <t>01755449222</t>
  </si>
  <si>
    <t>Rimon Multimedia</t>
  </si>
  <si>
    <t>01774564546</t>
  </si>
  <si>
    <t>SHISHIR TELECOM</t>
  </si>
  <si>
    <t>01780767473</t>
  </si>
  <si>
    <t>GREEN LIFE PHARMECY</t>
  </si>
  <si>
    <t>01773490009</t>
  </si>
  <si>
    <t>M/S JARIF ENTERPRISE</t>
  </si>
  <si>
    <t>01591172519</t>
  </si>
  <si>
    <t>MOHOSIN PHOTOCOPY AND COMPUTER COMPOSE</t>
  </si>
  <si>
    <t>01913564068</t>
  </si>
  <si>
    <t>MONIR TELICOM</t>
  </si>
  <si>
    <t>01838783565</t>
  </si>
  <si>
    <t>ARIF TELECOM</t>
  </si>
  <si>
    <t>01843129215</t>
  </si>
  <si>
    <t>LIBRARY AND TELECOM</t>
  </si>
  <si>
    <t>01402817302</t>
  </si>
  <si>
    <t>M/S LISA PHARMECY</t>
  </si>
  <si>
    <t>01902687506</t>
  </si>
  <si>
    <t>AL-AMIN ENGINEERING WORKSHOP</t>
  </si>
  <si>
    <t>01338408477</t>
  </si>
  <si>
    <t>Sompa Telecom</t>
  </si>
  <si>
    <t>01710489993</t>
  </si>
  <si>
    <t>Photocopy &amp; Bkash</t>
  </si>
  <si>
    <t>01788215533</t>
  </si>
  <si>
    <t>VAI VAI VARIETIES STORE</t>
  </si>
  <si>
    <t>01346362351</t>
  </si>
  <si>
    <t>Delower Recharge Point</t>
  </si>
  <si>
    <t>01796080277</t>
  </si>
  <si>
    <t>BABAR SOPNO KALITOLA</t>
  </si>
  <si>
    <t>01319802681</t>
  </si>
  <si>
    <t>Sifat Telecom</t>
  </si>
  <si>
    <t>01786888465</t>
  </si>
  <si>
    <t>Rahat Traders</t>
  </si>
  <si>
    <t>01973738262</t>
  </si>
  <si>
    <t>FABIHA TELECOM</t>
  </si>
  <si>
    <t>01993624800</t>
  </si>
  <si>
    <t>Vai vai varieties Store,</t>
  </si>
  <si>
    <t>01737444255</t>
  </si>
  <si>
    <t>HRIDOY VARIETIES STORE</t>
  </si>
  <si>
    <t>01768717930</t>
  </si>
  <si>
    <t>Ria Store</t>
  </si>
  <si>
    <t>01725232910</t>
  </si>
  <si>
    <t>M/S HOSSAIN TREDARS</t>
  </si>
  <si>
    <t>01738334852</t>
  </si>
  <si>
    <t>Mofajall Varities Store</t>
  </si>
  <si>
    <t>01774523747</t>
  </si>
  <si>
    <t>Toslima Enterprise</t>
  </si>
  <si>
    <t>01727269141</t>
  </si>
  <si>
    <t>Home Electronic</t>
  </si>
  <si>
    <t>01793936622</t>
  </si>
  <si>
    <t>FID AND MEDICINE</t>
  </si>
  <si>
    <t>01788210440</t>
  </si>
  <si>
    <t>NUR NABI TELECOM</t>
  </si>
  <si>
    <t>01740014809</t>
  </si>
  <si>
    <t>01831343299</t>
  </si>
  <si>
    <t>Sakib Electronice &amp; Sorif Telecom,</t>
  </si>
  <si>
    <t>01717883025</t>
  </si>
  <si>
    <t>01722108963</t>
  </si>
  <si>
    <t>HASINA TELECOM AND ELECTRONICS ACCESSORIZE</t>
  </si>
  <si>
    <t>01306464781</t>
  </si>
  <si>
    <t>Mudi Dokan</t>
  </si>
  <si>
    <t>01797645698</t>
  </si>
  <si>
    <t>M/S. Fahad Trading</t>
  </si>
  <si>
    <t>01842246494</t>
  </si>
  <si>
    <t>SAHED ELECTRONICS AND PLASTIC</t>
  </si>
  <si>
    <t>01407879272</t>
  </si>
  <si>
    <t>Zannat Varities Store</t>
  </si>
  <si>
    <t>01828207838</t>
  </si>
  <si>
    <t>JIHAD MULTIMEDIA AND ONLINE CENTER</t>
  </si>
  <si>
    <t>01602929792</t>
  </si>
  <si>
    <t>TASNUVA TELECOM AND VARIETIES STORE</t>
  </si>
  <si>
    <t>01761810890</t>
  </si>
  <si>
    <t>01331932288</t>
  </si>
  <si>
    <t>Paul Telecom</t>
  </si>
  <si>
    <t>01786981587</t>
  </si>
  <si>
    <t>Alla Telecom</t>
  </si>
  <si>
    <t>01717080536</t>
  </si>
  <si>
    <t>Puspo Telecom</t>
  </si>
  <si>
    <t>01309444177</t>
  </si>
  <si>
    <t>M/S Abdul Malek Telecom</t>
  </si>
  <si>
    <t>01743488431</t>
  </si>
  <si>
    <t>Sad Confectionari</t>
  </si>
  <si>
    <t>01722601717</t>
  </si>
  <si>
    <t>SAMIM COMPUTER AND ELECTRIC</t>
  </si>
  <si>
    <t>01329025666</t>
  </si>
  <si>
    <t>ASTHA TREDING</t>
  </si>
  <si>
    <t>01318006342</t>
  </si>
  <si>
    <t>RAISA BATTERY HOUSE</t>
  </si>
  <si>
    <t>01339757296</t>
  </si>
  <si>
    <t>nur alom store</t>
  </si>
  <si>
    <t>01797956809</t>
  </si>
  <si>
    <t>BELAL TELECOM</t>
  </si>
  <si>
    <t>01722000141</t>
  </si>
  <si>
    <t>M/S. Fozlar Traders</t>
  </si>
  <si>
    <t>01774208362</t>
  </si>
  <si>
    <t>RAKIB DRUG HOUSE</t>
  </si>
  <si>
    <t>01766129868</t>
  </si>
  <si>
    <t>M/S. Farid Store</t>
  </si>
  <si>
    <t>01738777326</t>
  </si>
  <si>
    <t>MISTER ELECTRONICS AND JHALAI</t>
  </si>
  <si>
    <t>01717227843</t>
  </si>
  <si>
    <t>01713776227</t>
  </si>
  <si>
    <t>INSAF TELECOM</t>
  </si>
  <si>
    <t>01711773801</t>
  </si>
  <si>
    <t>Mozib Medicen Cornar</t>
  </si>
  <si>
    <t>01786981551</t>
  </si>
  <si>
    <t>IMRAN TELECOM</t>
  </si>
  <si>
    <t>01713974155</t>
  </si>
  <si>
    <t>SUMAIA TELECOM</t>
  </si>
  <si>
    <t>01741000708</t>
  </si>
  <si>
    <t>ADIK TRADERS</t>
  </si>
  <si>
    <t>01300773035</t>
  </si>
  <si>
    <t>M/S HOUQ TRADERS</t>
  </si>
  <si>
    <t>01346370536</t>
  </si>
  <si>
    <t>MS BELAL TRADERS</t>
  </si>
  <si>
    <t>01751324026</t>
  </si>
  <si>
    <t>BISMILLAH STORE</t>
  </si>
  <si>
    <t>01722539413</t>
  </si>
  <si>
    <t>IMAM STORE</t>
  </si>
  <si>
    <t>01318480745</t>
  </si>
  <si>
    <t>JOYANTO TELECOM</t>
  </si>
  <si>
    <t>01341418282</t>
  </si>
  <si>
    <t>01786902260</t>
  </si>
  <si>
    <t>PORSHI CLOTH STORE</t>
  </si>
  <si>
    <t>01907313755</t>
  </si>
  <si>
    <t>M/S SAIDUL CONFECTIONARY</t>
  </si>
  <si>
    <t>01795336913</t>
  </si>
  <si>
    <t>Jewel Telecom</t>
  </si>
  <si>
    <t>01893247080</t>
  </si>
  <si>
    <t>Narawon Telecom</t>
  </si>
  <si>
    <t>01762950022</t>
  </si>
  <si>
    <t>ALOMGIR VERAITES STORE</t>
  </si>
  <si>
    <t>01995312072</t>
  </si>
  <si>
    <t>ADIL-AL-ISLAMIA LAIBRARY</t>
  </si>
  <si>
    <t>01346491610</t>
  </si>
  <si>
    <t>A B BETARY HOUSE</t>
  </si>
  <si>
    <t>01312917649</t>
  </si>
  <si>
    <t>HABIBA TELECOM</t>
  </si>
  <si>
    <t>01928194217</t>
  </si>
  <si>
    <t>REHAN STORE</t>
  </si>
  <si>
    <t>01714619610</t>
  </si>
  <si>
    <t>01791113414</t>
  </si>
  <si>
    <t>Azinur Telecom</t>
  </si>
  <si>
    <t>01751373260</t>
  </si>
  <si>
    <t>Sowkat Telecom</t>
  </si>
  <si>
    <t>01719067400</t>
  </si>
  <si>
    <t>Mozidul Telecom</t>
  </si>
  <si>
    <t>01783291414</t>
  </si>
  <si>
    <t>Soran Electric</t>
  </si>
  <si>
    <t>01761027003</t>
  </si>
  <si>
    <t>JUI MONI PHARMACY</t>
  </si>
  <si>
    <t>01304848525</t>
  </si>
  <si>
    <t>M/S BAYEZID ENTERPRISE</t>
  </si>
  <si>
    <t>01720409989</t>
  </si>
  <si>
    <t>BOJLUR TELICOM</t>
  </si>
  <si>
    <t>01921136836</t>
  </si>
  <si>
    <t>SIFAT PHOTOSAT AND STUDIO</t>
  </si>
  <si>
    <t>01313910404</t>
  </si>
  <si>
    <t>Sopnil  Shimanto  Centen</t>
  </si>
  <si>
    <t>01738232688</t>
  </si>
  <si>
    <t>SINAN TELECOM</t>
  </si>
  <si>
    <t>01898385151</t>
  </si>
  <si>
    <t>Jonota Laibery</t>
  </si>
  <si>
    <t>01740136448</t>
  </si>
  <si>
    <t>M/S MAHI TRADERS</t>
  </si>
  <si>
    <t>01774345991</t>
  </si>
  <si>
    <t>Vobesh Store</t>
  </si>
  <si>
    <t>01737846578</t>
  </si>
  <si>
    <t>MS TULIP ENTERPRISE</t>
  </si>
  <si>
    <t>01793636623</t>
  </si>
  <si>
    <t>01794152458</t>
  </si>
  <si>
    <t>MALIHA TRADERS</t>
  </si>
  <si>
    <t>01341457878</t>
  </si>
  <si>
    <t>M/S BILKIS STORE</t>
  </si>
  <si>
    <t>01342003755</t>
  </si>
  <si>
    <t>M/S SAHINUR TELECOM</t>
  </si>
  <si>
    <t>01332006767</t>
  </si>
  <si>
    <t>M/S ANURUDDHO VARIETIES STORE</t>
  </si>
  <si>
    <t>01333952431</t>
  </si>
  <si>
    <t>SABBIR MULTIMEDIA AND TELECOM</t>
  </si>
  <si>
    <t>01768057387</t>
  </si>
  <si>
    <t>Monzila Telecom</t>
  </si>
  <si>
    <t>01750516789</t>
  </si>
  <si>
    <t>JEWEL TELECOM</t>
  </si>
  <si>
    <t>01766925434</t>
  </si>
  <si>
    <t>ALAMGIR TELECOM</t>
  </si>
  <si>
    <t>01757034819</t>
  </si>
  <si>
    <t>PROKRITY PHARMACY</t>
  </si>
  <si>
    <t>01744322640</t>
  </si>
  <si>
    <t>SAD TELECOM</t>
  </si>
  <si>
    <t>01701935600</t>
  </si>
  <si>
    <t>Ahasan Telecom</t>
  </si>
  <si>
    <t>01763175555</t>
  </si>
  <si>
    <t>KABBO COMPUTER AND VARIETIES STORE</t>
  </si>
  <si>
    <t>01324046037</t>
  </si>
  <si>
    <t>MOJIR UDDIN PEPAR HOUSE</t>
  </si>
  <si>
    <t>01787796322</t>
  </si>
  <si>
    <t>NILOY TRADERS</t>
  </si>
  <si>
    <t>01308140315</t>
  </si>
  <si>
    <t>SAMIUL STORE</t>
  </si>
  <si>
    <t>01305697773</t>
  </si>
  <si>
    <t>ROHIM TELECOM</t>
  </si>
  <si>
    <t>01304692023</t>
  </si>
  <si>
    <t>M/S SAHA ENTERPRISE</t>
  </si>
  <si>
    <t>01313299700</t>
  </si>
  <si>
    <t>MASUD TELECOM</t>
  </si>
  <si>
    <t>01714870205</t>
  </si>
  <si>
    <t>ZARA GENERAL STORE</t>
  </si>
  <si>
    <t>01779301402</t>
  </si>
  <si>
    <t>Atik Telecom-02</t>
  </si>
  <si>
    <t>01710535333</t>
  </si>
  <si>
    <t>BISMILLAH KITNASOK KORNER</t>
  </si>
  <si>
    <t>01328644985</t>
  </si>
  <si>
    <t>M/S MASUM ELECTRIC</t>
  </si>
  <si>
    <t>01328739428</t>
  </si>
  <si>
    <t>REDOWAN TREDARS</t>
  </si>
  <si>
    <t>01869493789</t>
  </si>
  <si>
    <t>KABIR STATIONERY AND COSMETICS</t>
  </si>
  <si>
    <t>01686365150</t>
  </si>
  <si>
    <t>M. T ONLINE BHUBON</t>
  </si>
  <si>
    <t>01923140074</t>
  </si>
  <si>
    <t>M/S AJANUR NABI</t>
  </si>
  <si>
    <t>01331997818</t>
  </si>
  <si>
    <t>BHAI BHAI MOBILE CORNER</t>
  </si>
  <si>
    <t>01713976204</t>
  </si>
  <si>
    <t>01331530023</t>
  </si>
  <si>
    <t>BUSRA TELICOM AND ELETRONICS</t>
  </si>
  <si>
    <t>01780876110</t>
  </si>
  <si>
    <t>RABIUL STORE</t>
  </si>
  <si>
    <t>01795683666</t>
  </si>
  <si>
    <t>SHAIFUL TELECOM</t>
  </si>
  <si>
    <t>01981470008</t>
  </si>
  <si>
    <t>A M K TELECOM</t>
  </si>
  <si>
    <t>01793853306</t>
  </si>
  <si>
    <t>MAMUN COSMETICS AND JEWELLERS</t>
  </si>
  <si>
    <t>01342304092</t>
  </si>
  <si>
    <t>HASNA HENA STORE</t>
  </si>
  <si>
    <t>01619868930</t>
  </si>
  <si>
    <t>Mim Telecom</t>
  </si>
  <si>
    <t>01757810293</t>
  </si>
  <si>
    <t>MA-FATEMA TELECOM</t>
  </si>
  <si>
    <t>01816345464</t>
  </si>
  <si>
    <t>SHOBUJ STORE</t>
  </si>
  <si>
    <t>01934091312</t>
  </si>
  <si>
    <t>Joni Verities Store</t>
  </si>
  <si>
    <t>01917233447</t>
  </si>
  <si>
    <t>01341414110</t>
  </si>
  <si>
    <t>Zamiar Store</t>
  </si>
  <si>
    <t>01717506962</t>
  </si>
  <si>
    <t>M/S SIRAJ TELICOM</t>
  </si>
  <si>
    <t>01812123727</t>
  </si>
  <si>
    <t>Nil Sagor Electronic</t>
  </si>
  <si>
    <t>01767582767</t>
  </si>
  <si>
    <t>MA TELECOM AND VARIETIES STORE</t>
  </si>
  <si>
    <t>01722680979</t>
  </si>
  <si>
    <t>M/S SABU TRADERS</t>
  </si>
  <si>
    <t>01319171170</t>
  </si>
  <si>
    <t>Babu Telecom &amp; Autos</t>
  </si>
  <si>
    <t>01786730125</t>
  </si>
  <si>
    <t>Ardosh Laibery &amp; Stationary</t>
  </si>
  <si>
    <t>01788215333</t>
  </si>
  <si>
    <t>ANOWER MULTIMEDIA AND STATIONARY</t>
  </si>
  <si>
    <t>01737479393</t>
  </si>
  <si>
    <t>ABDULLAH SUPER SHOP</t>
  </si>
  <si>
    <t>01717118895</t>
  </si>
  <si>
    <t>N K TELECOM AND SHOE STORE</t>
  </si>
  <si>
    <t>01709278787</t>
  </si>
  <si>
    <t>KHOYRUL TELECOM</t>
  </si>
  <si>
    <t>01706094156</t>
  </si>
  <si>
    <t>MOON MONI TELECOM</t>
  </si>
  <si>
    <t>01722570053</t>
  </si>
  <si>
    <t>JONY TELECOM</t>
  </si>
  <si>
    <t>01793810159</t>
  </si>
  <si>
    <t>INUL TELICOM</t>
  </si>
  <si>
    <t>01762294221</t>
  </si>
  <si>
    <t>M/S NEW NAJ AND NODI PHARMACY</t>
  </si>
  <si>
    <t>01301758764</t>
  </si>
  <si>
    <t>Aktarul; Store</t>
  </si>
  <si>
    <t>01719050655</t>
  </si>
  <si>
    <t>Nur Cosmetic</t>
  </si>
  <si>
    <t>01719782060</t>
  </si>
  <si>
    <t>Abu Verities Store</t>
  </si>
  <si>
    <t>01717687873</t>
  </si>
  <si>
    <t>Galamal &amp; Telecom</t>
  </si>
  <si>
    <t>01918702392</t>
  </si>
  <si>
    <t>AKRAMUL TELECOM</t>
  </si>
  <si>
    <t>01734577817</t>
  </si>
  <si>
    <t>REJOWAN TELECOM</t>
  </si>
  <si>
    <t>01950602018</t>
  </si>
  <si>
    <t>MURAT COMPUTER</t>
  </si>
  <si>
    <t>01868204097</t>
  </si>
  <si>
    <t>VAI VAI TELECOM AND STUDIO</t>
  </si>
  <si>
    <t>01712980001</t>
  </si>
  <si>
    <t>Sojib Telecom</t>
  </si>
  <si>
    <t>01715650932</t>
  </si>
  <si>
    <t>VAI VAI ELECTRONIC AND VERIETIES</t>
  </si>
  <si>
    <t>01944170185</t>
  </si>
  <si>
    <t>APU PHOTOCOPY</t>
  </si>
  <si>
    <t>01558061606</t>
  </si>
  <si>
    <t>Razlaxmi Germents</t>
  </si>
  <si>
    <t>01737152700</t>
  </si>
  <si>
    <t>Sumaia Varities Store</t>
  </si>
  <si>
    <t>01881912793</t>
  </si>
  <si>
    <t>TOUHID MULTIMEDIA AND STATIONERY</t>
  </si>
  <si>
    <t>01329566502</t>
  </si>
  <si>
    <t>ALOM TELECOM</t>
  </si>
  <si>
    <t>01703075565</t>
  </si>
  <si>
    <t>MARIUM COS: AND KHELAGHOR</t>
  </si>
  <si>
    <t>01717716404</t>
  </si>
  <si>
    <t>Ripon Traders</t>
  </si>
  <si>
    <t>01984240249</t>
  </si>
  <si>
    <t>Sayed Telecom</t>
  </si>
  <si>
    <t>01744303032</t>
  </si>
  <si>
    <t>M/S MAHAMUD ELECTRIC AND TELECOM</t>
  </si>
  <si>
    <t>01333581238</t>
  </si>
  <si>
    <t>MORIYOM TELECOM</t>
  </si>
  <si>
    <t>01798171050</t>
  </si>
  <si>
    <t>GAZI TELECOM</t>
  </si>
  <si>
    <t>01704523235</t>
  </si>
  <si>
    <t>HAFIJUL VERAITES AND TELICOM</t>
  </si>
  <si>
    <t>01820995949</t>
  </si>
  <si>
    <t>JISAN STORE</t>
  </si>
  <si>
    <t>01333878240</t>
  </si>
  <si>
    <t>SIYAM TELECOM</t>
  </si>
  <si>
    <t>01723875297</t>
  </si>
  <si>
    <t>MATIJILAL STUDIO</t>
  </si>
  <si>
    <t>01738211312</t>
  </si>
  <si>
    <t>01780808039</t>
  </si>
  <si>
    <t>MUSKAN CONFECTIONARY</t>
  </si>
  <si>
    <t>01774385657</t>
  </si>
  <si>
    <t>FUAD ELECTRIC</t>
  </si>
  <si>
    <t>01890745993</t>
  </si>
  <si>
    <t>Rosedul Telecom</t>
  </si>
  <si>
    <t>01796080287</t>
  </si>
  <si>
    <t>SHORIF ELECTRONICS</t>
  </si>
  <si>
    <t>01784819295</t>
  </si>
  <si>
    <t>M/S NOYON TRADERS</t>
  </si>
  <si>
    <t>01332021777</t>
  </si>
  <si>
    <t>Nibir Telecom</t>
  </si>
  <si>
    <t>01717112000</t>
  </si>
  <si>
    <t>RANA PHARMACY</t>
  </si>
  <si>
    <t>01761149857</t>
  </si>
  <si>
    <t>NEW TELECOM AND CONFECTIONARY</t>
  </si>
  <si>
    <t>01869907362</t>
  </si>
  <si>
    <t>LAMIYA TELECOM</t>
  </si>
  <si>
    <t>01744424930</t>
  </si>
  <si>
    <t>Eti Telecom</t>
  </si>
  <si>
    <t>01750706620</t>
  </si>
  <si>
    <t>Nirob Computer &amp; Telecom</t>
  </si>
  <si>
    <t>01755477542</t>
  </si>
  <si>
    <t>MILON COSMETICKS</t>
  </si>
  <si>
    <t>01724406008</t>
  </si>
  <si>
    <t>M/S LAMIYA TELECOM</t>
  </si>
  <si>
    <t>01794592620</t>
  </si>
  <si>
    <t>OBAIDUR VARIETIES STORE</t>
  </si>
  <si>
    <t>01635348906</t>
  </si>
  <si>
    <t>ASTHA STORE</t>
  </si>
  <si>
    <t>01333953495</t>
  </si>
  <si>
    <t>MS ANOWAR STORE</t>
  </si>
  <si>
    <t>01883658691</t>
  </si>
  <si>
    <t>RABI TELECOM</t>
  </si>
  <si>
    <t>01733333475</t>
  </si>
  <si>
    <t>NENDASHA STORE</t>
  </si>
  <si>
    <t>01766753009</t>
  </si>
  <si>
    <t>M/S MERINA TRADERS</t>
  </si>
  <si>
    <t>01300070110</t>
  </si>
  <si>
    <t>Nur Nobi  Verities Store</t>
  </si>
  <si>
    <t>01774075822</t>
  </si>
  <si>
    <t>HAKIM STORE</t>
  </si>
  <si>
    <t>01304181305</t>
  </si>
  <si>
    <t>MONOWAR ELECTRONICS</t>
  </si>
  <si>
    <t>01762729979</t>
  </si>
  <si>
    <t>VAI VAI TRADERS</t>
  </si>
  <si>
    <t>01674991717</t>
  </si>
  <si>
    <t>Monowar Telecom</t>
  </si>
  <si>
    <t>01752277305</t>
  </si>
  <si>
    <t>Dipu Telecom</t>
  </si>
  <si>
    <t>01713738936</t>
  </si>
  <si>
    <t>UZZAL HOMEIO HALL</t>
  </si>
  <si>
    <t>01791920099</t>
  </si>
  <si>
    <t>BISMILLAH VARIETIES STORE</t>
  </si>
  <si>
    <t>01780035575</t>
  </si>
  <si>
    <t>ABDUL KARIM STORE</t>
  </si>
  <si>
    <t>01341352720</t>
  </si>
  <si>
    <t>NOTUN JIBON FID AND VETENARI OMA TELECOM</t>
  </si>
  <si>
    <t>01992123022</t>
  </si>
  <si>
    <t>ALIFA TELECOM</t>
  </si>
  <si>
    <t>01722148875</t>
  </si>
  <si>
    <t>Titas Telecom</t>
  </si>
  <si>
    <t>01797558555</t>
  </si>
  <si>
    <t>01335710904</t>
  </si>
  <si>
    <t>Maliha Varitise Store</t>
  </si>
  <si>
    <t>01773571794</t>
  </si>
  <si>
    <t>MAMA POLTRY HOUSE</t>
  </si>
  <si>
    <t>01767051733</t>
  </si>
  <si>
    <t>M/S SHANTO TRADERS</t>
  </si>
  <si>
    <t>01310100155</t>
  </si>
  <si>
    <t>RUPKUMAR TELECOM</t>
  </si>
  <si>
    <t>01314216771</t>
  </si>
  <si>
    <t>KHADIJA CONFECTIONARY</t>
  </si>
  <si>
    <t>01310166670</t>
  </si>
  <si>
    <t>M/S NAIM STORE</t>
  </si>
  <si>
    <t>01786992073</t>
  </si>
  <si>
    <t>ISRAT PHARMACY</t>
  </si>
  <si>
    <t>01796505414</t>
  </si>
  <si>
    <t>AJIM STORE</t>
  </si>
  <si>
    <t>01783329597</t>
  </si>
  <si>
    <t>Alif Telecom</t>
  </si>
  <si>
    <t>01774700386</t>
  </si>
  <si>
    <t>Alomgir telecom</t>
  </si>
  <si>
    <t>01701938945</t>
  </si>
  <si>
    <t>AHAT STORE</t>
  </si>
  <si>
    <t>01760607409</t>
  </si>
  <si>
    <t>COSMITICES DOKAN</t>
  </si>
  <si>
    <t>01760611429</t>
  </si>
  <si>
    <t>SAIDUL STORE</t>
  </si>
  <si>
    <t>01745470852</t>
  </si>
  <si>
    <t>M/S ADIL TRADERS</t>
  </si>
  <si>
    <t>01788998076</t>
  </si>
  <si>
    <t>EYAMIN STORE</t>
  </si>
  <si>
    <t>01332585570</t>
  </si>
  <si>
    <t>Tuhin Telecom</t>
  </si>
  <si>
    <t>01713785241</t>
  </si>
  <si>
    <t>SHAKIL TELECOM</t>
  </si>
  <si>
    <t>01715932127</t>
  </si>
  <si>
    <t>MASUM VERAITES STORE</t>
  </si>
  <si>
    <t>01325017138</t>
  </si>
  <si>
    <t>BULBUL TELECOM</t>
  </si>
  <si>
    <t>01967671028</t>
  </si>
  <si>
    <t>TALHA COSMETICS</t>
  </si>
  <si>
    <t>01332052638</t>
  </si>
  <si>
    <t>MOMOTAJUR STORE</t>
  </si>
  <si>
    <t>01780668368</t>
  </si>
  <si>
    <t>Mudikhana &amp; Telecom</t>
  </si>
  <si>
    <t>01720577714</t>
  </si>
  <si>
    <t>JANNATI ELECTRONICS</t>
  </si>
  <si>
    <t>01887456334</t>
  </si>
  <si>
    <t>ANNI TRADERS</t>
  </si>
  <si>
    <t>01329071935</t>
  </si>
  <si>
    <t>NUR ISLAM ELECTRIC</t>
  </si>
  <si>
    <t>01304646188</t>
  </si>
  <si>
    <t>LABIB PHOTOCOPY AND STATIONARY</t>
  </si>
  <si>
    <t>01740665502</t>
  </si>
  <si>
    <t>MA ELECTRONIX HOUSE</t>
  </si>
  <si>
    <t>01793335396</t>
  </si>
  <si>
    <t>LATIF TELECOM</t>
  </si>
  <si>
    <t>01304683302</t>
  </si>
  <si>
    <t>MA COMPUTER AND STETIONARI</t>
  </si>
  <si>
    <t>01723608252</t>
  </si>
  <si>
    <t>MAYA TELECOM</t>
  </si>
  <si>
    <t>01717222044</t>
  </si>
  <si>
    <t>M/S REZAUL STORE</t>
  </si>
  <si>
    <t>01326080680</t>
  </si>
  <si>
    <t>RASEL PRINTERS</t>
  </si>
  <si>
    <t>01518695032</t>
  </si>
  <si>
    <t>SHUVO TELECOM</t>
  </si>
  <si>
    <t>01774314271</t>
  </si>
  <si>
    <t>Nihal Store</t>
  </si>
  <si>
    <t>01990658042</t>
  </si>
  <si>
    <t>KAPIL STORE</t>
  </si>
  <si>
    <t>01989506112</t>
  </si>
  <si>
    <t>Chadni Telecom</t>
  </si>
  <si>
    <t>01755306300</t>
  </si>
  <si>
    <t>SHOSTI MUDI STORE</t>
  </si>
  <si>
    <t>01793841673</t>
  </si>
  <si>
    <t>ROY PHARMACY</t>
  </si>
  <si>
    <t>01771626216</t>
  </si>
  <si>
    <t>SAIFUL COMPUTER AND TELECOM</t>
  </si>
  <si>
    <t>01743801627</t>
  </si>
  <si>
    <t>jim telecom</t>
  </si>
  <si>
    <t>01797606066</t>
  </si>
  <si>
    <t>KABIR TRADERS AND TELECOM</t>
  </si>
  <si>
    <t>01781678307</t>
  </si>
  <si>
    <t>RAKIB VARIETIES STORE</t>
  </si>
  <si>
    <t>01346524606</t>
  </si>
  <si>
    <t>RATUL VARIETIES STORE</t>
  </si>
  <si>
    <t>01301688855</t>
  </si>
  <si>
    <t>Toukir Telecom</t>
  </si>
  <si>
    <t>01404953064</t>
  </si>
  <si>
    <t>JUWEL TELECOM</t>
  </si>
  <si>
    <t>01707441772</t>
  </si>
  <si>
    <t>DIYA RANI</t>
  </si>
  <si>
    <t>01790392603</t>
  </si>
  <si>
    <t>Ma Ma.ltimidia</t>
  </si>
  <si>
    <t>01738172690</t>
  </si>
  <si>
    <t>ONTOR TELECOM</t>
  </si>
  <si>
    <t>01742152200</t>
  </si>
  <si>
    <t>M/S SUMAIYA VETERINARY CORNER</t>
  </si>
  <si>
    <t>01343115366</t>
  </si>
  <si>
    <t>ACTIVE VARIETIES</t>
  </si>
  <si>
    <t>01906745174</t>
  </si>
  <si>
    <t>Vai vai garments</t>
  </si>
  <si>
    <t>01758928682</t>
  </si>
  <si>
    <t>Morsalin Store</t>
  </si>
  <si>
    <t>01818634660</t>
  </si>
  <si>
    <t>SHAFI SHOE STORE</t>
  </si>
  <si>
    <t>01740130414</t>
  </si>
  <si>
    <t>Mehedi Store</t>
  </si>
  <si>
    <t>01912947689</t>
  </si>
  <si>
    <t>ROHIDUL STORE</t>
  </si>
  <si>
    <t>01869552764</t>
  </si>
  <si>
    <t>INDRO STORE</t>
  </si>
  <si>
    <t>01701701635</t>
  </si>
  <si>
    <t>MS ALI TRADERS</t>
  </si>
  <si>
    <t>01313984193</t>
  </si>
  <si>
    <t>MONOWAR TELECOM</t>
  </si>
  <si>
    <t>01904532624</t>
  </si>
  <si>
    <t>ZIM CONFECTIONARY</t>
  </si>
  <si>
    <t>01828949400</t>
  </si>
  <si>
    <t>SUJON TELECOM</t>
  </si>
  <si>
    <t>01338879720</t>
  </si>
  <si>
    <t>MOHANTO TELECOM</t>
  </si>
  <si>
    <t>01341718010</t>
  </si>
  <si>
    <t>Ibrahim Store</t>
  </si>
  <si>
    <t>01881979060</t>
  </si>
  <si>
    <t>RASED STORE</t>
  </si>
  <si>
    <t>01890935474</t>
  </si>
  <si>
    <t>Friend Telecom</t>
  </si>
  <si>
    <t>01773852295</t>
  </si>
  <si>
    <t>Raza Rafa Telecom</t>
  </si>
  <si>
    <t>01959413535</t>
  </si>
  <si>
    <t>DIPOK OBILE CORNER</t>
  </si>
  <si>
    <t>01346263858</t>
  </si>
  <si>
    <t>RAJAB ENTERPRISE</t>
  </si>
  <si>
    <t>01782004343</t>
  </si>
  <si>
    <t>PRAPTI TELECOM</t>
  </si>
  <si>
    <t>01796225250</t>
  </si>
  <si>
    <t>RAZAUL TELECOM</t>
  </si>
  <si>
    <t>01964364827</t>
  </si>
  <si>
    <t>Siddika Farmeci</t>
  </si>
  <si>
    <t>01954286716</t>
  </si>
  <si>
    <t>Aynul Telecom</t>
  </si>
  <si>
    <t>01754725003</t>
  </si>
  <si>
    <t>Bulbul Telecom</t>
  </si>
  <si>
    <t>01795009565</t>
  </si>
  <si>
    <t>Arefin Traders &amp; Telecom</t>
  </si>
  <si>
    <t>01716001135</t>
  </si>
  <si>
    <t>Ma Store</t>
  </si>
  <si>
    <t>01722790665</t>
  </si>
  <si>
    <t>WEB LANCE BD INSTITUTE</t>
  </si>
  <si>
    <t>01719840516</t>
  </si>
  <si>
    <t>SALAM TELECOM</t>
  </si>
  <si>
    <t>01300105590</t>
  </si>
  <si>
    <t>01943151898</t>
  </si>
  <si>
    <t>MOON VARIETIES STORE</t>
  </si>
  <si>
    <t>01741182289</t>
  </si>
  <si>
    <t>RUBEL TELECOM</t>
  </si>
  <si>
    <t>01822413724</t>
  </si>
  <si>
    <t>SHILPI DIGITAL STUDIO</t>
  </si>
  <si>
    <t>01797972125</t>
  </si>
  <si>
    <t>Ma Medicine Centr</t>
  </si>
  <si>
    <t>01774567339</t>
  </si>
  <si>
    <t>MOHID STORE</t>
  </si>
  <si>
    <t>01328742848</t>
  </si>
  <si>
    <t>MUNIR VARIETIES STORE AND TELECOM CENTRE</t>
  </si>
  <si>
    <t>01329059878</t>
  </si>
  <si>
    <t>Meskad Telecom</t>
  </si>
  <si>
    <t>01773673345</t>
  </si>
  <si>
    <t>BOISHAKHI TELECOM</t>
  </si>
  <si>
    <t>01718770511</t>
  </si>
  <si>
    <t>Borson Telecom</t>
  </si>
  <si>
    <t>01723338870</t>
  </si>
  <si>
    <t>M/S ABDUL OWAZED LABU TRADERS</t>
  </si>
  <si>
    <t>01999920909</t>
  </si>
  <si>
    <t>MITU STORE</t>
  </si>
  <si>
    <t>01728422344</t>
  </si>
  <si>
    <t>SUMON DIGITAL TREDARS</t>
  </si>
  <si>
    <t>01344233668</t>
  </si>
  <si>
    <t>Kamran Telecom</t>
  </si>
  <si>
    <t>01303941246</t>
  </si>
  <si>
    <t>Shifaed  Enter Prize</t>
  </si>
  <si>
    <t>01787903250</t>
  </si>
  <si>
    <t>Tonmoy Telecom</t>
  </si>
  <si>
    <t>01723868806</t>
  </si>
  <si>
    <t>M/S RASEDUL TRADERS</t>
  </si>
  <si>
    <t>01797790071</t>
  </si>
  <si>
    <t>MASUM TELECOM</t>
  </si>
  <si>
    <t>01312435976</t>
  </si>
  <si>
    <t>Al-Amin Telecom</t>
  </si>
  <si>
    <t>01788171100</t>
  </si>
  <si>
    <t>MAJEDUL STORE</t>
  </si>
  <si>
    <t>01795171180</t>
  </si>
  <si>
    <t>Lam Varities Store</t>
  </si>
  <si>
    <t>01751389330</t>
  </si>
  <si>
    <t>Tabibul Telecom</t>
  </si>
  <si>
    <t>01794823499</t>
  </si>
  <si>
    <t>M/S MAA BABAR DOA PHARMACY</t>
  </si>
  <si>
    <t>01737493890</t>
  </si>
  <si>
    <t>Dowil Farmeci</t>
  </si>
  <si>
    <t>01713720562</t>
  </si>
  <si>
    <t>Soma Digital</t>
  </si>
  <si>
    <t>01712515426</t>
  </si>
  <si>
    <t>Bissmulla kajog ghor &amp; photokopi,</t>
  </si>
  <si>
    <t>01768881478</t>
  </si>
  <si>
    <t>Juyel Enter Prize</t>
  </si>
  <si>
    <t>01722925001</t>
  </si>
  <si>
    <t>Josh Computer</t>
  </si>
  <si>
    <t>01762929004</t>
  </si>
  <si>
    <t>SHEKH  STORE</t>
  </si>
  <si>
    <t>01300271276</t>
  </si>
  <si>
    <t>Konok Store</t>
  </si>
  <si>
    <t>01751327353</t>
  </si>
  <si>
    <t>MADINA VERITIES STORE</t>
  </si>
  <si>
    <t>01878272531</t>
  </si>
  <si>
    <t>ROCKY TELECOM</t>
  </si>
  <si>
    <t>01766815151</t>
  </si>
  <si>
    <t>SIDRATUL MUNTAHA</t>
  </si>
  <si>
    <t>01966831063</t>
  </si>
  <si>
    <t>01928146402</t>
  </si>
  <si>
    <t>SOPON CONFECTIONARY AND VERAITIES SHOP</t>
  </si>
  <si>
    <t>01908040217</t>
  </si>
  <si>
    <t>NAYEM SHOE STORE</t>
  </si>
  <si>
    <t>01322752659</t>
  </si>
  <si>
    <t>Vuiya Pharmacy and Telecom</t>
  </si>
  <si>
    <t>01709172962</t>
  </si>
  <si>
    <t>LAKSMI PHARMACY</t>
  </si>
  <si>
    <t>01726743997</t>
  </si>
  <si>
    <t>MD ANAMUL TELICOM</t>
  </si>
  <si>
    <t>01774132012</t>
  </si>
  <si>
    <t>DEBY ENTERPRISE</t>
  </si>
  <si>
    <t>01823422290</t>
  </si>
  <si>
    <t>JAHIR STORE</t>
  </si>
  <si>
    <t>01833680848</t>
  </si>
  <si>
    <t>Chadni Computer  Photocopy</t>
  </si>
  <si>
    <t>01773159604</t>
  </si>
  <si>
    <t>Arafat Mobile Corner</t>
  </si>
  <si>
    <t>01750249824</t>
  </si>
  <si>
    <t>MIZAN STORE</t>
  </si>
  <si>
    <t>01335714914</t>
  </si>
  <si>
    <t>Akash Telecom</t>
  </si>
  <si>
    <t>01761209553</t>
  </si>
  <si>
    <t>01319195031</t>
  </si>
  <si>
    <t>MAYER DOYA TRADERS</t>
  </si>
  <si>
    <t>01796864279</t>
  </si>
  <si>
    <t>Simu Medical Hole</t>
  </si>
  <si>
    <t>01797952977</t>
  </si>
  <si>
    <t>M/S SOPNO TELECOM</t>
  </si>
  <si>
    <t>01346299420</t>
  </si>
  <si>
    <t>Bondhu Telecom</t>
  </si>
  <si>
    <t>01773502289</t>
  </si>
  <si>
    <t>Nur Telecom</t>
  </si>
  <si>
    <t>01998197609</t>
  </si>
  <si>
    <t>Mamun cosmetics</t>
  </si>
  <si>
    <t>01785272929</t>
  </si>
  <si>
    <t>ESA COSMETICS AND CASH POINT</t>
  </si>
  <si>
    <t>01717294307</t>
  </si>
  <si>
    <t>Nil Computer &amp; Electronic</t>
  </si>
  <si>
    <t>01706333877</t>
  </si>
  <si>
    <t>M/S BHAI BHAI PHARMACY</t>
  </si>
  <si>
    <t>01739989064</t>
  </si>
  <si>
    <t>NurulTelecom</t>
  </si>
  <si>
    <t>01717181593</t>
  </si>
  <si>
    <t>Moriyam Cosmetics</t>
  </si>
  <si>
    <t>01767069226</t>
  </si>
  <si>
    <t>Sabuj Telecom</t>
  </si>
  <si>
    <t>01729804527</t>
  </si>
  <si>
    <t>KK SHOP</t>
  </si>
  <si>
    <t>01777880884</t>
  </si>
  <si>
    <t>AKASH TELECOM</t>
  </si>
  <si>
    <t>01713688431</t>
  </si>
  <si>
    <t>HARUNTALECOM</t>
  </si>
  <si>
    <t>01717588470</t>
  </si>
  <si>
    <t>Tarik Telecom</t>
  </si>
  <si>
    <t>01791854918</t>
  </si>
  <si>
    <t>Saju Telecom</t>
  </si>
  <si>
    <t>01783853492</t>
  </si>
  <si>
    <t>ARIFA TELECOM</t>
  </si>
  <si>
    <t>01793380043</t>
  </si>
  <si>
    <t>M/S PROSANTO ELECTRONICS AND TV CORNER</t>
  </si>
  <si>
    <t>01313262872</t>
  </si>
  <si>
    <t>ASHIK TELECOM</t>
  </si>
  <si>
    <t>01766555216</t>
  </si>
  <si>
    <t>Ma Verites  &amp; Confectionery</t>
  </si>
  <si>
    <t>01788272766</t>
  </si>
  <si>
    <t>M/S Ma Pharmacy</t>
  </si>
  <si>
    <t>01755256466</t>
  </si>
  <si>
    <t>NUR TELECOM</t>
  </si>
  <si>
    <t>01744383035</t>
  </si>
  <si>
    <t>M/S RUBEL TELECOM</t>
  </si>
  <si>
    <t>01707495862</t>
  </si>
  <si>
    <t>SHAHINUR  VARIETIES STORE</t>
  </si>
  <si>
    <t>01607275365</t>
  </si>
  <si>
    <t>TASIM DIGITAL STUDIO</t>
  </si>
  <si>
    <t>01766124380</t>
  </si>
  <si>
    <t>vai vai Telecom 02</t>
  </si>
  <si>
    <t>01704305587</t>
  </si>
  <si>
    <t>JONOTA TRADERS</t>
  </si>
  <si>
    <t>01346327201</t>
  </si>
  <si>
    <t>MS MAYER DOA TRADERS</t>
  </si>
  <si>
    <t>01944725469</t>
  </si>
  <si>
    <t>MIRAZ TELECOM</t>
  </si>
  <si>
    <t>01781896093</t>
  </si>
  <si>
    <t>M/S Shafiqul  Store</t>
  </si>
  <si>
    <t>01764981900</t>
  </si>
  <si>
    <t>M/S Robiul Store</t>
  </si>
  <si>
    <t>01770829388</t>
  </si>
  <si>
    <t>RABBI STORE</t>
  </si>
  <si>
    <t>01784837780</t>
  </si>
  <si>
    <t>LIZA VARIETIES STORE</t>
  </si>
  <si>
    <t>01780782297</t>
  </si>
  <si>
    <t>DOMAR KOBIR TELECOM AND MOBILE JOGOT</t>
  </si>
  <si>
    <t>01738389555</t>
  </si>
  <si>
    <t>Zahinur Telecom</t>
  </si>
  <si>
    <t>01773787868</t>
  </si>
  <si>
    <t>01307394884</t>
  </si>
  <si>
    <t>Rayhan Traders</t>
  </si>
  <si>
    <t>01779797168</t>
  </si>
  <si>
    <t>VAI VAI PHARMECY</t>
  </si>
  <si>
    <t>01793699255</t>
  </si>
  <si>
    <t>M/S ABDUL HAMID TRADERS</t>
  </si>
  <si>
    <t>01830150010</t>
  </si>
  <si>
    <t>I.T. Service Com &amp; Pharmacy</t>
  </si>
  <si>
    <t>01709409620</t>
  </si>
  <si>
    <t>COMPUTER PHOTOCOPY SHOP</t>
  </si>
  <si>
    <t>01307981809</t>
  </si>
  <si>
    <t>ADITTA TELECOM</t>
  </si>
  <si>
    <t>01744799392</t>
  </si>
  <si>
    <t>MIM TRADERS</t>
  </si>
  <si>
    <t>01727071700</t>
  </si>
  <si>
    <t>ABID TELECOM</t>
  </si>
  <si>
    <t>01944028484</t>
  </si>
  <si>
    <t>Mahin Studio</t>
  </si>
  <si>
    <t>01744330085</t>
  </si>
  <si>
    <t>SIHAB PHARMACY</t>
  </si>
  <si>
    <t>01717693078</t>
  </si>
  <si>
    <t>M/S JONY TRADERS</t>
  </si>
  <si>
    <t>01717205703</t>
  </si>
  <si>
    <t>M/S Mahamuda Telecom</t>
  </si>
  <si>
    <t>01717300903</t>
  </si>
  <si>
    <t>SORIF COSMETICS</t>
  </si>
  <si>
    <t>01765999004</t>
  </si>
  <si>
    <t>Aya Store,</t>
  </si>
  <si>
    <t>01706723271</t>
  </si>
  <si>
    <t>AKLIMA TRADERS</t>
  </si>
  <si>
    <t>01733496606</t>
  </si>
  <si>
    <t>M/S SIFAT SYCKEL STORE</t>
  </si>
  <si>
    <t>01332021701</t>
  </si>
  <si>
    <t>SHAHAMUDDIN  PHARMACY</t>
  </si>
  <si>
    <t>01316686626</t>
  </si>
  <si>
    <t>MS MASUD TELECOM</t>
  </si>
  <si>
    <t>01314032544</t>
  </si>
  <si>
    <t>M/S MASUM TREDARS</t>
  </si>
  <si>
    <t>01325477121</t>
  </si>
  <si>
    <t>CHETONA PHARMACY</t>
  </si>
  <si>
    <t>01633417423</t>
  </si>
  <si>
    <t>HABIB TELECOM</t>
  </si>
  <si>
    <t>01798966333</t>
  </si>
  <si>
    <t>Ripon Telecom</t>
  </si>
  <si>
    <t>01752885186</t>
  </si>
  <si>
    <t>Forid Telecom</t>
  </si>
  <si>
    <t>01743566682</t>
  </si>
  <si>
    <t>Raju Electronic</t>
  </si>
  <si>
    <t>01711415380</t>
  </si>
  <si>
    <t>M/S Shad Electronic</t>
  </si>
  <si>
    <t>01773477500</t>
  </si>
  <si>
    <t>Rezoan Telecom</t>
  </si>
  <si>
    <t>01717897711</t>
  </si>
  <si>
    <t>RASHED STORE</t>
  </si>
  <si>
    <t>01898029301</t>
  </si>
  <si>
    <t>I. T. Point</t>
  </si>
  <si>
    <t>01911601190</t>
  </si>
  <si>
    <t>ARPON STORE</t>
  </si>
  <si>
    <t>01341283055</t>
  </si>
  <si>
    <t>ZIA BUILDERS</t>
  </si>
  <si>
    <t>01706020306</t>
  </si>
  <si>
    <t>01717699900</t>
  </si>
  <si>
    <t>RAHAMANIA  HOMIO HALL</t>
  </si>
  <si>
    <t>01723776001</t>
  </si>
  <si>
    <t>MS BABU COSMETICS AND KHELAGHOR</t>
  </si>
  <si>
    <t>01310101016</t>
  </si>
  <si>
    <t>M/S NAJMUL TRADERS</t>
  </si>
  <si>
    <t>01739103510</t>
  </si>
  <si>
    <t>OMAR STORE</t>
  </si>
  <si>
    <t>01745707630</t>
  </si>
  <si>
    <t>Vai Vai Store-2</t>
  </si>
  <si>
    <t>01738228256</t>
  </si>
  <si>
    <t>Arafat Chasma and Gori Ghor</t>
  </si>
  <si>
    <t>01309467588</t>
  </si>
  <si>
    <t>M/S PRAPTI PHARMECY</t>
  </si>
  <si>
    <t>01776867917</t>
  </si>
  <si>
    <t>M/S ROFIKUL TREDARS</t>
  </si>
  <si>
    <t>01762144939</t>
  </si>
  <si>
    <t>MORSALIN STORE</t>
  </si>
  <si>
    <t>01782087890</t>
  </si>
  <si>
    <t>Bablu Electric &amp; Mobile</t>
  </si>
  <si>
    <t>01881794762</t>
  </si>
  <si>
    <t>SABA PHARMACY</t>
  </si>
  <si>
    <t>01737375193</t>
  </si>
  <si>
    <t>M/S. Mina Trading</t>
  </si>
  <si>
    <t>01718824709</t>
  </si>
  <si>
    <t>MS SIMA TRADERS</t>
  </si>
  <si>
    <t>01795551313</t>
  </si>
  <si>
    <t>BORHAN AND JIHAN STORE</t>
  </si>
  <si>
    <t>01921010003</t>
  </si>
  <si>
    <t>ADIB STORE</t>
  </si>
  <si>
    <t>01747425689</t>
  </si>
  <si>
    <t>MOBIN TELICOM</t>
  </si>
  <si>
    <t>01747427472</t>
  </si>
  <si>
    <t>S B TELECOM</t>
  </si>
  <si>
    <t>01831338705</t>
  </si>
  <si>
    <t>MS TAHER STORE</t>
  </si>
  <si>
    <t>01796007359</t>
  </si>
  <si>
    <t>RASAINIK SAR O MOBILE BANKING</t>
  </si>
  <si>
    <t>01718503549</t>
  </si>
  <si>
    <t>PROSHANTO TELECOM</t>
  </si>
  <si>
    <t>01775353504</t>
  </si>
  <si>
    <t>VAI VAI ELECTRONICS AND VERAITIS STORE</t>
  </si>
  <si>
    <t>01749768666</t>
  </si>
  <si>
    <t>M/S ASHRAF ELECTRIC AND TELECOM</t>
  </si>
  <si>
    <t>01328653666</t>
  </si>
  <si>
    <t>PELESTAIN TELICOM</t>
  </si>
  <si>
    <t>01329025237</t>
  </si>
  <si>
    <t>ALAMGIR STORE</t>
  </si>
  <si>
    <t>01709409900</t>
  </si>
  <si>
    <t>MEHEDI STORE</t>
  </si>
  <si>
    <t>01738268155</t>
  </si>
  <si>
    <t>MONIRA PHARMACY</t>
  </si>
  <si>
    <t>01781376111</t>
  </si>
  <si>
    <t>M/S MA PHARMECY</t>
  </si>
  <si>
    <t>01708984778</t>
  </si>
  <si>
    <t>MAMUN STORE</t>
  </si>
  <si>
    <t>01764590327</t>
  </si>
  <si>
    <t>AL AMIN TELECOM AND VERAITES STORE</t>
  </si>
  <si>
    <t>01331901703</t>
  </si>
  <si>
    <t>MUNNIKA TELECOM</t>
  </si>
  <si>
    <t>01986906334</t>
  </si>
  <si>
    <t>VAI VAI TELECOM AND VARIETIES STORE</t>
  </si>
  <si>
    <t>01828749638</t>
  </si>
  <si>
    <t>M/S TAYGUL VARIETIES STORE</t>
  </si>
  <si>
    <t>01762037034</t>
  </si>
  <si>
    <t>MS SHARMIN PHARMACY</t>
  </si>
  <si>
    <t>01755159337</t>
  </si>
  <si>
    <t>ALLAH VORSHA CONFECTIONARY</t>
  </si>
  <si>
    <t>01867220375</t>
  </si>
  <si>
    <t>BROTHERS STORE</t>
  </si>
  <si>
    <t>01736311100</t>
  </si>
  <si>
    <t>ANAMUL TELICOM</t>
  </si>
  <si>
    <t>01965252333</t>
  </si>
  <si>
    <t>FERDOUS TREDARS</t>
  </si>
  <si>
    <t>01999772303</t>
  </si>
  <si>
    <t>MAA TELECOM</t>
  </si>
  <si>
    <t>01318225077</t>
  </si>
  <si>
    <t>ARSHAD TELECOM</t>
  </si>
  <si>
    <t>01794134772</t>
  </si>
  <si>
    <t>SHAYAD TELECOM</t>
  </si>
  <si>
    <t>01782554557</t>
  </si>
  <si>
    <t>PALASH CHALGHOR</t>
  </si>
  <si>
    <t>01886339967</t>
  </si>
  <si>
    <t>ASTA VARIETIES STORE</t>
  </si>
  <si>
    <t>01309280722</t>
  </si>
  <si>
    <t>MD NURUN NOBI</t>
  </si>
  <si>
    <t>01718136621</t>
  </si>
  <si>
    <t>AKHI TELECOM</t>
  </si>
  <si>
    <t>01732479781</t>
  </si>
  <si>
    <t>NIROB STATIONARI AND DIGITAL PHOTO GALLERY</t>
  </si>
  <si>
    <t>01770714744</t>
  </si>
  <si>
    <t>SORFAN TELECOM</t>
  </si>
  <si>
    <t>01981608051</t>
  </si>
  <si>
    <t>MS M R BOI GHOR</t>
  </si>
  <si>
    <t>01734267674</t>
  </si>
  <si>
    <t>KABIR CONFECTIONARY</t>
  </si>
  <si>
    <t>01783105277</t>
  </si>
  <si>
    <t>MS M S TRADERS</t>
  </si>
  <si>
    <t>01751915343</t>
  </si>
  <si>
    <t>MUDI KHAN VARIETIES STORE</t>
  </si>
  <si>
    <t>01747750283</t>
  </si>
  <si>
    <t>NILOY PHARMACY</t>
  </si>
  <si>
    <t>01727306333</t>
  </si>
  <si>
    <t>MS MONOWAR TRADERS</t>
  </si>
  <si>
    <t>01738168856</t>
  </si>
  <si>
    <t>SOUROV TRADERS</t>
  </si>
  <si>
    <t>01869901360</t>
  </si>
  <si>
    <t>LAMIM VARIETIES STORE</t>
  </si>
  <si>
    <t>01973200359</t>
  </si>
  <si>
    <t>MS SADIA TELECOM</t>
  </si>
  <si>
    <t>01317060904</t>
  </si>
  <si>
    <t>RIFAT TELECOM AND ELECTRIC</t>
  </si>
  <si>
    <t>01791371830</t>
  </si>
  <si>
    <t>UNIQ MATH</t>
  </si>
  <si>
    <t>01726960008</t>
  </si>
  <si>
    <t>FUAD MEDICINE CORNER AND TELECOM</t>
  </si>
  <si>
    <t>01793909190</t>
  </si>
  <si>
    <t>SAHADAD STORE</t>
  </si>
  <si>
    <t>01322708812</t>
  </si>
  <si>
    <t>PALASH TELECOM</t>
  </si>
  <si>
    <t>01709755140</t>
  </si>
  <si>
    <t>MM VARIETIES STORE</t>
  </si>
  <si>
    <t>01797720966</t>
  </si>
  <si>
    <t>JONONI VARIETIES STORE</t>
  </si>
  <si>
    <t>01980986082</t>
  </si>
  <si>
    <t>DULAL STORE</t>
  </si>
  <si>
    <t>01793660895</t>
  </si>
  <si>
    <t>LABONI TELECOM</t>
  </si>
  <si>
    <t>01767062383</t>
  </si>
  <si>
    <t>BABU TELECOM</t>
  </si>
  <si>
    <t>01753115541</t>
  </si>
  <si>
    <t>BISMILLAH TELECOM</t>
  </si>
  <si>
    <t>01791830202</t>
  </si>
  <si>
    <t>MS VAI VAI TRADERS</t>
  </si>
  <si>
    <t>01765991083</t>
  </si>
  <si>
    <t>NIL SAGOR PHARMACY</t>
  </si>
  <si>
    <t>01737631139</t>
  </si>
  <si>
    <t>BONDU BAZAR</t>
  </si>
  <si>
    <t>01759967178</t>
  </si>
  <si>
    <t>01782970519</t>
  </si>
  <si>
    <t>BISMILLAH MOTORS AND TELECOM</t>
  </si>
  <si>
    <t>01314223350</t>
  </si>
  <si>
    <t>NIPU ELECTRONICES</t>
  </si>
  <si>
    <t>01750883390</t>
  </si>
  <si>
    <t>MOSTAKIM TELECOM</t>
  </si>
  <si>
    <t>01343115454</t>
  </si>
  <si>
    <t>MOMOTA VARIETIES STORE</t>
  </si>
  <si>
    <t>01822365999</t>
  </si>
  <si>
    <t>BHAI BHAI COSMETICS</t>
  </si>
  <si>
    <t>01789852221</t>
  </si>
  <si>
    <t>ALMGMIR PHARMACY</t>
  </si>
  <si>
    <t>01743401117</t>
  </si>
  <si>
    <t>DULI MEDICEL STORE</t>
  </si>
  <si>
    <t>01779075778</t>
  </si>
  <si>
    <t>FARMAN FURNITURE</t>
  </si>
  <si>
    <t>01742524674</t>
  </si>
  <si>
    <t>HASAN STORE</t>
  </si>
  <si>
    <t>01797207830</t>
  </si>
  <si>
    <t>BANK KING POINT</t>
  </si>
  <si>
    <t>01719089304</t>
  </si>
  <si>
    <t>01315212391</t>
  </si>
  <si>
    <t>JAKIR PHARMECY</t>
  </si>
  <si>
    <t>01304658700</t>
  </si>
  <si>
    <t>AJHARUL STORE</t>
  </si>
  <si>
    <t>01719777514</t>
  </si>
  <si>
    <t>FAHIM TELECOM</t>
  </si>
  <si>
    <t>01722464655</t>
  </si>
  <si>
    <t>MIM TELECOM</t>
  </si>
  <si>
    <t>01324148830</t>
  </si>
  <si>
    <t>JAKIRUL STORE</t>
  </si>
  <si>
    <t>01730937575</t>
  </si>
  <si>
    <t>AMINUR TELECOM</t>
  </si>
  <si>
    <t>01746525280</t>
  </si>
  <si>
    <t>SIKDER TELECOM</t>
  </si>
  <si>
    <t>01326001384</t>
  </si>
  <si>
    <t>JANNAT COMPUTER AND SERVICE CENTER</t>
  </si>
  <si>
    <t>01761814142</t>
  </si>
  <si>
    <t>M/S MAMINUR TRADERS</t>
  </si>
  <si>
    <t>01841605178</t>
  </si>
  <si>
    <t>MASUMA TELECOM</t>
  </si>
  <si>
    <t>01979031758</t>
  </si>
  <si>
    <t>NUSRAT COMPUTER AND LAIBRERI</t>
  </si>
  <si>
    <t>01799930073</t>
  </si>
  <si>
    <t>HAMIM TELICOM</t>
  </si>
  <si>
    <t>01946556633</t>
  </si>
  <si>
    <t>BABUL STORE</t>
  </si>
  <si>
    <t>01722199117</t>
  </si>
  <si>
    <t>ARMAN PHARMACY</t>
  </si>
  <si>
    <t>01877985402</t>
  </si>
  <si>
    <t>M/S ISLAM AND BROTHERS</t>
  </si>
  <si>
    <t>01786368328</t>
  </si>
  <si>
    <t>MONA TELECOM</t>
  </si>
  <si>
    <t>01789647200</t>
  </si>
  <si>
    <t>M/S JAHANGIR TRADERS</t>
  </si>
  <si>
    <t>01853601449</t>
  </si>
  <si>
    <t>KAJOL STORE</t>
  </si>
  <si>
    <t>01773324929</t>
  </si>
  <si>
    <t>SAMIM TREDARS</t>
  </si>
  <si>
    <t>01308523171</t>
  </si>
  <si>
    <t>PRAPTY ITY POINT</t>
  </si>
  <si>
    <t>01318150722</t>
  </si>
  <si>
    <t>MA COMPUTER</t>
  </si>
  <si>
    <t>01304686867</t>
  </si>
  <si>
    <t>ANIS TELECOM AND FURNITURE</t>
  </si>
  <si>
    <t>01318006265</t>
  </si>
  <si>
    <t>MS MIM STORE</t>
  </si>
  <si>
    <t>01737148662</t>
  </si>
  <si>
    <t>M/S NAFI VERAITES STORE</t>
  </si>
  <si>
    <t>01773473998</t>
  </si>
  <si>
    <t>MISTY MELA</t>
  </si>
  <si>
    <t>01712063271</t>
  </si>
  <si>
    <t>ROHANI TELECOM AND CONFECTIONARY</t>
  </si>
  <si>
    <t>01323451598</t>
  </si>
  <si>
    <t>ALAMIN STORE</t>
  </si>
  <si>
    <t>01781882668</t>
  </si>
  <si>
    <t>SRABON ELECTRONICS</t>
  </si>
  <si>
    <t>01722200665</t>
  </si>
  <si>
    <t>ANOWAR STORE</t>
  </si>
  <si>
    <t>01717191342</t>
  </si>
  <si>
    <t>KUDDUS STORE</t>
  </si>
  <si>
    <t>01328600640</t>
  </si>
  <si>
    <t>REZA ENTERPRISE</t>
  </si>
  <si>
    <t>01765080958</t>
  </si>
  <si>
    <t>MIM VARIETIES STORE</t>
  </si>
  <si>
    <t>01871334348</t>
  </si>
  <si>
    <t>BIVA TELECOM</t>
  </si>
  <si>
    <t>01738237542</t>
  </si>
  <si>
    <t>ZIM TELECOM</t>
  </si>
  <si>
    <t>01722303021</t>
  </si>
  <si>
    <t>01739009100</t>
  </si>
  <si>
    <t>MARUF TELECOM MOSHIAR STORE</t>
  </si>
  <si>
    <t>01750694577</t>
  </si>
  <si>
    <t>MS AL AMIN TRADERS</t>
  </si>
  <si>
    <t>01915746558</t>
  </si>
  <si>
    <t>MS SHIMLA GARMENTS</t>
  </si>
  <si>
    <t>01969208729</t>
  </si>
  <si>
    <t>FLEXI LOAD ER DOKAN</t>
  </si>
  <si>
    <t>01739988508</t>
  </si>
  <si>
    <t>TELECOM NARAYAN TELECOM</t>
  </si>
  <si>
    <t>01303547313</t>
  </si>
  <si>
    <t>SWAPON STORE</t>
  </si>
  <si>
    <t>01740583641</t>
  </si>
  <si>
    <t>MOHONA TRADERS</t>
  </si>
  <si>
    <t>01755316333</t>
  </si>
  <si>
    <t>MOHIN AND MAHIR CONFECTIONARY AND VARIETIES STORE</t>
  </si>
  <si>
    <t>01832267844</t>
  </si>
  <si>
    <t>MS NAZIFA TELECOM</t>
  </si>
  <si>
    <t>01727009396</t>
  </si>
  <si>
    <t>MAISA TELECOM</t>
  </si>
  <si>
    <t>01717206072</t>
  </si>
  <si>
    <t>RAJA TELECOM AND SERVICING CENTER</t>
  </si>
  <si>
    <t>01755444470</t>
  </si>
  <si>
    <t>SHOHAG STORE</t>
  </si>
  <si>
    <t>01784407440</t>
  </si>
  <si>
    <t>TUFAN MALTIMEDIA  AND DIGITAL STUDIO</t>
  </si>
  <si>
    <t>01792225985</t>
  </si>
  <si>
    <t>RIA MONI DIGITAL STUDIO</t>
  </si>
  <si>
    <t>01310150840</t>
  </si>
  <si>
    <t>01954713841</t>
  </si>
  <si>
    <t>MS AHNAF PHARMACY</t>
  </si>
  <si>
    <t>01313234229</t>
  </si>
  <si>
    <t>01317703386</t>
  </si>
  <si>
    <t>BELAL STORE</t>
  </si>
  <si>
    <t>01303412870</t>
  </si>
  <si>
    <t>MAYER DOWA  VAI VAI ENTERPRISE</t>
  </si>
  <si>
    <t>01746591636</t>
  </si>
  <si>
    <t>Islamik Telecom</t>
  </si>
  <si>
    <t>01796761312</t>
  </si>
  <si>
    <t>DUI VAI CLOTH STORE AND TELECOM</t>
  </si>
  <si>
    <t>01737415124</t>
  </si>
  <si>
    <t>VAI VAI ELECTRONICS</t>
  </si>
  <si>
    <t>01793624982</t>
  </si>
  <si>
    <t>BEGUM TELECOM AND COSMETICS</t>
  </si>
  <si>
    <t>01799195883</t>
  </si>
  <si>
    <t>TISTA PHARMACY</t>
  </si>
  <si>
    <t>01310114094</t>
  </si>
  <si>
    <t>NUR MOHAMMAD STORE</t>
  </si>
  <si>
    <t>01770553316</t>
  </si>
  <si>
    <t>01341418448</t>
  </si>
  <si>
    <t>Bhai Bhai Studio and Telecom</t>
  </si>
  <si>
    <t>01788282277</t>
  </si>
  <si>
    <t>M/S Arman Telecom &amp; Electrice</t>
  </si>
  <si>
    <t>01717624989</t>
  </si>
  <si>
    <t>NAZMUL TELECOM</t>
  </si>
  <si>
    <t>01788131206</t>
  </si>
  <si>
    <t>MAISA MIM COSMETICS AND STETIONARY</t>
  </si>
  <si>
    <t>01778241280</t>
  </si>
  <si>
    <t>FABIHA PHARMACY</t>
  </si>
  <si>
    <t>01975234730</t>
  </si>
  <si>
    <t>ROTON BOSTRALOY</t>
  </si>
  <si>
    <t>01609573324</t>
  </si>
  <si>
    <t>RUBEL TELICOM</t>
  </si>
  <si>
    <t>01734560818</t>
  </si>
  <si>
    <t>COMPUTER POINT</t>
  </si>
  <si>
    <t>01335710608</t>
  </si>
  <si>
    <t>ZAYAN TELECOM</t>
  </si>
  <si>
    <t>01404550755</t>
  </si>
  <si>
    <t>01714520867</t>
  </si>
  <si>
    <t>Taleb Store</t>
  </si>
  <si>
    <t>01787922112</t>
  </si>
  <si>
    <t>Mostak Ali Telecom</t>
  </si>
  <si>
    <t>01746402623</t>
  </si>
  <si>
    <t>01341682844</t>
  </si>
  <si>
    <t>maniruz zaman store</t>
  </si>
  <si>
    <t>01743141700</t>
  </si>
  <si>
    <t>JONONI MEDICAL HALL</t>
  </si>
  <si>
    <t>01995191025</t>
  </si>
  <si>
    <t>M/S SHAHIN TRADERS</t>
  </si>
  <si>
    <t>01744917445</t>
  </si>
  <si>
    <t>Jannati Store &amp; Telecom</t>
  </si>
  <si>
    <t>01315151635</t>
  </si>
  <si>
    <t>MAYNUL TELECOM</t>
  </si>
  <si>
    <t>01740213444</t>
  </si>
  <si>
    <t>Jumayel  varieties Store</t>
  </si>
  <si>
    <t>01717448381</t>
  </si>
  <si>
    <t>SEN STORE</t>
  </si>
  <si>
    <t>01706577883</t>
  </si>
  <si>
    <t>NUSRAT TELECOM</t>
  </si>
  <si>
    <t>01345426999</t>
  </si>
  <si>
    <t>MONOWAR STORE</t>
  </si>
  <si>
    <t>01789953189</t>
  </si>
  <si>
    <t>Shahinur Telecom</t>
  </si>
  <si>
    <t>01717083377</t>
  </si>
  <si>
    <t>MS SOMERANDRO NATH KUNDU</t>
  </si>
  <si>
    <t>01321105384</t>
  </si>
  <si>
    <t>SAID HOMEO HALL</t>
  </si>
  <si>
    <t>01300161010</t>
  </si>
  <si>
    <t>RM TELECOM</t>
  </si>
  <si>
    <t>01748656880</t>
  </si>
  <si>
    <t>BAYOZID POSHU CHIKITSHALOY</t>
  </si>
  <si>
    <t>01722909543</t>
  </si>
  <si>
    <t>Aminur Varities Store</t>
  </si>
  <si>
    <t>01796722296</t>
  </si>
  <si>
    <t>Jagobandhu Telecom</t>
  </si>
  <si>
    <t>01305160582</t>
  </si>
  <si>
    <t>M/S. Manik Tradars</t>
  </si>
  <si>
    <t>01740552952</t>
  </si>
  <si>
    <t>Ma Libreri</t>
  </si>
  <si>
    <t>01740801432</t>
  </si>
  <si>
    <t>Nazmul Telecom</t>
  </si>
  <si>
    <t>01798790902</t>
  </si>
  <si>
    <t>Sha Telecom</t>
  </si>
  <si>
    <t>01767187788</t>
  </si>
  <si>
    <t>Jibon Digital Studio &amp; Vedio</t>
  </si>
  <si>
    <t>01770133694</t>
  </si>
  <si>
    <t>Abul Telecom</t>
  </si>
  <si>
    <t>01786206573</t>
  </si>
  <si>
    <t>M/S Vai Vai Varietys Store</t>
  </si>
  <si>
    <t>01319198882</t>
  </si>
  <si>
    <t>Nirob Telecom</t>
  </si>
  <si>
    <t>01762928292</t>
  </si>
  <si>
    <t>ANISHA PHARMACY</t>
  </si>
  <si>
    <t>01333920632</t>
  </si>
  <si>
    <t>Monowarul Telecom</t>
  </si>
  <si>
    <t>01306129363</t>
  </si>
  <si>
    <t>Ms/ Masfi Traders</t>
  </si>
  <si>
    <t>01321011411</t>
  </si>
  <si>
    <t>AFRA TELECOM</t>
  </si>
  <si>
    <t>01738389432</t>
  </si>
  <si>
    <t>Anando Telecom</t>
  </si>
  <si>
    <t>01980224060</t>
  </si>
  <si>
    <t>SHARIFUL STORE</t>
  </si>
  <si>
    <t>01770370035</t>
  </si>
  <si>
    <t>ABIT TELECOM</t>
  </si>
  <si>
    <t>01919030707</t>
  </si>
  <si>
    <t>01761808406</t>
  </si>
  <si>
    <t>Sofiar Varities Store</t>
  </si>
  <si>
    <t>01918512111</t>
  </si>
  <si>
    <t>Raihan Telecom</t>
  </si>
  <si>
    <t>01764500630</t>
  </si>
  <si>
    <t>SHOIKAT MEDICEL STORE</t>
  </si>
  <si>
    <t>01748622566</t>
  </si>
  <si>
    <t>01791317165</t>
  </si>
  <si>
    <t>ATAUR STORE</t>
  </si>
  <si>
    <t>01785827697</t>
  </si>
  <si>
    <t>Onu Pharmacy</t>
  </si>
  <si>
    <t>01717003416</t>
  </si>
  <si>
    <t>Meghmala Telecom</t>
  </si>
  <si>
    <t>01717525040</t>
  </si>
  <si>
    <t>MA ELECTRONICAL AND HARDWARE</t>
  </si>
  <si>
    <t>01304751004</t>
  </si>
  <si>
    <t>Waskuruni Telecom</t>
  </si>
  <si>
    <t>01303064623</t>
  </si>
  <si>
    <t>M/S HI TRADERS</t>
  </si>
  <si>
    <t>01746877961</t>
  </si>
  <si>
    <t>Sawan Telecom</t>
  </si>
  <si>
    <t>01867157519</t>
  </si>
  <si>
    <t>Hamid Telecom</t>
  </si>
  <si>
    <t>01799162336</t>
  </si>
  <si>
    <t>mahubar telecom</t>
  </si>
  <si>
    <t>01788089068</t>
  </si>
  <si>
    <t>SIHAB TELECOM</t>
  </si>
  <si>
    <t>01778950088</t>
  </si>
  <si>
    <t>Jahangir Electrice House</t>
  </si>
  <si>
    <t>01796726134</t>
  </si>
  <si>
    <t>Chowdhury Multimudia</t>
  </si>
  <si>
    <t>01867487789</t>
  </si>
  <si>
    <t>01709120723</t>
  </si>
  <si>
    <t>Masum Telecom</t>
  </si>
  <si>
    <t>01713610658</t>
  </si>
  <si>
    <t>DAS TRADERS</t>
  </si>
  <si>
    <t>01805105940</t>
  </si>
  <si>
    <t>Bhai Bhai Electronic</t>
  </si>
  <si>
    <t>01735471315</t>
  </si>
  <si>
    <t>M/S Sayem Telecom</t>
  </si>
  <si>
    <t>01765966330</t>
  </si>
  <si>
    <t>ASRIFA ENTERPRISE</t>
  </si>
  <si>
    <t>01341508343</t>
  </si>
  <si>
    <t>MOTIN LIBRARY AND PHOTOCOPY</t>
  </si>
  <si>
    <t>01333958247</t>
  </si>
  <si>
    <t>JAMAN TELECOM</t>
  </si>
  <si>
    <t>01877822665</t>
  </si>
  <si>
    <t>MAHIM TELICOM</t>
  </si>
  <si>
    <t>01781822022</t>
  </si>
  <si>
    <t>ROTAN MISTANNO VANDAR</t>
  </si>
  <si>
    <t>01785808858</t>
  </si>
  <si>
    <t>IKHA TELECOM</t>
  </si>
  <si>
    <t>01346263131</t>
  </si>
  <si>
    <t>01788973590</t>
  </si>
  <si>
    <t>RAHAT PHARMACY</t>
  </si>
  <si>
    <t>01774309990</t>
  </si>
  <si>
    <t>NUSAIBA DOT COM</t>
  </si>
  <si>
    <t>01755256022</t>
  </si>
  <si>
    <t>SOFIDUL STORE</t>
  </si>
  <si>
    <t>01323904714</t>
  </si>
  <si>
    <t>JAHIDUL COSMETICS</t>
  </si>
  <si>
    <t>01973050660</t>
  </si>
  <si>
    <t>R S ROCKY TELECOM</t>
  </si>
  <si>
    <t>01735452444</t>
  </si>
  <si>
    <t>ARISHFA SHAFWAN TRADERS</t>
  </si>
  <si>
    <t>01796536929</t>
  </si>
  <si>
    <t>M/S SOTOTA TRADERS</t>
  </si>
  <si>
    <t>01980267889</t>
  </si>
  <si>
    <t>LIMON DIGITAL STUDIO</t>
  </si>
  <si>
    <t>01338408556</t>
  </si>
  <si>
    <t>MIRAZ PHARMACY</t>
  </si>
  <si>
    <t>01953957605</t>
  </si>
  <si>
    <t>LAL MIA VARIETIES STORE</t>
  </si>
  <si>
    <t>01329058149</t>
  </si>
  <si>
    <t>01305092220</t>
  </si>
  <si>
    <t>01779799920</t>
  </si>
  <si>
    <t>M.S.S TELICOM AND VERAITES STORE</t>
  </si>
  <si>
    <t>01794750922</t>
  </si>
  <si>
    <t>ENAN TELICOM</t>
  </si>
  <si>
    <t>01924884442</t>
  </si>
  <si>
    <t>SADHIN STORE</t>
  </si>
  <si>
    <t>01784852531</t>
  </si>
  <si>
    <t>M/S ARMAN VARIETIES STORE</t>
  </si>
  <si>
    <t>01754399586</t>
  </si>
  <si>
    <t>M/S JADU TELECOM</t>
  </si>
  <si>
    <t>01727304216</t>
  </si>
  <si>
    <t>M/S OHAB HARDWAR</t>
  </si>
  <si>
    <t>01324073590</t>
  </si>
  <si>
    <t>SUFOL HOMEO HALL</t>
  </si>
  <si>
    <t>01302810188</t>
  </si>
  <si>
    <t>MAMUNI TRADERS</t>
  </si>
  <si>
    <t>01735757583</t>
  </si>
  <si>
    <t>MIZANUR TELICOM</t>
  </si>
  <si>
    <t>01799924161</t>
  </si>
  <si>
    <t>TAZ PHARMACY</t>
  </si>
  <si>
    <t>01312159701</t>
  </si>
  <si>
    <t>MITHI CONFECTIONERY AND VARIETIES STORE</t>
  </si>
  <si>
    <t>01990166615</t>
  </si>
  <si>
    <t>AINUL PHOTO STUDIO</t>
  </si>
  <si>
    <t>01346277666</t>
  </si>
  <si>
    <t>CHANDAN TELECOM</t>
  </si>
  <si>
    <t>01729304801</t>
  </si>
  <si>
    <t>SIDRATUL MUNTAHA TELECOM</t>
  </si>
  <si>
    <t>01788902135</t>
  </si>
  <si>
    <t>PORIMOL PHARMACY</t>
  </si>
  <si>
    <t>01984284172</t>
  </si>
  <si>
    <t>MANIK PHARMACY</t>
  </si>
  <si>
    <t>01791007447</t>
  </si>
  <si>
    <t>Linnas Telecom</t>
  </si>
  <si>
    <t>01773225250</t>
  </si>
  <si>
    <t>Polashbari Telecom</t>
  </si>
  <si>
    <t>01723969030</t>
  </si>
  <si>
    <t>01713717441</t>
  </si>
  <si>
    <t>MAMA VAGINA TELECOM</t>
  </si>
  <si>
    <t>01718483099</t>
  </si>
  <si>
    <t>M/S MD SAZZAD HOSSAIN SARKER</t>
  </si>
  <si>
    <t>01341664684</t>
  </si>
  <si>
    <t>VAI VAI COMPUTER POINT</t>
  </si>
  <si>
    <t>01925329698</t>
  </si>
  <si>
    <t>FIHA TELECOM</t>
  </si>
  <si>
    <t>01740914037</t>
  </si>
  <si>
    <t>M/S AFIA AKTER ADURI</t>
  </si>
  <si>
    <t>01890004907</t>
  </si>
  <si>
    <t>ABDULLAH MEDICAL HALL</t>
  </si>
  <si>
    <t>01779321871</t>
  </si>
  <si>
    <t>01713993942</t>
  </si>
  <si>
    <t>SANA PHARMACY</t>
  </si>
  <si>
    <t>01765075583</t>
  </si>
  <si>
    <t>NAJMUL TRADERS</t>
  </si>
  <si>
    <t>01752832283</t>
  </si>
  <si>
    <t>MOBASSAR TLEECOM</t>
  </si>
  <si>
    <t>01790431796</t>
  </si>
  <si>
    <t>SAHINUR TRADERS</t>
  </si>
  <si>
    <t>01336135444</t>
  </si>
  <si>
    <t>IMTIYAJ STORE</t>
  </si>
  <si>
    <t>01304319659</t>
  </si>
  <si>
    <t>M/S MA STORE</t>
  </si>
  <si>
    <t>01333956441</t>
  </si>
  <si>
    <t>DHRUBO TELECOM</t>
  </si>
  <si>
    <t>01790763689</t>
  </si>
  <si>
    <t>SOBUJ STORE</t>
  </si>
  <si>
    <t>01717888310</t>
  </si>
  <si>
    <t>M/S Rayhan Bij  Vander</t>
  </si>
  <si>
    <t>01722194768</t>
  </si>
  <si>
    <t>M/S AYAT VARAITIS STORE</t>
  </si>
  <si>
    <t>01331385717</t>
  </si>
  <si>
    <t>SOHAN TELICOM</t>
  </si>
  <si>
    <t>01735966977</t>
  </si>
  <si>
    <t>Karim Telecom</t>
  </si>
  <si>
    <t>01963393080</t>
  </si>
  <si>
    <t>FLEXYLOAD DOKAN</t>
  </si>
  <si>
    <t>01308771806</t>
  </si>
  <si>
    <t>SAMIR TRADERS</t>
  </si>
  <si>
    <t>01714706011</t>
  </si>
  <si>
    <t>M/S AMIN ENTERPRISE</t>
  </si>
  <si>
    <t>01798350301</t>
  </si>
  <si>
    <t>01773954573</t>
  </si>
  <si>
    <t>M/S JOYNAL MEDICINE CORNER</t>
  </si>
  <si>
    <t>01729450348</t>
  </si>
  <si>
    <t>BAKKAR TELECOM</t>
  </si>
  <si>
    <t>01601511165</t>
  </si>
  <si>
    <t>Hridoy Digital Studio</t>
  </si>
  <si>
    <t>01757981929</t>
  </si>
  <si>
    <t>Nadia Telecom</t>
  </si>
  <si>
    <t>01786973900</t>
  </si>
  <si>
    <t>Sonali Electronic</t>
  </si>
  <si>
    <t>01773991166</t>
  </si>
  <si>
    <t>01918897655</t>
  </si>
  <si>
    <t>MA PHARMACY</t>
  </si>
  <si>
    <t>01994638517</t>
  </si>
  <si>
    <t>ROHIM STORE</t>
  </si>
  <si>
    <t>01328995179</t>
  </si>
  <si>
    <t>M/S SERAJUL TRADERS</t>
  </si>
  <si>
    <t>01953389093</t>
  </si>
  <si>
    <t>Sojib Degetal Stodio</t>
  </si>
  <si>
    <t>01944369300</t>
  </si>
  <si>
    <t>M/S VAI VAI VERAITIES STORE</t>
  </si>
  <si>
    <t>01738076257</t>
  </si>
  <si>
    <t>ANOAR TELECOM</t>
  </si>
  <si>
    <t>01318007091</t>
  </si>
  <si>
    <t>SAJU MOBILE  CENTER</t>
  </si>
  <si>
    <t>01783122614</t>
  </si>
  <si>
    <t>JAMAN PHARMACY</t>
  </si>
  <si>
    <t>01737220046</t>
  </si>
  <si>
    <t>M/S Parvej Treading Corporation</t>
  </si>
  <si>
    <t>01724162121</t>
  </si>
  <si>
    <t>Mahamub Hardware</t>
  </si>
  <si>
    <t>01940581425</t>
  </si>
  <si>
    <t>M/S Salma Traders</t>
  </si>
  <si>
    <t>01750434879</t>
  </si>
  <si>
    <t>M/S Rouful Cosmetic</t>
  </si>
  <si>
    <t>01767465508</t>
  </si>
  <si>
    <t>01831815710</t>
  </si>
  <si>
    <t>TUBA ENTERPRISE</t>
  </si>
  <si>
    <t>01721214137</t>
  </si>
  <si>
    <t>Maya Digital Studio.</t>
  </si>
  <si>
    <t>01717016820</t>
  </si>
  <si>
    <t>LAMIA PHARMACY</t>
  </si>
  <si>
    <t>01409937826</t>
  </si>
  <si>
    <t>JEMY CLOTH STORE</t>
  </si>
  <si>
    <t>01942060505</t>
  </si>
  <si>
    <t>Popular Traders</t>
  </si>
  <si>
    <t>01713937793</t>
  </si>
  <si>
    <t>SHEIKH TELECOM O ELECTRONICS</t>
  </si>
  <si>
    <t>01306020071</t>
  </si>
  <si>
    <t>LUTFOR SHAH ENTERPRISE</t>
  </si>
  <si>
    <t>01886726134</t>
  </si>
  <si>
    <t>ATAUR TELECOM AND COSMETICKS</t>
  </si>
  <si>
    <t>01722887039</t>
  </si>
  <si>
    <t>SUJON VERAITES STORE</t>
  </si>
  <si>
    <t>01760601850</t>
  </si>
  <si>
    <t>Ma Farzana Store</t>
  </si>
  <si>
    <t>01760553442</t>
  </si>
  <si>
    <t>LIMON SHA TELECOM</t>
  </si>
  <si>
    <t>01784284609</t>
  </si>
  <si>
    <t>M/S ROWSAN TRADERS</t>
  </si>
  <si>
    <t>01300969878</t>
  </si>
  <si>
    <t>01333874853</t>
  </si>
  <si>
    <t>TIYA TELECOM</t>
  </si>
  <si>
    <t>01767439695</t>
  </si>
  <si>
    <t>M/S ABID PHARMACY</t>
  </si>
  <si>
    <t>01788289668</t>
  </si>
  <si>
    <t>FOZLAR MOBILE SERVICING</t>
  </si>
  <si>
    <t>01701808640</t>
  </si>
  <si>
    <t>MOU TELECOM</t>
  </si>
  <si>
    <t>01793814050</t>
  </si>
  <si>
    <t>M/S ARIFUZZAMAN TELECOM</t>
  </si>
  <si>
    <t>01873700520</t>
  </si>
  <si>
    <t>ARAFAT HARDWARE</t>
  </si>
  <si>
    <t>01781689839</t>
  </si>
  <si>
    <t>SRABON TELECOM</t>
  </si>
  <si>
    <t>01794432445</t>
  </si>
  <si>
    <t>01344733559</t>
  </si>
  <si>
    <t>HABIB ELETRIC AND ELETRONICS</t>
  </si>
  <si>
    <t>01344233088</t>
  </si>
  <si>
    <t>ALOM PHARMACY AND TELECOM</t>
  </si>
  <si>
    <t>01797383615</t>
  </si>
  <si>
    <t>ATIK TELECOM</t>
  </si>
  <si>
    <t>01315394576</t>
  </si>
  <si>
    <t>01734775618</t>
  </si>
  <si>
    <t>SORKAR TELECOM</t>
  </si>
  <si>
    <t>01341414441</t>
  </si>
  <si>
    <t>VAI VAI ENTERPRISE</t>
  </si>
  <si>
    <t>01970995973</t>
  </si>
  <si>
    <t>LAYON TELECOM</t>
  </si>
  <si>
    <t>01306066544</t>
  </si>
  <si>
    <t>CHOICE TEILORS AND SHOE O CLOTH STORE</t>
  </si>
  <si>
    <t>01770892111</t>
  </si>
  <si>
    <t>01827160483</t>
  </si>
  <si>
    <t>M/S SORKER PHARMACY AND TELECOM</t>
  </si>
  <si>
    <t>01300192020</t>
  </si>
  <si>
    <t>M/S RIYAD GARMENTS AND SHOE STORE</t>
  </si>
  <si>
    <t>01987292747</t>
  </si>
  <si>
    <t>RAHAT TELECOM</t>
  </si>
  <si>
    <t>01713979772</t>
  </si>
  <si>
    <t>DIGHA TELECOM AND COMPUTER</t>
  </si>
  <si>
    <t>01346455344</t>
  </si>
  <si>
    <t>TUBA TELECOM AND DIGITAL STUDIO</t>
  </si>
  <si>
    <t>01312672022</t>
  </si>
  <si>
    <t>MEHEDI ELECTRONIC AND MULTIMEDIA</t>
  </si>
  <si>
    <t>01891131713</t>
  </si>
  <si>
    <t>HARUN VARIETIES STORE</t>
  </si>
  <si>
    <t>01768453361</t>
  </si>
  <si>
    <t>HAFIZ TELICOM</t>
  </si>
  <si>
    <t>01813999906</t>
  </si>
  <si>
    <t>01823819055</t>
  </si>
  <si>
    <t>M/S RABBI PHARMACY</t>
  </si>
  <si>
    <t>01346352810</t>
  </si>
  <si>
    <t>LIPON STORE</t>
  </si>
  <si>
    <t>01340919941</t>
  </si>
  <si>
    <t>VAI VAI CONFECTIONARY STORE</t>
  </si>
  <si>
    <t>01748079202</t>
  </si>
  <si>
    <t>M S TRADERS</t>
  </si>
  <si>
    <t>01727389815</t>
  </si>
  <si>
    <t>HAZI TRADERS</t>
  </si>
  <si>
    <t>01727631069</t>
  </si>
  <si>
    <t>RAKIN TELECOM</t>
  </si>
  <si>
    <t>01774461779</t>
  </si>
  <si>
    <t>SARTHOK TELECOM</t>
  </si>
  <si>
    <t>01343099033</t>
  </si>
  <si>
    <t>RASED SAHRIAR TELECOM</t>
  </si>
  <si>
    <t>01315276445</t>
  </si>
  <si>
    <t>M/S SAMIUL TRADERS</t>
  </si>
  <si>
    <t>01789125300</t>
  </si>
  <si>
    <t>SAMI TELECOM</t>
  </si>
  <si>
    <t>01333864150</t>
  </si>
  <si>
    <t>HABIB PHARMACY</t>
  </si>
  <si>
    <t>01341531898</t>
  </si>
  <si>
    <t>KHOBIR TELECOM</t>
  </si>
  <si>
    <t>01784274880</t>
  </si>
  <si>
    <t>RASHIDUL STORE</t>
  </si>
  <si>
    <t>01791044473</t>
  </si>
  <si>
    <t>M. S. AMIN TELECOM</t>
  </si>
  <si>
    <t>01756898777</t>
  </si>
  <si>
    <t>M/S SOMIR STORE</t>
  </si>
  <si>
    <t>01316614784</t>
  </si>
  <si>
    <t>BAPPY TELECOM</t>
  </si>
  <si>
    <t>01306351578</t>
  </si>
  <si>
    <t>ANTOR ENTERPRISE</t>
  </si>
  <si>
    <t>01344233219</t>
  </si>
  <si>
    <t>Vai Vai Saycel Store</t>
  </si>
  <si>
    <t>01717151622</t>
  </si>
  <si>
    <t>SUROVI STORE</t>
  </si>
  <si>
    <t>01737297023</t>
  </si>
  <si>
    <t>ABDUS SALAM TELECOM</t>
  </si>
  <si>
    <t>01341414200</t>
  </si>
  <si>
    <t>M/S ALIM TRADERS</t>
  </si>
  <si>
    <t>01845015924</t>
  </si>
  <si>
    <t>AZAN VARIETIES STORE</t>
  </si>
  <si>
    <t>01788943131</t>
  </si>
  <si>
    <t>MAYER DOA HOTEL AND RESTAURENT</t>
  </si>
  <si>
    <t>01789060380</t>
  </si>
  <si>
    <t>01302826011</t>
  </si>
  <si>
    <t>01793733349</t>
  </si>
  <si>
    <t>MA BABAR DOWA ELECTRONICS</t>
  </si>
  <si>
    <t>01333931780</t>
  </si>
  <si>
    <t>Vai Vai Confectionei</t>
  </si>
  <si>
    <t>01746218250</t>
  </si>
  <si>
    <t>Alo Medicine Corner</t>
  </si>
  <si>
    <t>01783123800</t>
  </si>
  <si>
    <t>M/S MOSTAKIN TELECOM</t>
  </si>
  <si>
    <t>01740989983</t>
  </si>
  <si>
    <t>Mahamud Telecom &amp; Verities Store</t>
  </si>
  <si>
    <t>01773729669</t>
  </si>
  <si>
    <t>Sathi Cosmetice &amp; Telecom</t>
  </si>
  <si>
    <t>01760443510</t>
  </si>
  <si>
    <t>01780678005</t>
  </si>
  <si>
    <t>M/S Faruk Store</t>
  </si>
  <si>
    <t>01710519244</t>
  </si>
  <si>
    <t>RITU RAFI STORE</t>
  </si>
  <si>
    <t>01779012688</t>
  </si>
  <si>
    <t>Foysal Pharmecy</t>
  </si>
  <si>
    <t>01884731124</t>
  </si>
  <si>
    <t>Shohagi Motors  &amp;  Mechineris</t>
  </si>
  <si>
    <t>01738652273</t>
  </si>
  <si>
    <t>MOYNUL STORE</t>
  </si>
  <si>
    <t>01339759478</t>
  </si>
  <si>
    <t>Abdulla Telecom</t>
  </si>
  <si>
    <t>01310179065</t>
  </si>
  <si>
    <t>TUBA MULTIMEDIA</t>
  </si>
  <si>
    <t>01761711107</t>
  </si>
  <si>
    <t>Tulshi Hardward</t>
  </si>
  <si>
    <t>01755468587</t>
  </si>
  <si>
    <t>SOHAG TELECOM</t>
  </si>
  <si>
    <t>01796535325</t>
  </si>
  <si>
    <t>MAHIN TELECOM</t>
  </si>
  <si>
    <t>01738213106</t>
  </si>
  <si>
    <t>SIFAT TELECOM</t>
  </si>
  <si>
    <t>01774075593</t>
  </si>
  <si>
    <t>Nur Amin Traders</t>
  </si>
  <si>
    <t>01719226244</t>
  </si>
  <si>
    <t>Modren Paper House</t>
  </si>
  <si>
    <t>01858304242</t>
  </si>
  <si>
    <t>Uzzal Store</t>
  </si>
  <si>
    <t>01761073912</t>
  </si>
  <si>
    <t>Sahin Telecom &amp; Verities Store</t>
  </si>
  <si>
    <t>01993456420</t>
  </si>
  <si>
    <t>M/S Najim Telecom</t>
  </si>
  <si>
    <t>01783825223</t>
  </si>
  <si>
    <t>TISTA TRADERS</t>
  </si>
  <si>
    <t>01704447444</t>
  </si>
  <si>
    <t>Bismillah Pharmacy</t>
  </si>
  <si>
    <t>01737280028</t>
  </si>
  <si>
    <t>Photo Panel Studio</t>
  </si>
  <si>
    <t>01761105534</t>
  </si>
  <si>
    <t>MA BABAR DOWA STORE</t>
  </si>
  <si>
    <t>01704585652</t>
  </si>
  <si>
    <t>SAJIB TELECOM</t>
  </si>
  <si>
    <t>01336144583</t>
  </si>
  <si>
    <t>UJJAL COMPUTER AND PHOTOCOPY</t>
  </si>
  <si>
    <t>01820559799</t>
  </si>
  <si>
    <t>Minoti Telecom</t>
  </si>
  <si>
    <t>01773205050</t>
  </si>
  <si>
    <t>01984475656</t>
  </si>
  <si>
    <t>Kalipodo Hear</t>
  </si>
  <si>
    <t>01723774746</t>
  </si>
  <si>
    <t>Anzarul store</t>
  </si>
  <si>
    <t>01774607171</t>
  </si>
  <si>
    <t>Bouishak Tea Store</t>
  </si>
  <si>
    <t>01745192300</t>
  </si>
  <si>
    <t>M/S SETU TELECOM</t>
  </si>
  <si>
    <t>01717612746</t>
  </si>
  <si>
    <t>01740078876</t>
  </si>
  <si>
    <t>MOSTAFIZUR STORE</t>
  </si>
  <si>
    <t>01793823425</t>
  </si>
  <si>
    <t>M/S ALIMUL KRISHI GHOR</t>
  </si>
  <si>
    <t>01343219393</t>
  </si>
  <si>
    <t>AD Electronic</t>
  </si>
  <si>
    <t>01714864313</t>
  </si>
  <si>
    <t>Shawon Traders</t>
  </si>
  <si>
    <t>01717973266</t>
  </si>
  <si>
    <t>SHAMIM PHARMACY</t>
  </si>
  <si>
    <t>01786977266</t>
  </si>
  <si>
    <t>Mayear Doya Store</t>
  </si>
  <si>
    <t>01741141933</t>
  </si>
  <si>
    <t>Raju Store</t>
  </si>
  <si>
    <t>01740556640</t>
  </si>
  <si>
    <t>Rabbi Teilars</t>
  </si>
  <si>
    <t>01792754563</t>
  </si>
  <si>
    <t>Mobile Plaza</t>
  </si>
  <si>
    <t>01954340555</t>
  </si>
  <si>
    <t>Roni Store</t>
  </si>
  <si>
    <t>01306107942</t>
  </si>
  <si>
    <t>MANIK MOBILE SERVECING</t>
  </si>
  <si>
    <t>01331978075</t>
  </si>
  <si>
    <t>ADORSHO CHIKITSHALOY</t>
  </si>
  <si>
    <t>01752999449</t>
  </si>
  <si>
    <t>Vai Vai Verities Store</t>
  </si>
  <si>
    <t>01753816636</t>
  </si>
  <si>
    <t>R B TELECOM</t>
  </si>
  <si>
    <t>01341414187</t>
  </si>
  <si>
    <t>MEGHA TELECOM</t>
  </si>
  <si>
    <t>01779997676</t>
  </si>
  <si>
    <t>Uttok Telecom</t>
  </si>
  <si>
    <t>01744355455</t>
  </si>
  <si>
    <t>M/S Siyam Traders</t>
  </si>
  <si>
    <t>01738267866</t>
  </si>
  <si>
    <t>Jominur Store</t>
  </si>
  <si>
    <t>01767489909</t>
  </si>
  <si>
    <t>SARKER TELECOM</t>
  </si>
  <si>
    <t>01711799883</t>
  </si>
  <si>
    <t>J H ARGO TELECOM</t>
  </si>
  <si>
    <t>01848231860</t>
  </si>
  <si>
    <t>SAGOR TELECOM</t>
  </si>
  <si>
    <t>01738252684</t>
  </si>
  <si>
    <t>01717253517</t>
  </si>
  <si>
    <t>Bissmulla krishi ghor</t>
  </si>
  <si>
    <t>01755187409</t>
  </si>
  <si>
    <t>01775360760</t>
  </si>
  <si>
    <t>Imran Traders</t>
  </si>
  <si>
    <t>01947677961</t>
  </si>
  <si>
    <t>Bissmulla Confectionary</t>
  </si>
  <si>
    <t>01750216644</t>
  </si>
  <si>
    <t>Jahinur Store,</t>
  </si>
  <si>
    <t>01970587518</t>
  </si>
  <si>
    <t>Morsalin  Traders,</t>
  </si>
  <si>
    <t>01743982918</t>
  </si>
  <si>
    <t>M S BUSINESS CENTER</t>
  </si>
  <si>
    <t>01602790802</t>
  </si>
  <si>
    <t>Udoy Telecom</t>
  </si>
  <si>
    <t>01671218120</t>
  </si>
  <si>
    <t>Sobuj  Mat</t>
  </si>
  <si>
    <t>01814558055</t>
  </si>
  <si>
    <t>New Hardware &amp; Telecom</t>
  </si>
  <si>
    <t>01760141995</t>
  </si>
  <si>
    <t>Muktijoddha Kosmetice</t>
  </si>
  <si>
    <t>01795440323</t>
  </si>
  <si>
    <t>Tanha Pharmacy</t>
  </si>
  <si>
    <t>01314269247</t>
  </si>
  <si>
    <t>Sinha Telecom</t>
  </si>
  <si>
    <t>01319130061</t>
  </si>
  <si>
    <t>FAHIM ELECTRONICS AND COMPUTER</t>
  </si>
  <si>
    <t>01788688600</t>
  </si>
  <si>
    <t>01754552735</t>
  </si>
  <si>
    <t>Labu Bicycle Store</t>
  </si>
  <si>
    <t>01737725941</t>
  </si>
  <si>
    <t>Robiul  Store</t>
  </si>
  <si>
    <t>01793853305</t>
  </si>
  <si>
    <t>Muddho Electornice</t>
  </si>
  <si>
    <t>01959413684</t>
  </si>
  <si>
    <t>mayer dowa Traders</t>
  </si>
  <si>
    <t>01717646418</t>
  </si>
  <si>
    <t>Bismillah Cosmetice</t>
  </si>
  <si>
    <t>01318077637</t>
  </si>
  <si>
    <t>MAYER DOWA GARMENTS</t>
  </si>
  <si>
    <t>01324148920</t>
  </si>
  <si>
    <t>M/S Abu Sahid Store,</t>
  </si>
  <si>
    <t>01797723375</t>
  </si>
  <si>
    <t>Modhu Varities Store</t>
  </si>
  <si>
    <t>01779185093</t>
  </si>
  <si>
    <t>JUI TELECOM</t>
  </si>
  <si>
    <t>01984814298</t>
  </si>
  <si>
    <t>Shomoly Toylers</t>
  </si>
  <si>
    <t>01751416663</t>
  </si>
  <si>
    <t>NIROB STORE</t>
  </si>
  <si>
    <t>01983759557</t>
  </si>
  <si>
    <t>BILLAH ELECTRONICS</t>
  </si>
  <si>
    <t>01737287486</t>
  </si>
  <si>
    <t>Tapos Telecom</t>
  </si>
  <si>
    <t>01734818914</t>
  </si>
  <si>
    <t>01717253137</t>
  </si>
  <si>
    <t>Safin Telecom</t>
  </si>
  <si>
    <t>01305116610</t>
  </si>
  <si>
    <t>Suchona Store</t>
  </si>
  <si>
    <t>01866631333</t>
  </si>
  <si>
    <t>Asik Telecom</t>
  </si>
  <si>
    <t>01751436856</t>
  </si>
  <si>
    <t>Robiul Telecom-2</t>
  </si>
  <si>
    <t>01819743496</t>
  </si>
  <si>
    <t>Sofiqul Telecom</t>
  </si>
  <si>
    <t>01740918272</t>
  </si>
  <si>
    <t>Samim Computer</t>
  </si>
  <si>
    <t>01780793619</t>
  </si>
  <si>
    <t>Chaiti Confectionery</t>
  </si>
  <si>
    <t>01309483535</t>
  </si>
  <si>
    <t>Niyaj Telecom</t>
  </si>
  <si>
    <t>01716136098</t>
  </si>
  <si>
    <t>MOBILE TELECOM</t>
  </si>
  <si>
    <t>01341530337</t>
  </si>
  <si>
    <t>RIPON TELECOM</t>
  </si>
  <si>
    <t>01773822120</t>
  </si>
  <si>
    <t>Liton Telecom-2</t>
  </si>
  <si>
    <t>01734892326</t>
  </si>
  <si>
    <t>New Multimedia</t>
  </si>
  <si>
    <t>01723521632</t>
  </si>
  <si>
    <t>Bulet Store</t>
  </si>
  <si>
    <t>01788276654</t>
  </si>
  <si>
    <t>desha telecom</t>
  </si>
  <si>
    <t>01740467058</t>
  </si>
  <si>
    <t>M/S ATIKA AND ADNAN COSMETICS</t>
  </si>
  <si>
    <t>01746591572</t>
  </si>
  <si>
    <t>Nur Store,</t>
  </si>
  <si>
    <t>01710870929</t>
  </si>
  <si>
    <t>MA TELECOM MOBILE SERVICING</t>
  </si>
  <si>
    <t>01780895086</t>
  </si>
  <si>
    <t>Sudipto Store</t>
  </si>
  <si>
    <t>01780749512</t>
  </si>
  <si>
    <t>Sagor Traders</t>
  </si>
  <si>
    <t>01719249530</t>
  </si>
  <si>
    <t>M/S Shameem and Brothers</t>
  </si>
  <si>
    <t>01723997207</t>
  </si>
  <si>
    <t>Younus Telecom</t>
  </si>
  <si>
    <t>01774747106</t>
  </si>
  <si>
    <t>NOYON STORE</t>
  </si>
  <si>
    <t>01790880083</t>
  </si>
  <si>
    <t>RUMANA STORE</t>
  </si>
  <si>
    <t>01951010502</t>
  </si>
  <si>
    <t>FARISTA STORE</t>
  </si>
  <si>
    <t>01806889513</t>
  </si>
  <si>
    <t>Ma Verities Store</t>
  </si>
  <si>
    <t>01737573336</t>
  </si>
  <si>
    <t>SHUVO STORE</t>
  </si>
  <si>
    <t>01744430651</t>
  </si>
  <si>
    <t>M/S SAEED HOSSAIN</t>
  </si>
  <si>
    <t>01723039040</t>
  </si>
  <si>
    <t>Masas Mizan Store</t>
  </si>
  <si>
    <t>01796917363</t>
  </si>
  <si>
    <t>Moubon Confectionari</t>
  </si>
  <si>
    <t>01739427910</t>
  </si>
  <si>
    <t>Mashud Telecom</t>
  </si>
  <si>
    <t>01307352000</t>
  </si>
  <si>
    <t>manik telecom</t>
  </si>
  <si>
    <t>01710570505</t>
  </si>
  <si>
    <t>Rubel telecom</t>
  </si>
  <si>
    <t>01817216362</t>
  </si>
  <si>
    <t>Saju Digital Studio</t>
  </si>
  <si>
    <t>01784074111</t>
  </si>
  <si>
    <t>Sumi Telecom</t>
  </si>
  <si>
    <t>01750275050</t>
  </si>
  <si>
    <t>01874795172</t>
  </si>
  <si>
    <t>portasha treders</t>
  </si>
  <si>
    <t>01717366377</t>
  </si>
  <si>
    <t>Samad Store</t>
  </si>
  <si>
    <t>01723360355</t>
  </si>
  <si>
    <t>Halim Store</t>
  </si>
  <si>
    <t>01748820868</t>
  </si>
  <si>
    <t>Bismilla Stroe</t>
  </si>
  <si>
    <t>01704256953</t>
  </si>
  <si>
    <t>Raza Telecom</t>
  </si>
  <si>
    <t>01744946954</t>
  </si>
  <si>
    <t>Misti Telecom</t>
  </si>
  <si>
    <t>01620675800</t>
  </si>
  <si>
    <t>Sumon telecom and Dipart Senter Store</t>
  </si>
  <si>
    <t>01791533113</t>
  </si>
  <si>
    <t>Joinal Telecom</t>
  </si>
  <si>
    <t>01751118074</t>
  </si>
  <si>
    <t>01785798087</t>
  </si>
  <si>
    <t>Shuvo Telecom &amp; Electronic</t>
  </si>
  <si>
    <t>01932553230</t>
  </si>
  <si>
    <t>MASUK AUTO AND MESIMARIZE</t>
  </si>
  <si>
    <t>01335715865</t>
  </si>
  <si>
    <t>01750320518</t>
  </si>
  <si>
    <t>Abdul Hamid Telecom</t>
  </si>
  <si>
    <t>01718911138</t>
  </si>
  <si>
    <t>Badhon Pharmecy</t>
  </si>
  <si>
    <t>01735471261</t>
  </si>
  <si>
    <t>MUHIN TRADERS</t>
  </si>
  <si>
    <t>01309911300</t>
  </si>
  <si>
    <t>BOISHAKHI STORE</t>
  </si>
  <si>
    <t>01790703048</t>
  </si>
  <si>
    <t>Modina Verities Store</t>
  </si>
  <si>
    <t>01719828419</t>
  </si>
  <si>
    <t>MUKTA DIGITAL STUDIO</t>
  </si>
  <si>
    <t>01755140403</t>
  </si>
  <si>
    <t>M/S Astha Pharmacy</t>
  </si>
  <si>
    <t>01918229493</t>
  </si>
  <si>
    <t>Rakib general  Store</t>
  </si>
  <si>
    <t>01704262964</t>
  </si>
  <si>
    <t>M/S SHAHJAMAL TRADERS</t>
  </si>
  <si>
    <t>01332083839</t>
  </si>
  <si>
    <t>New Rabiul Telecom</t>
  </si>
  <si>
    <t>01785207544</t>
  </si>
  <si>
    <t>Anno Rokom Studio</t>
  </si>
  <si>
    <t>01774279435</t>
  </si>
  <si>
    <t>Tarif And Braders</t>
  </si>
  <si>
    <t>01743577474</t>
  </si>
  <si>
    <t>Anondo Telecom</t>
  </si>
  <si>
    <t>01310166659</t>
  </si>
  <si>
    <t>Rohima sar o Kitnashok Store,</t>
  </si>
  <si>
    <t>01740983760</t>
  </si>
  <si>
    <t>Samir Multimedia &amp; Stanory,</t>
  </si>
  <si>
    <t>01572375094</t>
  </si>
  <si>
    <t>Nur Nahar Store</t>
  </si>
  <si>
    <t>01750904000</t>
  </si>
  <si>
    <t>Munna Store</t>
  </si>
  <si>
    <t>01794847070</t>
  </si>
  <si>
    <t>Motaalep Telecom</t>
  </si>
  <si>
    <t>01737376190</t>
  </si>
  <si>
    <t>BHAI BON TELECOM</t>
  </si>
  <si>
    <t>01796537175</t>
  </si>
  <si>
    <t>PAPPU TELECOM</t>
  </si>
  <si>
    <t>01795757423</t>
  </si>
  <si>
    <t>01780353514</t>
  </si>
  <si>
    <t>Hamid Varities Store</t>
  </si>
  <si>
    <t>01303053184</t>
  </si>
  <si>
    <t>HOSSAIN COMPUTER</t>
  </si>
  <si>
    <t>01956343186</t>
  </si>
  <si>
    <t>Sijdha telecom</t>
  </si>
  <si>
    <t>01729373345</t>
  </si>
  <si>
    <t>M/|S Soleman Store</t>
  </si>
  <si>
    <t>01932917265</t>
  </si>
  <si>
    <t>VARIETIES STORE</t>
  </si>
  <si>
    <t>01321404333</t>
  </si>
  <si>
    <t>M/S T R TRADERS</t>
  </si>
  <si>
    <t>01796992422</t>
  </si>
  <si>
    <t>DELOAR STORE</t>
  </si>
  <si>
    <t>01737907569</t>
  </si>
  <si>
    <t>Medecine &amp; Mobile Corner</t>
  </si>
  <si>
    <t>01744604000</t>
  </si>
  <si>
    <t>Bina Cosmetice</t>
  </si>
  <si>
    <t>01318121217</t>
  </si>
  <si>
    <t>RABBI TELECOM</t>
  </si>
  <si>
    <t>01338414124</t>
  </si>
  <si>
    <t>Khokon Traders</t>
  </si>
  <si>
    <t>01727572010</t>
  </si>
  <si>
    <t>Mostak Pharmacy</t>
  </si>
  <si>
    <t>01759175344</t>
  </si>
  <si>
    <t>SHAHRIN TELECOM</t>
  </si>
  <si>
    <t>01744748078</t>
  </si>
  <si>
    <t>MOBILE SERVICING O ELECTRIC</t>
  </si>
  <si>
    <t>01335750022</t>
  </si>
  <si>
    <t>Vai  Vai Telecom</t>
  </si>
  <si>
    <t>01782381183</t>
  </si>
  <si>
    <t>MOJAHID TELECOM</t>
  </si>
  <si>
    <t>01322001235</t>
  </si>
  <si>
    <t>Mukta Enter Prise</t>
  </si>
  <si>
    <t>01795009240</t>
  </si>
  <si>
    <t>RAJU TELECOM</t>
  </si>
  <si>
    <t>01871989414</t>
  </si>
  <si>
    <t>MITUN STORE</t>
  </si>
  <si>
    <t>01810880960</t>
  </si>
  <si>
    <t>AZIMUL TELECOM</t>
  </si>
  <si>
    <t>01781678311</t>
  </si>
  <si>
    <t>Momin Varities Store</t>
  </si>
  <si>
    <t>01780446039</t>
  </si>
  <si>
    <t>Tanjina Varities Store,</t>
  </si>
  <si>
    <t>01785384666</t>
  </si>
  <si>
    <t>Borni Telecom</t>
  </si>
  <si>
    <t>01304658804</t>
  </si>
  <si>
    <t>Friends Telecom</t>
  </si>
  <si>
    <t>01740970771</t>
  </si>
  <si>
    <t>Cornofully Stationary</t>
  </si>
  <si>
    <t>01796080444</t>
  </si>
  <si>
    <t>Vai Vai Cloth Store</t>
  </si>
  <si>
    <t>01774314538</t>
  </si>
  <si>
    <t>Ruhi &amp; Lamaiya Telecom</t>
  </si>
  <si>
    <t>01738213158</t>
  </si>
  <si>
    <t>Ma Pharmechi</t>
  </si>
  <si>
    <t>01707463111</t>
  </si>
  <si>
    <t>Habib Varities Store</t>
  </si>
  <si>
    <t>01727921476</t>
  </si>
  <si>
    <t>Shapla Multimedia</t>
  </si>
  <si>
    <t>01731221077</t>
  </si>
  <si>
    <t>M/S. Sazid Telecom</t>
  </si>
  <si>
    <t>01711880180</t>
  </si>
  <si>
    <t>M/S. Ohidul Store</t>
  </si>
  <si>
    <t>01786730127</t>
  </si>
  <si>
    <t>saju confactionari</t>
  </si>
  <si>
    <t>01776856763</t>
  </si>
  <si>
    <t>Mohesh Varaities Store</t>
  </si>
  <si>
    <t>01834000345</t>
  </si>
  <si>
    <t>Robi Telecom &amp; Digital</t>
  </si>
  <si>
    <t>01821134152</t>
  </si>
  <si>
    <t>JABED TELECOM</t>
  </si>
  <si>
    <t>01850772015</t>
  </si>
  <si>
    <t>HUDA TREDARS</t>
  </si>
  <si>
    <t>01717160484</t>
  </si>
  <si>
    <t>RAKIBUL STORE</t>
  </si>
  <si>
    <t>01734593837</t>
  </si>
  <si>
    <t>01794696986</t>
  </si>
  <si>
    <t>DHANSHIRI PRINTERS</t>
  </si>
  <si>
    <t>01339544164</t>
  </si>
  <si>
    <t>ADIL PHARMACY</t>
  </si>
  <si>
    <t>01704973735</t>
  </si>
  <si>
    <t>MA VARIETIES STORE</t>
  </si>
  <si>
    <t>01791003285</t>
  </si>
  <si>
    <t>M/S MORSALIN TELECOM</t>
  </si>
  <si>
    <t>01333958709</t>
  </si>
  <si>
    <t>Anis Varities store</t>
  </si>
  <si>
    <t>01713711452</t>
  </si>
  <si>
    <t>Lam Liya Tradars</t>
  </si>
  <si>
    <t>01751434514</t>
  </si>
  <si>
    <t>Ripon Mobile Cornar</t>
  </si>
  <si>
    <t>01914515578</t>
  </si>
  <si>
    <t>Lima Confectionary</t>
  </si>
  <si>
    <t>01852048886</t>
  </si>
  <si>
    <t>Rowshon Confectionari</t>
  </si>
  <si>
    <t>01723981935</t>
  </si>
  <si>
    <t>M/S Rokon Tradars</t>
  </si>
  <si>
    <t>01751420154</t>
  </si>
  <si>
    <t>Vai Vai Store</t>
  </si>
  <si>
    <t>01750012300</t>
  </si>
  <si>
    <t>M/S Ruposhi Bangla</t>
  </si>
  <si>
    <t>01937631897</t>
  </si>
  <si>
    <t>Murad Telecom</t>
  </si>
  <si>
    <t>01710544144</t>
  </si>
  <si>
    <t>Babu Store</t>
  </si>
  <si>
    <t>01796080294</t>
  </si>
  <si>
    <t>Happy Telecom</t>
  </si>
  <si>
    <t>01780965555</t>
  </si>
  <si>
    <t>Tarin Telecom</t>
  </si>
  <si>
    <t>01744654919</t>
  </si>
  <si>
    <t>M/S. Habib Tradars</t>
  </si>
  <si>
    <t>01733825242</t>
  </si>
  <si>
    <t>01780595459</t>
  </si>
  <si>
    <t>Saidul Telecom</t>
  </si>
  <si>
    <t>01701933827</t>
  </si>
  <si>
    <t>Kazi Veristice Store</t>
  </si>
  <si>
    <t>01740089253</t>
  </si>
  <si>
    <t>Korim Varities Store</t>
  </si>
  <si>
    <t>01794823497</t>
  </si>
  <si>
    <t>Meraj Store</t>
  </si>
  <si>
    <t>01785214418</t>
  </si>
  <si>
    <t>Sumi Varities Store</t>
  </si>
  <si>
    <t>01713737370</t>
  </si>
  <si>
    <t>Shahin Telecom</t>
  </si>
  <si>
    <t>01710280920</t>
  </si>
  <si>
    <t>01730180061</t>
  </si>
  <si>
    <t>Chowdhury Store</t>
  </si>
  <si>
    <t>01751221881</t>
  </si>
  <si>
    <t>MAHAMUDA BERAITIS STORE</t>
  </si>
  <si>
    <t>01786972787</t>
  </si>
  <si>
    <t>Raja Telecom-1</t>
  </si>
  <si>
    <t>01783076666</t>
  </si>
  <si>
    <t>MA ELECTRIC</t>
  </si>
  <si>
    <t>01767428015</t>
  </si>
  <si>
    <t>01332109681</t>
  </si>
  <si>
    <t>Prapti Pharmecy</t>
  </si>
  <si>
    <t>01780602250</t>
  </si>
  <si>
    <t>Bradas Pharmecy</t>
  </si>
  <si>
    <t>01774314539</t>
  </si>
  <si>
    <t>Monower Telecom</t>
  </si>
  <si>
    <t>01774279438</t>
  </si>
  <si>
    <t>Amzad Variatise Store</t>
  </si>
  <si>
    <t>01735471560</t>
  </si>
  <si>
    <t>Cosmetics &amp; Varieties Store</t>
  </si>
  <si>
    <t>01774493003</t>
  </si>
  <si>
    <t>BONDU MALTIMEDIA AND STUDIO</t>
  </si>
  <si>
    <t>01313239576</t>
  </si>
  <si>
    <t>Saddam Telecom</t>
  </si>
  <si>
    <t>01820506261</t>
  </si>
  <si>
    <t>01723015674</t>
  </si>
  <si>
    <t>M/S Vai Vai Traders</t>
  </si>
  <si>
    <t>01739461936</t>
  </si>
  <si>
    <t>ONJOLI TELECOM</t>
  </si>
  <si>
    <t>01750038401</t>
  </si>
  <si>
    <t>M/S VAI VAI TRADERS</t>
  </si>
  <si>
    <t>01791109491</t>
  </si>
  <si>
    <t>MOYNUL ENTERPRISE</t>
  </si>
  <si>
    <t>01704533587</t>
  </si>
  <si>
    <t>Alam Store</t>
  </si>
  <si>
    <t>01725509295</t>
  </si>
  <si>
    <t>Najmul Dekoretor</t>
  </si>
  <si>
    <t>01312746947</t>
  </si>
  <si>
    <t>NAYEM TELECOM</t>
  </si>
  <si>
    <t>01865387518</t>
  </si>
  <si>
    <t>SUJON TELICOM</t>
  </si>
  <si>
    <t>01328742546</t>
  </si>
  <si>
    <t>PRAMANIK TELECOM</t>
  </si>
  <si>
    <t>01909614415</t>
  </si>
  <si>
    <t>SARKAR TRADERS</t>
  </si>
  <si>
    <t>01345884900</t>
  </si>
  <si>
    <t>M/S JERIN MEDICAL HAL AND MAMUN TELECOM</t>
  </si>
  <si>
    <t>01717948251</t>
  </si>
  <si>
    <t>Korim Telecom</t>
  </si>
  <si>
    <t>01883113935</t>
  </si>
  <si>
    <t>Fatema Store</t>
  </si>
  <si>
    <t>01763126454</t>
  </si>
  <si>
    <t>Rifa Store</t>
  </si>
  <si>
    <t>01971127983</t>
  </si>
  <si>
    <t>SULTAN TELECOM</t>
  </si>
  <si>
    <t>01775466042</t>
  </si>
  <si>
    <t>Sundorbon Telecom</t>
  </si>
  <si>
    <t>01796080487</t>
  </si>
  <si>
    <t>Dreem Electronic</t>
  </si>
  <si>
    <t>01719540525</t>
  </si>
  <si>
    <t>Ma confectionari</t>
  </si>
  <si>
    <t>01717161017</t>
  </si>
  <si>
    <t>Raja Telecom-2</t>
  </si>
  <si>
    <t>01862502020</t>
  </si>
  <si>
    <t>SHOHAG CYCLE STORE</t>
  </si>
  <si>
    <t>01303580038</t>
  </si>
  <si>
    <t>Monowar  Telecom</t>
  </si>
  <si>
    <t>01731319283</t>
  </si>
  <si>
    <t>NAJIM UDDIN TRADERS</t>
  </si>
  <si>
    <t>01772792023</t>
  </si>
  <si>
    <t>Sekhor traders</t>
  </si>
  <si>
    <t>01761148045</t>
  </si>
  <si>
    <t>Mama Vagna Garments</t>
  </si>
  <si>
    <t>01773433901</t>
  </si>
  <si>
    <t>PAYEL STORE</t>
  </si>
  <si>
    <t>01788677355</t>
  </si>
  <si>
    <t>Anik Telecom</t>
  </si>
  <si>
    <t>01715606460</t>
  </si>
  <si>
    <t>M/S FATEMA PHARMECY</t>
  </si>
  <si>
    <t>01306868163</t>
  </si>
  <si>
    <t>Mouri Verities Store</t>
  </si>
  <si>
    <t>01717275555</t>
  </si>
  <si>
    <t>FIHA GENERAL STORE</t>
  </si>
  <si>
    <t>01794761195</t>
  </si>
  <si>
    <t>MILON ELECTRONICS</t>
  </si>
  <si>
    <t>01943175589</t>
  </si>
  <si>
    <t>SAMIYA TELECOM</t>
  </si>
  <si>
    <t>01326080614</t>
  </si>
  <si>
    <t>NIL TELECOM</t>
  </si>
  <si>
    <t>01727023253</t>
  </si>
  <si>
    <t>MIRAJ TRADERS</t>
  </si>
  <si>
    <t>01333931339</t>
  </si>
  <si>
    <t>Mili Telecom</t>
  </si>
  <si>
    <t>01710389000</t>
  </si>
  <si>
    <t>Ashirbad  Telecom</t>
  </si>
  <si>
    <t>01793734821</t>
  </si>
  <si>
    <t>SIJATUN MUNTAHA MUDI STORE</t>
  </si>
  <si>
    <t>01757310569</t>
  </si>
  <si>
    <t>MAHIM TELECOM</t>
  </si>
  <si>
    <t>01318939935</t>
  </si>
  <si>
    <t>KAKON HARDWARE</t>
  </si>
  <si>
    <t>01794252064</t>
  </si>
  <si>
    <t>SONATONI PHARMACY</t>
  </si>
  <si>
    <t>01920478756</t>
  </si>
  <si>
    <t>SUJON STORE</t>
  </si>
  <si>
    <t>01333878190</t>
  </si>
  <si>
    <t>Sahim Varities Store</t>
  </si>
  <si>
    <t>01719194298</t>
  </si>
  <si>
    <t>01797616134</t>
  </si>
  <si>
    <t>ATAUR ALOTH STORE</t>
  </si>
  <si>
    <t>01341530013</t>
  </si>
  <si>
    <t>ALAM PHARMACY</t>
  </si>
  <si>
    <t>01714715891</t>
  </si>
  <si>
    <t>SOHAN VERAITES STORE</t>
  </si>
  <si>
    <t>01328740133</t>
  </si>
  <si>
    <t>PURATON LIBRARY</t>
  </si>
  <si>
    <t>01787989603</t>
  </si>
  <si>
    <t>Rotan ATelecom</t>
  </si>
  <si>
    <t>01794823498</t>
  </si>
  <si>
    <t>Alzim Photo Studio</t>
  </si>
  <si>
    <t>01710667899</t>
  </si>
  <si>
    <t>Ali Pharmacy</t>
  </si>
  <si>
    <t>01738079295</t>
  </si>
  <si>
    <t>SAMIUL FARMECY</t>
  </si>
  <si>
    <t>01815326163</t>
  </si>
  <si>
    <t>Rafi Telecom</t>
  </si>
  <si>
    <t>01737144403</t>
  </si>
  <si>
    <t>Amal Store</t>
  </si>
  <si>
    <t>01906746467</t>
  </si>
  <si>
    <t>ASHIS TELECOM</t>
  </si>
  <si>
    <t>01715737370</t>
  </si>
  <si>
    <t>SHAHINUR TELECOM</t>
  </si>
  <si>
    <t>01713975500</t>
  </si>
  <si>
    <t>SOPON SHOE STORE</t>
  </si>
  <si>
    <t>01717238683</t>
  </si>
  <si>
    <t>SRUTI DIGITAL STUDIO AND TELECOM</t>
  </si>
  <si>
    <t>01776080711</t>
  </si>
  <si>
    <t>BISMILLAH FEED AND MEDICINE CORNER</t>
  </si>
  <si>
    <t>01714538864</t>
  </si>
  <si>
    <t>M/S Jakir Store</t>
  </si>
  <si>
    <t>01999516780</t>
  </si>
  <si>
    <t>SANIA MULTIMEDIA STORE</t>
  </si>
  <si>
    <t>01777535484</t>
  </si>
  <si>
    <t>Sumaiya Telecom</t>
  </si>
  <si>
    <t>01706915607</t>
  </si>
  <si>
    <t>MOSAROF TELECOM</t>
  </si>
  <si>
    <t>01939161044</t>
  </si>
  <si>
    <t>M/S. Mazedul Telecom</t>
  </si>
  <si>
    <t>01710488307</t>
  </si>
  <si>
    <t>M/S SADIQUL TELECOM</t>
  </si>
  <si>
    <t>01751486725</t>
  </si>
  <si>
    <t>REJAUL TRADERS</t>
  </si>
  <si>
    <t>01710472826</t>
  </si>
  <si>
    <t>SANAF LABID TELECOM</t>
  </si>
  <si>
    <t>01946868080</t>
  </si>
  <si>
    <t>SIAM AND SHETU CENTER</t>
  </si>
  <si>
    <t>01718627739</t>
  </si>
  <si>
    <t>Hasi Telecom</t>
  </si>
  <si>
    <t>01783121010</t>
  </si>
  <si>
    <t>01333933500</t>
  </si>
  <si>
    <t>KHORSHED COSMETICS</t>
  </si>
  <si>
    <t>01766314181</t>
  </si>
  <si>
    <t>M/S Rowson Traders</t>
  </si>
  <si>
    <t>01787905233</t>
  </si>
  <si>
    <t>MOJIDA COMPUTER CENTER</t>
  </si>
  <si>
    <t>01308901890</t>
  </si>
  <si>
    <t>Nur Telecom &amp; library</t>
  </si>
  <si>
    <t>01760493304</t>
  </si>
  <si>
    <t>Protiva Telecom</t>
  </si>
  <si>
    <t>01749827972</t>
  </si>
  <si>
    <t>AZIZ STORE</t>
  </si>
  <si>
    <t>01766273396</t>
  </si>
  <si>
    <t>S R ELECTRONICS MART</t>
  </si>
  <si>
    <t>01852151579</t>
  </si>
  <si>
    <t>Abu Bokkor Store</t>
  </si>
  <si>
    <t>01750011916</t>
  </si>
  <si>
    <t>AZMAIN TELECOM</t>
  </si>
  <si>
    <t>01748300882</t>
  </si>
  <si>
    <t>ALVI IT SERVICE AND STUDIO</t>
  </si>
  <si>
    <t>01344733073</t>
  </si>
  <si>
    <t>FORIDUL STORE</t>
  </si>
  <si>
    <t>01822132660</t>
  </si>
  <si>
    <t>Mosharraf Telecom</t>
  </si>
  <si>
    <t>01740403366</t>
  </si>
  <si>
    <t>JUM TELECOM</t>
  </si>
  <si>
    <t>01737152008</t>
  </si>
  <si>
    <t>Dhoni Roy Cosmetics</t>
  </si>
  <si>
    <t>01710311231</t>
  </si>
  <si>
    <t>SOHEL STORE</t>
  </si>
  <si>
    <t>01346284040</t>
  </si>
  <si>
    <t>Shahin Pharmecy</t>
  </si>
  <si>
    <t>01722107270</t>
  </si>
  <si>
    <t>Miko Telecom</t>
  </si>
  <si>
    <t>01918889809</t>
  </si>
  <si>
    <t>JANNATI JAKIYA TELECOM</t>
  </si>
  <si>
    <t>01328742823</t>
  </si>
  <si>
    <t>NASIR STORE</t>
  </si>
  <si>
    <t>01331997631</t>
  </si>
  <si>
    <t>MS ARMAN TELECOM</t>
  </si>
  <si>
    <t>01770033206</t>
  </si>
  <si>
    <t>Sirat Telecom &amp; Multimedia</t>
  </si>
  <si>
    <t>01765027256</t>
  </si>
  <si>
    <t>TITHI PHARMACY</t>
  </si>
  <si>
    <t>01723235477</t>
  </si>
  <si>
    <t>01339821549</t>
  </si>
  <si>
    <t>M/S TANZIR ENTERPRISE</t>
  </si>
  <si>
    <t>01783541192</t>
  </si>
  <si>
    <t>Jiya Store</t>
  </si>
  <si>
    <t>01761139939</t>
  </si>
  <si>
    <t>M/S. Arman Telecom</t>
  </si>
  <si>
    <t>01717114666</t>
  </si>
  <si>
    <t>MITHILA COSMETICS AND VERAITIES STORE</t>
  </si>
  <si>
    <t>01317130444</t>
  </si>
  <si>
    <t>Ma Tradars</t>
  </si>
  <si>
    <t>01721385273</t>
  </si>
  <si>
    <t>Lablu Store</t>
  </si>
  <si>
    <t>01739859379</t>
  </si>
  <si>
    <t>TANG COPY HOUSE</t>
  </si>
  <si>
    <t>01315885156</t>
  </si>
  <si>
    <t>Ayub Telecom</t>
  </si>
  <si>
    <t>01794823460</t>
  </si>
  <si>
    <t>MA COSMETICS</t>
  </si>
  <si>
    <t>01847605252</t>
  </si>
  <si>
    <t>FARHAD STORE</t>
  </si>
  <si>
    <t>01773746492</t>
  </si>
  <si>
    <t>MOBILE GALLERY</t>
  </si>
  <si>
    <t>01314606668</t>
  </si>
  <si>
    <t>MILON THAI ALUMINIUM AND THAI GLASS HOUSE</t>
  </si>
  <si>
    <t>01326001627</t>
  </si>
  <si>
    <t>M/S Sajahan Traders</t>
  </si>
  <si>
    <t>01716473756</t>
  </si>
  <si>
    <t>01788111268</t>
  </si>
  <si>
    <t>ROUSHON TELECOM</t>
  </si>
  <si>
    <t>01721321586</t>
  </si>
  <si>
    <t>MS MILI STORE</t>
  </si>
  <si>
    <t>01846647911</t>
  </si>
  <si>
    <t>Abir Telecom</t>
  </si>
  <si>
    <t>01739857008</t>
  </si>
  <si>
    <t>Jannati Varities &amp; Electrinice</t>
  </si>
  <si>
    <t>01740110129</t>
  </si>
  <si>
    <t>ALIF TRARDERS</t>
  </si>
  <si>
    <t>01341404868</t>
  </si>
  <si>
    <t>SHORIFUL STORE</t>
  </si>
  <si>
    <t>01316676994</t>
  </si>
  <si>
    <t>Sristi Electronic</t>
  </si>
  <si>
    <t>01786658621</t>
  </si>
  <si>
    <t>HAQUE SAHEB TELECOM ELECTRONIC</t>
  </si>
  <si>
    <t>01767388540</t>
  </si>
  <si>
    <t>MID LIFE PHARMACY</t>
  </si>
  <si>
    <t>01739260809</t>
  </si>
  <si>
    <t>Aiyad Telecom</t>
  </si>
  <si>
    <t>01780793676</t>
  </si>
  <si>
    <t>Mijanur Telecom</t>
  </si>
  <si>
    <t>01314270265</t>
  </si>
  <si>
    <t>A B SIDDIK STORE</t>
  </si>
  <si>
    <t>01338408430</t>
  </si>
  <si>
    <t>FARUK STORE AND TELECOM</t>
  </si>
  <si>
    <t>01991750515</t>
  </si>
  <si>
    <t>Rouf Tradars</t>
  </si>
  <si>
    <t>01951010499</t>
  </si>
  <si>
    <t>M/S LOKMAN AGRO</t>
  </si>
  <si>
    <t>01785732350</t>
  </si>
  <si>
    <t>MS NODI TRADERS</t>
  </si>
  <si>
    <t>01764815393</t>
  </si>
  <si>
    <t>MILON TELECOM</t>
  </si>
  <si>
    <t>01941220714</t>
  </si>
  <si>
    <t>MOHONA TELECOM</t>
  </si>
  <si>
    <t>01315212614</t>
  </si>
  <si>
    <t>01341967979</t>
  </si>
  <si>
    <t>01312725656</t>
  </si>
  <si>
    <t>Monob Cosmetics &amp; Varities</t>
  </si>
  <si>
    <t>01710216501</t>
  </si>
  <si>
    <t>MOMINUR CONFECTIONARY</t>
  </si>
  <si>
    <t>01339822733</t>
  </si>
  <si>
    <t>purbo Stonari &amp; mobole cornar</t>
  </si>
  <si>
    <t>01310145020</t>
  </si>
  <si>
    <t>Radhi Varities Store ,</t>
  </si>
  <si>
    <t>01783228311</t>
  </si>
  <si>
    <t>M/S Sabit Store,</t>
  </si>
  <si>
    <t>01757801394</t>
  </si>
  <si>
    <t>01304684238</t>
  </si>
  <si>
    <t>LAJU STORE</t>
  </si>
  <si>
    <t>01791244885</t>
  </si>
  <si>
    <t>Mazedul Verities Store</t>
  </si>
  <si>
    <t>01770310766</t>
  </si>
  <si>
    <t>ABU BOKKOR ELECTRIC</t>
  </si>
  <si>
    <t>01915394357</t>
  </si>
  <si>
    <t>BISMILLAH TREDARS</t>
  </si>
  <si>
    <t>01707879605</t>
  </si>
  <si>
    <t>Alomgir Telecom</t>
  </si>
  <si>
    <t>01738779298</t>
  </si>
  <si>
    <t>M/S NILU TELECOM</t>
  </si>
  <si>
    <t>01339159031</t>
  </si>
  <si>
    <t>MOHSIN PHARMECY</t>
  </si>
  <si>
    <t>01750578383</t>
  </si>
  <si>
    <t>01777023838</t>
  </si>
  <si>
    <t>01717006164</t>
  </si>
  <si>
    <t>Diponkor multimedia</t>
  </si>
  <si>
    <t>01613503716</t>
  </si>
  <si>
    <t>SATOTA VETERINARY</t>
  </si>
  <si>
    <t>01785800888</t>
  </si>
  <si>
    <t>Fami Telecom</t>
  </si>
  <si>
    <t>01736430890</t>
  </si>
  <si>
    <t>GENASKUR LIBRARY</t>
  </si>
  <si>
    <t>01612818960</t>
  </si>
  <si>
    <t>Onika Fashon Su Store</t>
  </si>
  <si>
    <t>01750600324</t>
  </si>
  <si>
    <t>01737700992</t>
  </si>
  <si>
    <t>MONIR PHOTOCOPY AND TELECOM</t>
  </si>
  <si>
    <t>01313616154</t>
  </si>
  <si>
    <t>M/S Ma Pharmecy &amp; Rafi Telecom</t>
  </si>
  <si>
    <t>01713502560</t>
  </si>
  <si>
    <t>YASIN STORE</t>
  </si>
  <si>
    <t>01329060030</t>
  </si>
  <si>
    <t>NAZMA MEDICAL STORE</t>
  </si>
  <si>
    <t>01740989326</t>
  </si>
  <si>
    <t>URMI STORE</t>
  </si>
  <si>
    <t>01827544774</t>
  </si>
  <si>
    <t>M/S Arif Store</t>
  </si>
  <si>
    <t>01761227648</t>
  </si>
  <si>
    <t>SOKOL VAIYER DRIVER HOTEL</t>
  </si>
  <si>
    <t>01346491459</t>
  </si>
  <si>
    <t>RAKIB DECORATOR O MOBILE BANKING</t>
  </si>
  <si>
    <t>01793799188</t>
  </si>
  <si>
    <t>MS AYAT TRADERS</t>
  </si>
  <si>
    <t>01715778873</t>
  </si>
  <si>
    <t>M/S ABDUL KADER TRADERS</t>
  </si>
  <si>
    <t>01344233356</t>
  </si>
  <si>
    <t>Zonab Electronics &amp; Varieties Store</t>
  </si>
  <si>
    <t>01787918500</t>
  </si>
  <si>
    <t>NONDON TELECOM</t>
  </si>
  <si>
    <t>01719057591</t>
  </si>
  <si>
    <t>KOPIL STORE</t>
  </si>
  <si>
    <t>01341614959</t>
  </si>
  <si>
    <t>MAYER DOWA STORE</t>
  </si>
  <si>
    <t>01319130063</t>
  </si>
  <si>
    <t>01716020639</t>
  </si>
  <si>
    <t>M/S SARAH TREDARS</t>
  </si>
  <si>
    <t>01851550444</t>
  </si>
  <si>
    <t>Mintu Electric</t>
  </si>
  <si>
    <t>01723566966</t>
  </si>
  <si>
    <t>IDEAL PHARMACY AND COMPUTER</t>
  </si>
  <si>
    <t>01331932355</t>
  </si>
  <si>
    <t>Alam Telecom</t>
  </si>
  <si>
    <t>01794823500</t>
  </si>
  <si>
    <t>Bahar Store,</t>
  </si>
  <si>
    <t>01758776420</t>
  </si>
  <si>
    <t>VAI VAI TELICOM</t>
  </si>
  <si>
    <t>01998979344</t>
  </si>
  <si>
    <t>Vai Vai Telecom &amp; Electronic</t>
  </si>
  <si>
    <t>01314252434</t>
  </si>
  <si>
    <t>M/S SIFAT TRADERS</t>
  </si>
  <si>
    <t>01319130062</t>
  </si>
  <si>
    <t>Post-E-Centre</t>
  </si>
  <si>
    <t>01772822316</t>
  </si>
  <si>
    <t>CHILAY DIGITAL CENTRE</t>
  </si>
  <si>
    <t>01580345383</t>
  </si>
  <si>
    <t>NAGAD LIMITED</t>
  </si>
  <si>
    <t>01844695985</t>
  </si>
  <si>
    <t>NAGORIK PHARMACY</t>
  </si>
  <si>
    <t>01789065064</t>
  </si>
  <si>
    <t>BISHAL PHARMACY</t>
  </si>
  <si>
    <t>01343581777</t>
  </si>
  <si>
    <t>BIPUL STORE</t>
  </si>
  <si>
    <t>01345757591</t>
  </si>
  <si>
    <t>SAFA TELECOM</t>
  </si>
  <si>
    <t>01333864354</t>
  </si>
  <si>
    <t>M/S BHAI BHAI VARAITIES STORE</t>
  </si>
  <si>
    <t>01739015811</t>
  </si>
  <si>
    <t>SABIT GARMENTS</t>
  </si>
  <si>
    <t>01798789829</t>
  </si>
  <si>
    <t>AKHI ELECTRONICS</t>
  </si>
  <si>
    <t>01345668522</t>
  </si>
  <si>
    <t>RAKHI TELECOM AND VARIETIES STORE</t>
  </si>
  <si>
    <t>01312546150</t>
  </si>
  <si>
    <t>SHAPNO TELECOM</t>
  </si>
  <si>
    <t>01343603147</t>
  </si>
  <si>
    <t>AKBAR ALI CONFECTIONERY AND VARIETIES STORE</t>
  </si>
  <si>
    <t>01307701657</t>
  </si>
  <si>
    <t>M.S ALAMIN TRDERS</t>
  </si>
  <si>
    <t>01330044877</t>
  </si>
  <si>
    <t>M S ANAJ KRISHI GHOR</t>
  </si>
  <si>
    <t>01715531844</t>
  </si>
  <si>
    <t>M/S PUTHI TRADERS</t>
  </si>
  <si>
    <t>01344734392</t>
  </si>
  <si>
    <t>ABEDIN PHARMACY</t>
  </si>
  <si>
    <t>01756340357</t>
  </si>
  <si>
    <t>TAUHID STORE</t>
  </si>
  <si>
    <t>01345955444</t>
  </si>
  <si>
    <t>FATEMA TELECOM</t>
  </si>
  <si>
    <t>01866416111</t>
  </si>
  <si>
    <t>SAMMI STORE</t>
  </si>
  <si>
    <t>01338879655</t>
  </si>
  <si>
    <t>M/S MAYER DOWA AUTO CENTRE</t>
  </si>
  <si>
    <t>01339288702</t>
  </si>
  <si>
    <t>M/S AFIJ TRADERS</t>
  </si>
  <si>
    <t>01779816708</t>
  </si>
  <si>
    <t>ROWSHON STORE</t>
  </si>
  <si>
    <t>01341916701</t>
  </si>
  <si>
    <t>NIL SOPNA TELECOM</t>
  </si>
  <si>
    <t>01346369595</t>
  </si>
  <si>
    <t>BARAKAH TRADERS</t>
  </si>
  <si>
    <t>01982307272</t>
  </si>
  <si>
    <t>JANNAT TELECOM</t>
  </si>
  <si>
    <t>01796793469</t>
  </si>
  <si>
    <t>BITHI ROZA VARIETIES STORE</t>
  </si>
  <si>
    <t>01796399664</t>
  </si>
  <si>
    <t>M/S ARAF STORE</t>
  </si>
  <si>
    <t>01346263780</t>
  </si>
  <si>
    <t>MA VETENARY</t>
  </si>
  <si>
    <t>01345926886</t>
  </si>
  <si>
    <t>M/S SADIA TRADERS</t>
  </si>
  <si>
    <t>01761870682</t>
  </si>
  <si>
    <t>01898671309</t>
  </si>
  <si>
    <t>ABU VARIETIES STORE</t>
  </si>
  <si>
    <t>01737336110</t>
  </si>
  <si>
    <t>SIJON TRADERS</t>
  </si>
  <si>
    <t>01797838898</t>
  </si>
  <si>
    <t>M/S SOIKOT TRADERS</t>
  </si>
  <si>
    <t>01338414122</t>
  </si>
  <si>
    <t>M/S AYAN TRADERS</t>
  </si>
  <si>
    <t>01799759330</t>
  </si>
  <si>
    <t>SUMON COMPUTER TRAINING CENTER</t>
  </si>
  <si>
    <t>01335751417</t>
  </si>
  <si>
    <t>BROTHERS MOTORS</t>
  </si>
  <si>
    <t>01781310731</t>
  </si>
  <si>
    <t>NILSAGOR STORE</t>
  </si>
  <si>
    <t>01741016282</t>
  </si>
  <si>
    <t>01944915300</t>
  </si>
  <si>
    <t>M/S SAKIB TRADERS</t>
  </si>
  <si>
    <t>01301655905</t>
  </si>
  <si>
    <t>PONCHANAN ROY DIGITAL STUDIO</t>
  </si>
  <si>
    <t>01346263106</t>
  </si>
  <si>
    <t>M/S RANA VARIETIES STORE</t>
  </si>
  <si>
    <t>01346370390</t>
  </si>
  <si>
    <t>DHWALLET</t>
  </si>
  <si>
    <t>DHNAME</t>
  </si>
  <si>
    <t>AGENT</t>
  </si>
  <si>
    <t>AGENTNAME</t>
  </si>
  <si>
    <t>CASH_IN</t>
  </si>
  <si>
    <t>CASH_OUT</t>
  </si>
  <si>
    <t>TOTAL_TXN</t>
  </si>
  <si>
    <t>B2BS_CNT</t>
  </si>
  <si>
    <t>B2BR_CNT</t>
  </si>
  <si>
    <t>01324142342</t>
  </si>
  <si>
    <t>M/S. Sourav Traders</t>
  </si>
  <si>
    <t>01314222961</t>
  </si>
  <si>
    <t>M/S TAHOMIDA MEDICINE CORNER</t>
  </si>
  <si>
    <t>01324142344</t>
  </si>
  <si>
    <t>01785405090</t>
  </si>
  <si>
    <t>HOME DIGITAL STUDIO</t>
  </si>
  <si>
    <t>01304612529</t>
  </si>
  <si>
    <t>01956417018</t>
  </si>
  <si>
    <t>MS JANNATUL ROZ PHARMACY</t>
  </si>
  <si>
    <t>01305289771</t>
  </si>
  <si>
    <t>01743583865</t>
  </si>
  <si>
    <t>APURBO HOMEO CHIKITSHALOY O MOBILE BANKING</t>
  </si>
  <si>
    <t>01324142361</t>
  </si>
  <si>
    <t>01774315191</t>
  </si>
  <si>
    <t>SATHI TELECOM</t>
  </si>
  <si>
    <t>01324142357</t>
  </si>
  <si>
    <t>01740040104</t>
  </si>
  <si>
    <t>Ma Traders</t>
  </si>
  <si>
    <t>01795305151</t>
  </si>
  <si>
    <t>HABIBULLAH VARIETIES STORE</t>
  </si>
  <si>
    <t>01314633877</t>
  </si>
  <si>
    <t>BAYOZID TELICOM</t>
  </si>
  <si>
    <t>01324142358</t>
  </si>
  <si>
    <t>01308119080</t>
  </si>
  <si>
    <t>promila telecom</t>
  </si>
  <si>
    <t>01315152955</t>
  </si>
  <si>
    <t>Pori Pharmecy</t>
  </si>
  <si>
    <t>01303629525</t>
  </si>
  <si>
    <t>CHOWDHURY FURNITURE AND HOME DECOR</t>
  </si>
  <si>
    <t>01302215638</t>
  </si>
  <si>
    <t>01316276311</t>
  </si>
  <si>
    <t>01722299976</t>
  </si>
  <si>
    <t>EVA STORE</t>
  </si>
  <si>
    <t>01777211451</t>
  </si>
  <si>
    <t>NEW BORNI TELECOM</t>
  </si>
  <si>
    <t>01762700317</t>
  </si>
  <si>
    <t>Shitol Store</t>
  </si>
  <si>
    <t>01687744384</t>
  </si>
  <si>
    <t>Mahim Telecom</t>
  </si>
  <si>
    <t>01324142360</t>
  </si>
  <si>
    <t>01912564444</t>
  </si>
  <si>
    <t>Ak Seba Digital Studio</t>
  </si>
  <si>
    <t>01324142352</t>
  </si>
  <si>
    <t>01718537309</t>
  </si>
  <si>
    <t>01318986070</t>
  </si>
  <si>
    <t>Sohana Telecom</t>
  </si>
  <si>
    <t>01302344160</t>
  </si>
  <si>
    <t>01709600116</t>
  </si>
  <si>
    <t>M/S Khadija Telecom</t>
  </si>
  <si>
    <t>01716879776</t>
  </si>
  <si>
    <t>Mizan Eletronic</t>
  </si>
  <si>
    <t>01324142355</t>
  </si>
  <si>
    <t>01788804970</t>
  </si>
  <si>
    <t>CYCLE PARTS</t>
  </si>
  <si>
    <t>01930302760</t>
  </si>
  <si>
    <t>MILON MULTIMEDIA AND PHOTOCOPY CENTRE</t>
  </si>
  <si>
    <t>01783122540</t>
  </si>
  <si>
    <t>Fazlul Telecom</t>
  </si>
  <si>
    <t>01874349282</t>
  </si>
  <si>
    <t>01304389928</t>
  </si>
  <si>
    <t>01713208982</t>
  </si>
  <si>
    <t>Jela  Karjaloy Nilphamari</t>
  </si>
  <si>
    <t>01324142346</t>
  </si>
  <si>
    <t>01841793565</t>
  </si>
  <si>
    <t>KAKULI TRADING CORPORATION</t>
  </si>
  <si>
    <t>01324142349</t>
  </si>
  <si>
    <t>01920298682</t>
  </si>
  <si>
    <t>MA TRADERS</t>
  </si>
  <si>
    <t>01304177806</t>
  </si>
  <si>
    <t>01717510984</t>
  </si>
  <si>
    <t>MA-BABA COMPUTER AND TELECOM</t>
  </si>
  <si>
    <t>01951008827</t>
  </si>
  <si>
    <t>Soriful Telecom</t>
  </si>
  <si>
    <t>01728912198</t>
  </si>
  <si>
    <t>MS AMINUR STORE</t>
  </si>
  <si>
    <t>01795871706</t>
  </si>
  <si>
    <t>BROTHRS DIGITAL STUDIO AND PHOTOCOPY</t>
  </si>
  <si>
    <t>01724779946</t>
  </si>
  <si>
    <t>Laxmi Electronice  &amp; Telecom</t>
  </si>
  <si>
    <t>01324142353</t>
  </si>
  <si>
    <t>01707499813</t>
  </si>
  <si>
    <t>Domar Crocarij</t>
  </si>
  <si>
    <t>01324142347</t>
  </si>
  <si>
    <t>01827599920</t>
  </si>
  <si>
    <t>MS MEGHA  TRADERS</t>
  </si>
  <si>
    <t>01302750889</t>
  </si>
  <si>
    <t>01719157667</t>
  </si>
  <si>
    <t>BHAI BHAI CONFECTIONERY</t>
  </si>
  <si>
    <t>01819540541</t>
  </si>
  <si>
    <t>Home Digital Stoduo-2</t>
  </si>
  <si>
    <t>01317129700</t>
  </si>
  <si>
    <t>Sohag Store</t>
  </si>
  <si>
    <t>01343217928</t>
  </si>
  <si>
    <t>RIFAT STORE</t>
  </si>
  <si>
    <t>01920348630</t>
  </si>
  <si>
    <t>SABIHA TRADERS</t>
  </si>
  <si>
    <t>01780058402</t>
  </si>
  <si>
    <t>PROTTOY STORE</t>
  </si>
  <si>
    <t>01304819207</t>
  </si>
  <si>
    <t>01304652703</t>
  </si>
  <si>
    <t>Rofiq Mobile Center</t>
  </si>
  <si>
    <t>01913731437</t>
  </si>
  <si>
    <t>Huda Telecom</t>
  </si>
  <si>
    <t>01716934050</t>
  </si>
  <si>
    <t>APON STORE AND TELECOM</t>
  </si>
  <si>
    <t>01765092977</t>
  </si>
  <si>
    <t>01304170863</t>
  </si>
  <si>
    <t>01318005569</t>
  </si>
  <si>
    <t>MS NS TRADERS</t>
  </si>
  <si>
    <t>01728970133</t>
  </si>
  <si>
    <t>Riya Telecom</t>
  </si>
  <si>
    <t>01331910320</t>
  </si>
  <si>
    <t>BADHON PHARMACY</t>
  </si>
  <si>
    <t>01794823502</t>
  </si>
  <si>
    <t>ma medecle Hol</t>
  </si>
  <si>
    <t>01781033460</t>
  </si>
  <si>
    <t>01324142354</t>
  </si>
  <si>
    <t>01859012851</t>
  </si>
  <si>
    <t>MA BABAR DOA PHARMACY</t>
  </si>
  <si>
    <t>01328736949</t>
  </si>
  <si>
    <t>SURUZZAMAN STORE</t>
  </si>
  <si>
    <t>01793839363</t>
  </si>
  <si>
    <t>Milon Telecom &amp; Studeo</t>
  </si>
  <si>
    <t>01737436891</t>
  </si>
  <si>
    <t>First for  Word Laibery And Steationary</t>
  </si>
  <si>
    <t>01797957138</t>
  </si>
  <si>
    <t>01719140365</t>
  </si>
  <si>
    <t>B, T. I. Telecom</t>
  </si>
  <si>
    <t>01613510179</t>
  </si>
  <si>
    <t>ASIRBAD FARMECY</t>
  </si>
  <si>
    <t>01302117825</t>
  </si>
  <si>
    <t>01786644636</t>
  </si>
  <si>
    <t>Ma Babar Sagor Digital Studio</t>
  </si>
  <si>
    <t>01717251414</t>
  </si>
  <si>
    <t>M/S. Anamul Store</t>
  </si>
  <si>
    <t>01738386652</t>
  </si>
  <si>
    <t>M/S Sobuj Traders</t>
  </si>
  <si>
    <t>01755460033</t>
  </si>
  <si>
    <t>Digital Computer Point</t>
  </si>
  <si>
    <t>01324142356</t>
  </si>
  <si>
    <t>01764744722</t>
  </si>
  <si>
    <t>Fatin Store</t>
  </si>
  <si>
    <t>01824555975</t>
  </si>
  <si>
    <t>BISMILLAH REFRIJARETION AND AIRCONDITION</t>
  </si>
  <si>
    <t>01701568722</t>
  </si>
  <si>
    <t>Vai vai Electrics</t>
  </si>
  <si>
    <t>01710563953</t>
  </si>
  <si>
    <t>Raju Telecom</t>
  </si>
  <si>
    <t>01751570060</t>
  </si>
  <si>
    <t>MONJURUL STORE</t>
  </si>
  <si>
    <t>01324142350</t>
  </si>
  <si>
    <t>01750516418</t>
  </si>
  <si>
    <t>SIDDIKUR VARIETIES STORE</t>
  </si>
  <si>
    <t>01936822292</t>
  </si>
  <si>
    <t>MILON CONFECTIONARY</t>
  </si>
  <si>
    <t>01341405252</t>
  </si>
  <si>
    <t>SHAH TRADERS</t>
  </si>
  <si>
    <t>01301459799</t>
  </si>
  <si>
    <t>01717734010</t>
  </si>
  <si>
    <t>UDC-Upzila Digital Center</t>
  </si>
  <si>
    <t>01778840650</t>
  </si>
  <si>
    <t>01778761696</t>
  </si>
  <si>
    <t>Bablu Telecom</t>
  </si>
  <si>
    <t>01785323576</t>
  </si>
  <si>
    <t>SHOPNA TELECOM</t>
  </si>
  <si>
    <t>01737501030</t>
  </si>
  <si>
    <t>Khadimul Store</t>
  </si>
  <si>
    <t>01875101840</t>
  </si>
  <si>
    <t>DIMLA BATTERY GHAR</t>
  </si>
  <si>
    <t>01744687625</t>
  </si>
  <si>
    <t>M/S Shahanaj Traders</t>
  </si>
  <si>
    <t>01725216290</t>
  </si>
  <si>
    <t>M/S MOMENA ENTERPRISE</t>
  </si>
  <si>
    <t>01844687949</t>
  </si>
  <si>
    <t>ROJINA VARITIES STORE</t>
  </si>
  <si>
    <t>01780733335</t>
  </si>
  <si>
    <t>Ayesha Cosmetics</t>
  </si>
  <si>
    <t>01704388835</t>
  </si>
  <si>
    <t>RODOSHI TELECOM</t>
  </si>
  <si>
    <t>01785881202</t>
  </si>
  <si>
    <t>01407970359</t>
  </si>
  <si>
    <t>ABDUS SATTAR PHARMACY</t>
  </si>
  <si>
    <t>01721788329</t>
  </si>
  <si>
    <t>md Mosharf hoshen</t>
  </si>
  <si>
    <t>01774448173</t>
  </si>
  <si>
    <t>MA VERAITIES STORE</t>
  </si>
  <si>
    <t>01704473274</t>
  </si>
  <si>
    <t>NAHID VARIETIES STORE</t>
  </si>
  <si>
    <t>01324142343</t>
  </si>
  <si>
    <t>01773843311</t>
  </si>
  <si>
    <t>Mahir Electronics &amp; gift Corner</t>
  </si>
  <si>
    <t>01797210160</t>
  </si>
  <si>
    <t>Abu Varities Store</t>
  </si>
  <si>
    <t>01788221531</t>
  </si>
  <si>
    <t>RIPON DIGITAL STUDIO AND VERAITES STORE</t>
  </si>
  <si>
    <t>01324142351</t>
  </si>
  <si>
    <t>01314226373</t>
  </si>
  <si>
    <t>01928145956</t>
  </si>
  <si>
    <t>01797865710</t>
  </si>
  <si>
    <t>Sabed Store</t>
  </si>
  <si>
    <t>01601566060</t>
  </si>
  <si>
    <t>BISMILLAH ENTERPRISE</t>
  </si>
  <si>
    <t>01755256310</t>
  </si>
  <si>
    <t>Mostfa Telecom</t>
  </si>
  <si>
    <t>01731649638</t>
  </si>
  <si>
    <t>M/S Sarthok Traders</t>
  </si>
  <si>
    <t>01315155246</t>
  </si>
  <si>
    <t>01725103094</t>
  </si>
  <si>
    <t>REJAUL STORE</t>
  </si>
  <si>
    <t>01721357795</t>
  </si>
  <si>
    <t>SHAFAYET DECORATOR</t>
  </si>
  <si>
    <t>01798584849</t>
  </si>
  <si>
    <t>Joom Computer</t>
  </si>
  <si>
    <t>01321331386</t>
  </si>
  <si>
    <t>SHAMIM MEDICEL AND VARIETIES STORE</t>
  </si>
  <si>
    <t>01751016561</t>
  </si>
  <si>
    <t>MAOWA GARMENTS</t>
  </si>
  <si>
    <t>01776067679</t>
  </si>
  <si>
    <t>01324142348</t>
  </si>
  <si>
    <t>01891131669</t>
  </si>
  <si>
    <t>01787700021</t>
  </si>
  <si>
    <t>M/S ASAD STORE</t>
  </si>
  <si>
    <t>01818028005</t>
  </si>
  <si>
    <t>Computer  Vubon</t>
  </si>
  <si>
    <t>01714558170</t>
  </si>
  <si>
    <t>AR RAFI LIBRARY AND STATIONARY</t>
  </si>
  <si>
    <t>01701595560</t>
  </si>
  <si>
    <t>Mau Telecom</t>
  </si>
  <si>
    <t>01797065210</t>
  </si>
  <si>
    <t>M/S GULNAHAR ENTERPRISE</t>
  </si>
  <si>
    <t>01787989046</t>
  </si>
  <si>
    <t>HABIB STORE</t>
  </si>
  <si>
    <t>01743897547</t>
  </si>
  <si>
    <t>Rayhan  Traders</t>
  </si>
  <si>
    <t>01794823466</t>
  </si>
  <si>
    <t>01987766357</t>
  </si>
  <si>
    <t>ABRAR AND BROTHERS</t>
  </si>
  <si>
    <t>01853382345</t>
  </si>
  <si>
    <t>01704723877</t>
  </si>
  <si>
    <t>01792904835</t>
  </si>
  <si>
    <t>ISRAFIL TELECOM</t>
  </si>
  <si>
    <t>01811782746</t>
  </si>
  <si>
    <t>Rasid Store</t>
  </si>
  <si>
    <t>01785456626</t>
  </si>
  <si>
    <t>UPDATE ELECTRONICS</t>
  </si>
  <si>
    <t>01783156060</t>
  </si>
  <si>
    <t>Arju Digital  Multimedia &amp; Electronice</t>
  </si>
  <si>
    <t>01750359335</t>
  </si>
  <si>
    <t>Sara Telecom</t>
  </si>
  <si>
    <t>01771555002</t>
  </si>
  <si>
    <t>FARUK TELECOM</t>
  </si>
  <si>
    <t>01793199522</t>
  </si>
  <si>
    <t>MASTER COMPUTER AND DIGITAL SERVICE</t>
  </si>
  <si>
    <t>01723774591</t>
  </si>
  <si>
    <t>Noni Gopal Tailors</t>
  </si>
  <si>
    <t>01750694901</t>
  </si>
  <si>
    <t>Zui Digital Studio</t>
  </si>
  <si>
    <t>01822336368</t>
  </si>
  <si>
    <t>AYAS TELECOM</t>
  </si>
  <si>
    <t>01770630039</t>
  </si>
  <si>
    <t>01759226360</t>
  </si>
  <si>
    <t>Domar Ful House</t>
  </si>
  <si>
    <t>01707617610</t>
  </si>
  <si>
    <t>SHUTKI DOKAN</t>
  </si>
  <si>
    <t>01898208390</t>
  </si>
  <si>
    <t>FAHIM TRADERS</t>
  </si>
  <si>
    <t>01310131582</t>
  </si>
  <si>
    <t>Mithu Telecom</t>
  </si>
  <si>
    <t>01986532416</t>
  </si>
  <si>
    <t>Syeam Pharmacy</t>
  </si>
  <si>
    <t>01320782969</t>
  </si>
  <si>
    <t>MS EMON TRADERS</t>
  </si>
  <si>
    <t>01312409155</t>
  </si>
  <si>
    <t>NOYON STATIONARY</t>
  </si>
  <si>
    <t>01925853450</t>
  </si>
  <si>
    <t>vai vai store</t>
  </si>
  <si>
    <t>01723011535</t>
  </si>
  <si>
    <t>Roni Digital Studio</t>
  </si>
  <si>
    <t>01731793227</t>
  </si>
  <si>
    <t>M/S TAREK STORE</t>
  </si>
  <si>
    <t>01734136735</t>
  </si>
  <si>
    <t>Suvecca varities Store</t>
  </si>
  <si>
    <t>01999517098</t>
  </si>
  <si>
    <t>Nil Pet Shop</t>
  </si>
  <si>
    <t>01333934435</t>
  </si>
  <si>
    <t>MUNTAHA ENTERPRISE</t>
  </si>
  <si>
    <t>01977164069</t>
  </si>
  <si>
    <t>JEWEL PHARMACY</t>
  </si>
  <si>
    <t>01705797354</t>
  </si>
  <si>
    <t>SOTOTA ENTERPRISE</t>
  </si>
  <si>
    <t>01746995999</t>
  </si>
  <si>
    <t>S.M. Selim Telecom</t>
  </si>
  <si>
    <t>01705961886</t>
  </si>
  <si>
    <t>HACHAN STORE</t>
  </si>
  <si>
    <t>01329049092</t>
  </si>
  <si>
    <t>UTSOB VARIETIES STORE</t>
  </si>
  <si>
    <t>01324142359</t>
  </si>
  <si>
    <t>01939161686</t>
  </si>
  <si>
    <t>NAJRUL MEDICAL CORNER</t>
  </si>
  <si>
    <t>01863553119</t>
  </si>
  <si>
    <t>M/S KHADIJA PHARMECY</t>
  </si>
  <si>
    <t>01861401020</t>
  </si>
  <si>
    <t>Raz Telecom</t>
  </si>
  <si>
    <t>01969716976</t>
  </si>
  <si>
    <t>APON TELECOM AND ELECTRONICS</t>
  </si>
  <si>
    <t>01302084598</t>
  </si>
  <si>
    <t>01734933897</t>
  </si>
  <si>
    <t>NIROB DIGITAL STATIONERY</t>
  </si>
  <si>
    <t>01302518706</t>
  </si>
  <si>
    <t>01720501313</t>
  </si>
  <si>
    <t>LITON STORE</t>
  </si>
  <si>
    <t>01749801156</t>
  </si>
  <si>
    <t>ANOWAR MEDICINE CORNER</t>
  </si>
  <si>
    <t>01345757605</t>
  </si>
  <si>
    <t>REFRIZARETION AND AIR CONDITION SERVICE POINT</t>
  </si>
  <si>
    <t>01580301784</t>
  </si>
  <si>
    <t>M/S Limon Telecom</t>
  </si>
  <si>
    <t>01707894695</t>
  </si>
  <si>
    <t>MUGDHO COMPUTER AND VARIETIES STORE</t>
  </si>
  <si>
    <t>01715703197</t>
  </si>
  <si>
    <t>01740060691</t>
  </si>
  <si>
    <t>Monir Telecom</t>
  </si>
  <si>
    <t>01742997249</t>
  </si>
  <si>
    <t>Bahari  Mass &amp; Phakhi Gor,</t>
  </si>
  <si>
    <t>01738088502</t>
  </si>
  <si>
    <t>JAKARIA HOTEL</t>
  </si>
  <si>
    <t>01758381386</t>
  </si>
  <si>
    <t>RIAD VARIETIES STORE</t>
  </si>
  <si>
    <t>01876195083</t>
  </si>
  <si>
    <t>MAMUN DIGITAL STUDIO AND</t>
  </si>
  <si>
    <t>01737968168</t>
  </si>
  <si>
    <t>01757051335</t>
  </si>
  <si>
    <t>SOHID STORE</t>
  </si>
  <si>
    <t>01774244377</t>
  </si>
  <si>
    <t>DIPU MUDI STORE</t>
  </si>
  <si>
    <t>01761291647</t>
  </si>
  <si>
    <t>JAMIL PHARMECY AND TELECOM</t>
  </si>
  <si>
    <t>01613185909</t>
  </si>
  <si>
    <t>FORAT TELECOM</t>
  </si>
  <si>
    <t>01774644177</t>
  </si>
  <si>
    <t>Uttor Bangla Telecom</t>
  </si>
  <si>
    <t>01747476995</t>
  </si>
  <si>
    <t>TANVIR TELECOM AND ELECTRIC</t>
  </si>
  <si>
    <t>01712297894</t>
  </si>
  <si>
    <t>Bhomik Store</t>
  </si>
  <si>
    <t>01873636423</t>
  </si>
  <si>
    <t>AVI HARDWARE</t>
  </si>
  <si>
    <t>01791046875</t>
  </si>
  <si>
    <t>HERO ENTERPRISE</t>
  </si>
  <si>
    <t>01755464550</t>
  </si>
  <si>
    <t>Alomgir  Store</t>
  </si>
  <si>
    <t>01331923666</t>
  </si>
  <si>
    <t>M/S JAKARIYA TELICOM</t>
  </si>
  <si>
    <t>01339464064</t>
  </si>
  <si>
    <t>RIPON REFRIGARETION AND AIR CONDITION</t>
  </si>
  <si>
    <t>01767028379</t>
  </si>
  <si>
    <t>01862691100</t>
  </si>
  <si>
    <t>01713324817</t>
  </si>
  <si>
    <t>BHAI BHAI ENTERPRISE VERITIES STORE</t>
  </si>
  <si>
    <t>01782438936</t>
  </si>
  <si>
    <t>POBITRO PHARMECY</t>
  </si>
  <si>
    <t>01717612255</t>
  </si>
  <si>
    <t>Shahdad Telecom</t>
  </si>
  <si>
    <t>01310082272</t>
  </si>
  <si>
    <t>01608536842</t>
  </si>
  <si>
    <t>SABIHA TELECOM</t>
  </si>
  <si>
    <t>01761227549</t>
  </si>
  <si>
    <t>Shorif Telecom</t>
  </si>
  <si>
    <t>01831388046</t>
  </si>
  <si>
    <t>Redwan Varities Store</t>
  </si>
  <si>
    <t>01745384456</t>
  </si>
  <si>
    <t>Rabeya Meltmedia</t>
  </si>
  <si>
    <t>01332011222</t>
  </si>
  <si>
    <t>M/S RANA TREDARS</t>
  </si>
  <si>
    <t>01720888669</t>
  </si>
  <si>
    <t>MOSTOFA VARIETIES STORE</t>
  </si>
  <si>
    <t>01304726154</t>
  </si>
  <si>
    <t>01977276852</t>
  </si>
  <si>
    <t>RANA STORE</t>
  </si>
  <si>
    <t>01773767690</t>
  </si>
  <si>
    <t>Ashar Alo</t>
  </si>
  <si>
    <t>01333920499</t>
  </si>
  <si>
    <t>HAMIDUL STORE</t>
  </si>
  <si>
    <t>01786904511</t>
  </si>
  <si>
    <t>M/S Aminur Islam</t>
  </si>
  <si>
    <t>01316908830</t>
  </si>
  <si>
    <t>NITU ENTERPRISE</t>
  </si>
  <si>
    <t>01778742058</t>
  </si>
  <si>
    <t>CHOWADA TELICOM</t>
  </si>
  <si>
    <t>01824555562</t>
  </si>
  <si>
    <t>I T C TELECOM</t>
  </si>
  <si>
    <t>01785340113</t>
  </si>
  <si>
    <t>Alim Telecom</t>
  </si>
  <si>
    <t>01738673104</t>
  </si>
  <si>
    <t>Post E Senter,</t>
  </si>
  <si>
    <t>01333955999</t>
  </si>
  <si>
    <t>01983245178</t>
  </si>
  <si>
    <t>Pronto Varaities Store</t>
  </si>
  <si>
    <t>01707605856</t>
  </si>
  <si>
    <t>M/S BISMILLAH HARDWARE AND ELECTRIC</t>
  </si>
  <si>
    <t>01834303419</t>
  </si>
  <si>
    <t>M/S NASIR VERAITES STORE</t>
  </si>
  <si>
    <t>01917231854</t>
  </si>
  <si>
    <t>Haibbar Store</t>
  </si>
  <si>
    <t>01788160946</t>
  </si>
  <si>
    <t>Hossain Telecom</t>
  </si>
  <si>
    <t>01780025103</t>
  </si>
  <si>
    <t>M/S SIFAT TELECOM</t>
  </si>
  <si>
    <t>01726121272</t>
  </si>
  <si>
    <t>LUCKY ELECTRIC HOUSE</t>
  </si>
  <si>
    <t>01751430330</t>
  </si>
  <si>
    <t>MA BICHITRA GARENTS</t>
  </si>
  <si>
    <t>01324124244</t>
  </si>
  <si>
    <t>AMJAD TELICOM</t>
  </si>
  <si>
    <t>01796761296</t>
  </si>
  <si>
    <t>Misti Store</t>
  </si>
  <si>
    <t>01850238899</t>
  </si>
  <si>
    <t>MONI TELECOM</t>
  </si>
  <si>
    <t>01763299888</t>
  </si>
  <si>
    <t>Nishi  Medicine Korner,</t>
  </si>
  <si>
    <t>01602929288</t>
  </si>
  <si>
    <t>RANA TELECOM</t>
  </si>
  <si>
    <t>01723753057</t>
  </si>
  <si>
    <t>SHANTA CONFECTIONARY</t>
  </si>
  <si>
    <t>01880829737</t>
  </si>
  <si>
    <t>RIYAD PHARMACY</t>
  </si>
  <si>
    <t>01886001882</t>
  </si>
  <si>
    <t>Tarif Telecom</t>
  </si>
  <si>
    <t>01737390165</t>
  </si>
  <si>
    <t>TITHI STORE</t>
  </si>
  <si>
    <t>01734818895</t>
  </si>
  <si>
    <t>Mun Varities Store</t>
  </si>
  <si>
    <t>01906826283</t>
  </si>
  <si>
    <t>Amina Pharmecy</t>
  </si>
  <si>
    <t>01707880985</t>
  </si>
  <si>
    <t>M/S SORIF TELECOM</t>
  </si>
  <si>
    <t>01751199899</t>
  </si>
  <si>
    <t>Mahin Telecom</t>
  </si>
  <si>
    <t>01738583818</t>
  </si>
  <si>
    <t>Sobuj Telecom</t>
  </si>
  <si>
    <t>01329031720</t>
  </si>
  <si>
    <t>HABIBUR R</t>
  </si>
  <si>
    <t>01857126688</t>
  </si>
  <si>
    <t>Maskat Media</t>
  </si>
  <si>
    <t>01719114334</t>
  </si>
  <si>
    <t>RANGDHONU PRINTERS</t>
  </si>
  <si>
    <t>01834158434</t>
  </si>
  <si>
    <t>AZMAIN PHARMECY AND HECHARI</t>
  </si>
  <si>
    <t>01711051886</t>
  </si>
  <si>
    <t>ELECTRONICS</t>
  </si>
  <si>
    <t>01737968291</t>
  </si>
  <si>
    <t>JONO KOLYAN</t>
  </si>
  <si>
    <t>01315213991</t>
  </si>
  <si>
    <t>M/S Yasmin</t>
  </si>
  <si>
    <t>01306661065</t>
  </si>
  <si>
    <t>BARAKAH VERAITIES STORE</t>
  </si>
  <si>
    <t>01533393877</t>
  </si>
  <si>
    <t>Rabbi Store</t>
  </si>
  <si>
    <t>01335710199</t>
  </si>
  <si>
    <t>SHIFAT CONFECTIONARY</t>
  </si>
  <si>
    <t>01765963800</t>
  </si>
  <si>
    <t>Babar Dowa Telecom</t>
  </si>
  <si>
    <t>01737296255</t>
  </si>
  <si>
    <t>HRIDOY IT CENTER</t>
  </si>
  <si>
    <t>01650277950</t>
  </si>
  <si>
    <t>RAKIB STORE</t>
  </si>
  <si>
    <t>01795563903</t>
  </si>
  <si>
    <t>KIBRIA AGROVET</t>
  </si>
  <si>
    <t>01307336863</t>
  </si>
  <si>
    <t>HUCHEN STORE</t>
  </si>
  <si>
    <t>01955018725</t>
  </si>
  <si>
    <t>Belal Telecom</t>
  </si>
  <si>
    <t>01810907373</t>
  </si>
  <si>
    <t>01768929374</t>
  </si>
  <si>
    <t>MA STORE</t>
  </si>
  <si>
    <t>01773317795</t>
  </si>
  <si>
    <t>MOHIKUL STORE</t>
  </si>
  <si>
    <t>01776809395</t>
  </si>
  <si>
    <t>MAYER DOWA COSMETICS</t>
  </si>
  <si>
    <t>01794966900</t>
  </si>
  <si>
    <t>AINUL TELECOM</t>
  </si>
  <si>
    <t>01790910348</t>
  </si>
  <si>
    <t>Tayej  enter Prize</t>
  </si>
  <si>
    <t>01713720662</t>
  </si>
  <si>
    <t>Tumpa Store</t>
  </si>
  <si>
    <t>01792225786</t>
  </si>
  <si>
    <t>Boishakhi Telecom</t>
  </si>
  <si>
    <t>01990162750</t>
  </si>
  <si>
    <t>BHAI BHAI SELUN</t>
  </si>
  <si>
    <t>01755222533</t>
  </si>
  <si>
    <t>BISHWA NATH TELECOM</t>
  </si>
  <si>
    <t>01729294672</t>
  </si>
  <si>
    <t>ANARUL VARIETIES</t>
  </si>
  <si>
    <t>01972184801</t>
  </si>
  <si>
    <t>HABIBA STORE</t>
  </si>
  <si>
    <t>01757435205</t>
  </si>
  <si>
    <t>MUAJ VARIETIES STORE</t>
  </si>
  <si>
    <t>01762882706</t>
  </si>
  <si>
    <t>BORSHON CROCKERIES</t>
  </si>
  <si>
    <t>01601258035</t>
  </si>
  <si>
    <t>M/S MIZAN TRADERS</t>
  </si>
  <si>
    <t>01919198919</t>
  </si>
  <si>
    <t>M/S Mobile Corner</t>
  </si>
  <si>
    <t>01733494947</t>
  </si>
  <si>
    <t>SHIRIN STORE</t>
  </si>
  <si>
    <t>01710505365</t>
  </si>
  <si>
    <t>Aynal telecom,</t>
  </si>
  <si>
    <t>01796991531</t>
  </si>
  <si>
    <t>Resmi Cosmetic</t>
  </si>
  <si>
    <t>01707404893</t>
  </si>
  <si>
    <t>BAYEJID VARIETIES STORE</t>
  </si>
  <si>
    <t>01719451432</t>
  </si>
  <si>
    <t>Mostafizur Verities Store</t>
  </si>
  <si>
    <t>01322754770</t>
  </si>
  <si>
    <t>Abinash Bostoraliy &amp; Telecom</t>
  </si>
  <si>
    <t>01713723841</t>
  </si>
  <si>
    <t>01785533458</t>
  </si>
  <si>
    <t>KRISHNO TELECOM</t>
  </si>
  <si>
    <t>01789100032</t>
  </si>
  <si>
    <t>KADER CLOTH AND TELECOM CENTER</t>
  </si>
  <si>
    <t>01726402968</t>
  </si>
  <si>
    <t>01701083983</t>
  </si>
  <si>
    <t>SONALI LIFE INSURANCE CO. LTD.</t>
  </si>
  <si>
    <t>01740226930</t>
  </si>
  <si>
    <t>01740463666</t>
  </si>
  <si>
    <t>Chlar Shati Shooe Store</t>
  </si>
  <si>
    <t>01819977300</t>
  </si>
  <si>
    <t>Uttora Digital Studio</t>
  </si>
  <si>
    <t>01408138761</t>
  </si>
  <si>
    <t>SHADIN FASHION</t>
  </si>
  <si>
    <t>01309488800</t>
  </si>
  <si>
    <t>Kamal Telecom</t>
  </si>
  <si>
    <t>01316150183</t>
  </si>
  <si>
    <t>NAHID TRADERS</t>
  </si>
  <si>
    <t>01764762486</t>
  </si>
  <si>
    <t>BANDHU TELECOM AND ELECTRONICS</t>
  </si>
  <si>
    <t>01793694901</t>
  </si>
  <si>
    <t>01738099835</t>
  </si>
  <si>
    <t>M/S Megha Telecom</t>
  </si>
  <si>
    <t>01743810041</t>
  </si>
  <si>
    <t>M/S Ahoshan Telecom</t>
  </si>
  <si>
    <t>01734055134</t>
  </si>
  <si>
    <t>A.M.K Telecom</t>
  </si>
  <si>
    <t>01723343229</t>
  </si>
  <si>
    <t>PRDIP TALECOM</t>
  </si>
  <si>
    <t>01737158889</t>
  </si>
  <si>
    <t>Raj Telecom</t>
  </si>
  <si>
    <t>01761616108</t>
  </si>
  <si>
    <t>M/s. Haque Telecom</t>
  </si>
  <si>
    <t>01327208526</t>
  </si>
  <si>
    <t>SOYAN MEDICINE CORNER</t>
  </si>
  <si>
    <t>01879022236</t>
  </si>
  <si>
    <t>M/S Sonamoni Traders</t>
  </si>
  <si>
    <t>01931004938</t>
  </si>
  <si>
    <t>MS  PRIYANKA TRADERS</t>
  </si>
  <si>
    <t>01307309040</t>
  </si>
  <si>
    <t>RAKIB MEDICINE CORNER</t>
  </si>
  <si>
    <t>01787921010</t>
  </si>
  <si>
    <t>Sarkar Telecom</t>
  </si>
  <si>
    <t>01612039017</t>
  </si>
  <si>
    <t>RAU TELECOM</t>
  </si>
  <si>
    <t>01713717420</t>
  </si>
  <si>
    <t>Saju Mobile Center</t>
  </si>
  <si>
    <t>01566043305</t>
  </si>
  <si>
    <t>RONGDHONU STUDIO</t>
  </si>
  <si>
    <t>01750220929</t>
  </si>
  <si>
    <t>RUHITO ENTER PRIZE</t>
  </si>
  <si>
    <t>01785339950</t>
  </si>
  <si>
    <t>Ashiq Telecom</t>
  </si>
  <si>
    <t>01989747645</t>
  </si>
  <si>
    <t>M/S SHA  STORE</t>
  </si>
  <si>
    <t>01318180580</t>
  </si>
  <si>
    <t>MOYEN AUTO</t>
  </si>
  <si>
    <t>01770852521</t>
  </si>
  <si>
    <t>ZAMAN MADICINE CORNER</t>
  </si>
  <si>
    <t>01780991403</t>
  </si>
  <si>
    <t>Mithu Store</t>
  </si>
  <si>
    <t>01736662843</t>
  </si>
  <si>
    <t>Fadagdohg Store</t>
  </si>
  <si>
    <t>01720070888</t>
  </si>
  <si>
    <t>ASHA VARIETIES</t>
  </si>
  <si>
    <t>01304634062</t>
  </si>
  <si>
    <t>01774435496</t>
  </si>
  <si>
    <t>NOJU STORE</t>
  </si>
  <si>
    <t>01965985521</t>
  </si>
  <si>
    <t>NURANI DIGITAL STUDIO</t>
  </si>
  <si>
    <t>01771100215</t>
  </si>
  <si>
    <t>Tofazzal Store</t>
  </si>
  <si>
    <t>01787982355</t>
  </si>
  <si>
    <t>Mahamuda Boi Bithan</t>
  </si>
  <si>
    <t>01318191902</t>
  </si>
  <si>
    <t>RAYTA PHOTOCOPY AND COMPUTER</t>
  </si>
  <si>
    <t>01798387835</t>
  </si>
  <si>
    <t>SABIA SULTANA TELECOM</t>
  </si>
  <si>
    <t>01303931034</t>
  </si>
  <si>
    <t>MOJIDUL TELICOM</t>
  </si>
  <si>
    <t>01581655758</t>
  </si>
  <si>
    <t>M/S M. R ENTERPRISE</t>
  </si>
  <si>
    <t>01331975161</t>
  </si>
  <si>
    <t>NEW COLLECTION OTO MOBILE</t>
  </si>
  <si>
    <t>01301546423</t>
  </si>
  <si>
    <t>SOJIB FASHION AND COSMETICS</t>
  </si>
  <si>
    <t>01785268194</t>
  </si>
  <si>
    <t>District Post Office-(Post -E-Center)</t>
  </si>
  <si>
    <t>01998946536</t>
  </si>
  <si>
    <t>Selim Varities Store</t>
  </si>
  <si>
    <t>01716103922</t>
  </si>
  <si>
    <t>SOFIQUL COMPUTER CENTER</t>
  </si>
  <si>
    <t>01701377551</t>
  </si>
  <si>
    <t>MS UPON TRADERS</t>
  </si>
  <si>
    <t>01722194108</t>
  </si>
  <si>
    <t>TAHMID TELECOM</t>
  </si>
  <si>
    <t>01717456005</t>
  </si>
  <si>
    <t>01770713217</t>
  </si>
  <si>
    <t>01914586287</t>
  </si>
  <si>
    <t>RAZZAK SUPER SHOP</t>
  </si>
  <si>
    <t>01717530611</t>
  </si>
  <si>
    <t>M/S ARSHAD ALI</t>
  </si>
  <si>
    <t>01700907937</t>
  </si>
  <si>
    <t>M/S A.R.S. Tarders</t>
  </si>
  <si>
    <t>01401628651</t>
  </si>
  <si>
    <t>MS SHAFIQUL AND BROTHERS</t>
  </si>
  <si>
    <t>01750602001</t>
  </si>
  <si>
    <t>JIARUL TELECOM</t>
  </si>
  <si>
    <t>01748883000</t>
  </si>
  <si>
    <t>M/S SORIFUL STORE</t>
  </si>
  <si>
    <t>01313876687</t>
  </si>
  <si>
    <t>MAHI STORE</t>
  </si>
  <si>
    <t>01761663801</t>
  </si>
  <si>
    <t>M I Traders</t>
  </si>
  <si>
    <t>01328704411</t>
  </si>
  <si>
    <t>SHABU TELICOM</t>
  </si>
  <si>
    <t>01967363836</t>
  </si>
  <si>
    <t>SAHIN TELECOM</t>
  </si>
  <si>
    <t>01978668263</t>
  </si>
  <si>
    <t>01310151877</t>
  </si>
  <si>
    <t>01737494116</t>
  </si>
  <si>
    <t>usha library</t>
  </si>
  <si>
    <t>01302243258</t>
  </si>
  <si>
    <t>01740207736</t>
  </si>
  <si>
    <t>Nur Mohammad Store</t>
  </si>
  <si>
    <t>01974278762</t>
  </si>
  <si>
    <t>M/S ALINUR STORE</t>
  </si>
  <si>
    <t>01720959300</t>
  </si>
  <si>
    <t>RH TRADERS</t>
  </si>
  <si>
    <t>01306170871</t>
  </si>
  <si>
    <t>Bhai Bhai Telecom</t>
  </si>
  <si>
    <t>01700813578</t>
  </si>
  <si>
    <t>FAIJUL TELECOM</t>
  </si>
  <si>
    <t>01736366942</t>
  </si>
  <si>
    <t>Zobaidul Telecom</t>
  </si>
  <si>
    <t>01945766699</t>
  </si>
  <si>
    <t>M/S Emran Traders</t>
  </si>
  <si>
    <t>01782904155</t>
  </si>
  <si>
    <t>Labib Telecom</t>
  </si>
  <si>
    <t>01730504747</t>
  </si>
  <si>
    <t>SHAH TELECOM</t>
  </si>
  <si>
    <t>01331905922</t>
  </si>
  <si>
    <t>VAI VAI PAN STORE</t>
  </si>
  <si>
    <t>01718456848</t>
  </si>
  <si>
    <t>RAWJA ENTERPRISE</t>
  </si>
  <si>
    <t>01786730126</t>
  </si>
  <si>
    <t>Shah International</t>
  </si>
  <si>
    <t>01314476067</t>
  </si>
  <si>
    <t>RAFI COSMETICS AND VARIETES STORE</t>
  </si>
  <si>
    <t>01775401289</t>
  </si>
  <si>
    <t>Rejaul karim store</t>
  </si>
  <si>
    <t>01921022317</t>
  </si>
  <si>
    <t>NAFIYA AUTOS</t>
  </si>
  <si>
    <t>01722779814</t>
  </si>
  <si>
    <t>MAISHA TELECOM</t>
  </si>
  <si>
    <t>01720075329</t>
  </si>
  <si>
    <t>Ram Store</t>
  </si>
  <si>
    <t>01774436282</t>
  </si>
  <si>
    <t>SHUVO VARIETIES STORE</t>
  </si>
  <si>
    <t>01322709867</t>
  </si>
  <si>
    <t>01791131058</t>
  </si>
  <si>
    <t>TAOWHID VARIETIES</t>
  </si>
  <si>
    <t>01633749933</t>
  </si>
  <si>
    <t>ENAM COMPUTER CORNER</t>
  </si>
  <si>
    <t>01774075914</t>
  </si>
  <si>
    <t>Oadat Telecom</t>
  </si>
  <si>
    <t>01610837425</t>
  </si>
  <si>
    <t>Mahamuda Telecom &amp; Varities Store,</t>
  </si>
  <si>
    <t>01630813468</t>
  </si>
  <si>
    <t>Sajid Electric &amp; Electronic</t>
  </si>
  <si>
    <t>01751368428</t>
  </si>
  <si>
    <t>JOY COMPUTER</t>
  </si>
  <si>
    <t>01955929397</t>
  </si>
  <si>
    <t>AMINUR TRADERS</t>
  </si>
  <si>
    <t>01774470242</t>
  </si>
  <si>
    <t>Vai Vai Enter Prize,</t>
  </si>
  <si>
    <t>01734931866</t>
  </si>
  <si>
    <t>MOBILE ZONE</t>
  </si>
  <si>
    <t>01737530825</t>
  </si>
  <si>
    <t>Rosnath Store</t>
  </si>
  <si>
    <t>01300105595</t>
  </si>
  <si>
    <t>Hossain Store</t>
  </si>
  <si>
    <t>01743072599</t>
  </si>
  <si>
    <t>MS BADHON TRADERS</t>
  </si>
  <si>
    <t>01767521941</t>
  </si>
  <si>
    <t>Sabbir Telecom</t>
  </si>
  <si>
    <t>01998198158</t>
  </si>
  <si>
    <t>MEHJJABIN TELECOM</t>
  </si>
  <si>
    <t>01721610929</t>
  </si>
  <si>
    <t>SHARIFUL PHARMACY</t>
  </si>
  <si>
    <t>01744477314</t>
  </si>
  <si>
    <t>Habiba Telecom</t>
  </si>
  <si>
    <t>01314270583</t>
  </si>
  <si>
    <t>Monisha  Confectionery</t>
  </si>
  <si>
    <t>01784381715</t>
  </si>
  <si>
    <t>Musa Confectionery</t>
  </si>
  <si>
    <t>01714947189</t>
  </si>
  <si>
    <t>M/s. Rashed Phamecy</t>
  </si>
  <si>
    <t>01783122531</t>
  </si>
  <si>
    <t>Sarzahan Mudi Store,</t>
  </si>
  <si>
    <t>01311058698</t>
  </si>
  <si>
    <t>SHABOJ VARIETIES STORE</t>
  </si>
  <si>
    <t>01710414004</t>
  </si>
  <si>
    <t>Ma Digital Studio</t>
  </si>
  <si>
    <t>01766635400</t>
  </si>
  <si>
    <t>ANISUR TELECOM</t>
  </si>
  <si>
    <t>01971320291</t>
  </si>
  <si>
    <t>LIMON TELECOM</t>
  </si>
  <si>
    <t>01723141557</t>
  </si>
  <si>
    <t>Diganto Cosmetice</t>
  </si>
  <si>
    <t>01742844475</t>
  </si>
  <si>
    <t>AYESHA AND JARIN FURNITURE</t>
  </si>
  <si>
    <t>01704343727</t>
  </si>
  <si>
    <t>01713324668</t>
  </si>
  <si>
    <t>Electric and stationery</t>
  </si>
  <si>
    <t>01796007369</t>
  </si>
  <si>
    <t>Mamun Store</t>
  </si>
  <si>
    <t>01722000499</t>
  </si>
  <si>
    <t>SWEET TELECOM</t>
  </si>
  <si>
    <t>01799024004</t>
  </si>
  <si>
    <t>MONJUR VARIETIES STORE</t>
  </si>
  <si>
    <t>01328614424</t>
  </si>
  <si>
    <t>JAYAN ONLINE SERVICE CENTER</t>
  </si>
  <si>
    <t>01851770247</t>
  </si>
  <si>
    <t>Nondoni Varities Store</t>
  </si>
  <si>
    <t>01333584085</t>
  </si>
  <si>
    <t>BORHAN TELECOM</t>
  </si>
  <si>
    <t>01762894969</t>
  </si>
  <si>
    <t>MD. IDRIS STORE</t>
  </si>
  <si>
    <t>01318941010</t>
  </si>
  <si>
    <t>Syful telecom</t>
  </si>
  <si>
    <t>01314217051</t>
  </si>
  <si>
    <t>Razzak Cosmetice</t>
  </si>
  <si>
    <t>01326080220</t>
  </si>
  <si>
    <t>ADIL TELECOM AND COMPUTER</t>
  </si>
  <si>
    <t>01774080262</t>
  </si>
  <si>
    <t>RAYHAN TELECOM AND STUDIO</t>
  </si>
  <si>
    <t>01314223275</t>
  </si>
  <si>
    <t>Mayer Dowa Telecom</t>
  </si>
  <si>
    <t>01870151836</t>
  </si>
  <si>
    <t>MS SURUJ ALI VARIETIES STORE</t>
  </si>
  <si>
    <t>01301176111</t>
  </si>
  <si>
    <t>Rasheduzzaman Telecom</t>
  </si>
  <si>
    <t>01990997299</t>
  </si>
  <si>
    <t>Iqbal Digital Center</t>
  </si>
  <si>
    <t>01326534933</t>
  </si>
  <si>
    <t>INFORMATION GALAXY</t>
  </si>
  <si>
    <t>01606777336</t>
  </si>
  <si>
    <t>NISAT TELECOM</t>
  </si>
  <si>
    <t>01753643605</t>
  </si>
  <si>
    <t>TASNIM ELECTRIC</t>
  </si>
  <si>
    <t>01701578787</t>
  </si>
  <si>
    <t>Jami Trules &amp;Travelers</t>
  </si>
  <si>
    <t>01773622810</t>
  </si>
  <si>
    <t>IMAD TELECOM</t>
  </si>
  <si>
    <t>01973559158</t>
  </si>
  <si>
    <t>BANK ASIA</t>
  </si>
  <si>
    <t>01324124077</t>
  </si>
  <si>
    <t>FARIA CONFECTIONARY</t>
  </si>
  <si>
    <t>01788909933</t>
  </si>
  <si>
    <t>Mozibar Telecom</t>
  </si>
  <si>
    <t>01718543303</t>
  </si>
  <si>
    <t>01902256683</t>
  </si>
  <si>
    <t>Akhi digital studio</t>
  </si>
  <si>
    <t>01712746512</t>
  </si>
  <si>
    <t>M/S FARIYA TRADERS</t>
  </si>
  <si>
    <t>01979034403</t>
  </si>
  <si>
    <t>MAY BE PE MOBILE BANKING</t>
  </si>
  <si>
    <t>01774488596</t>
  </si>
  <si>
    <t>S.A. Multimedia</t>
  </si>
  <si>
    <t>01762867833</t>
  </si>
  <si>
    <t>M/S Ma Cosmetice</t>
  </si>
  <si>
    <t>01789837562</t>
  </si>
  <si>
    <t>MRIDHA ELECTRONIC</t>
  </si>
  <si>
    <t>01792756463</t>
  </si>
  <si>
    <t>01782897962</t>
  </si>
  <si>
    <t>Ma Cosmetic  &amp; Telecom</t>
  </si>
  <si>
    <t>01761509800</t>
  </si>
  <si>
    <t>Jui Verities Store,</t>
  </si>
  <si>
    <t>01724241985</t>
  </si>
  <si>
    <t>JARIF ELECTRONICS</t>
  </si>
  <si>
    <t>01318146697</t>
  </si>
  <si>
    <t>Pitar Telecom And Store</t>
  </si>
  <si>
    <t>01719368698</t>
  </si>
  <si>
    <t>Saju Telecom And Varities Store</t>
  </si>
  <si>
    <t>01325004618</t>
  </si>
  <si>
    <t>HUJAIFA COSMETICS AND TELECOM</t>
  </si>
  <si>
    <t>01734840413</t>
  </si>
  <si>
    <t>MA TELECOM 2</t>
  </si>
  <si>
    <t>01317185462</t>
  </si>
  <si>
    <t>AKTER TELECOM</t>
  </si>
  <si>
    <t>01737603410</t>
  </si>
  <si>
    <t>Boktiar Store</t>
  </si>
  <si>
    <t>01331929123</t>
  </si>
  <si>
    <t>01833775597</t>
  </si>
  <si>
    <t>Firoz Telecom</t>
  </si>
  <si>
    <t>01836276277</t>
  </si>
  <si>
    <t>01308338298</t>
  </si>
  <si>
    <t>SAHID STORE</t>
  </si>
  <si>
    <t>01785443059</t>
  </si>
  <si>
    <t>Salim Store</t>
  </si>
  <si>
    <t>01744333899</t>
  </si>
  <si>
    <t>AYAN STORE</t>
  </si>
  <si>
    <t>01303972050</t>
  </si>
  <si>
    <t>M/S Somapti  Traders</t>
  </si>
  <si>
    <t>01318006020</t>
  </si>
  <si>
    <t>Helal Telecom</t>
  </si>
  <si>
    <t>01775185572</t>
  </si>
  <si>
    <t>01310275478</t>
  </si>
  <si>
    <t>TALHA TREDARS</t>
  </si>
  <si>
    <t>01717928277</t>
  </si>
  <si>
    <t>Sozib Enterprise</t>
  </si>
  <si>
    <t>01776293654</t>
  </si>
  <si>
    <t>ALIN ROSAYON STORE</t>
  </si>
  <si>
    <t>01783002707</t>
  </si>
  <si>
    <t>MA MEDIA</t>
  </si>
  <si>
    <t>01717068641</t>
  </si>
  <si>
    <t>Rafiya Traders</t>
  </si>
  <si>
    <t>01875854714</t>
  </si>
  <si>
    <t>Jahid Store</t>
  </si>
  <si>
    <t>01315111290</t>
  </si>
  <si>
    <t>MS MERINA TRADERS</t>
  </si>
  <si>
    <t>01710428300</t>
  </si>
  <si>
    <t>M/S Ma Traders</t>
  </si>
  <si>
    <t>01718787496</t>
  </si>
  <si>
    <t>Bul Bul Telecom</t>
  </si>
  <si>
    <t>01774908588</t>
  </si>
  <si>
    <t>NAZIBUL TELECOM</t>
  </si>
  <si>
    <t>01777986210</t>
  </si>
  <si>
    <t>HALIMUR STORE</t>
  </si>
  <si>
    <t>01338868130</t>
  </si>
  <si>
    <t>MASIYAT VARIETIES STORE</t>
  </si>
  <si>
    <t>01318006428</t>
  </si>
  <si>
    <t>MS NURJAMAL STORE</t>
  </si>
  <si>
    <t>01607274797</t>
  </si>
  <si>
    <t>ETY TELICOM</t>
  </si>
  <si>
    <t>01303866548</t>
  </si>
  <si>
    <t>Atik Telecom</t>
  </si>
  <si>
    <t>01305801700</t>
  </si>
  <si>
    <t>MAFI TELECOM AND HARDWARE</t>
  </si>
  <si>
    <t>01955524456</t>
  </si>
  <si>
    <t>Sattar Telecom</t>
  </si>
  <si>
    <t>01820282299</t>
  </si>
  <si>
    <t>M/S AJIT KUMAR DASH</t>
  </si>
  <si>
    <t>01317175757</t>
  </si>
  <si>
    <t>MISHION TELECOM</t>
  </si>
  <si>
    <t>01755356685</t>
  </si>
  <si>
    <t>M/S Selim Telecom</t>
  </si>
  <si>
    <t>01773920349</t>
  </si>
  <si>
    <t>01740951023</t>
  </si>
  <si>
    <t>Rubina Telecom</t>
  </si>
  <si>
    <t>01737423862</t>
  </si>
  <si>
    <t>Helal Verities Store</t>
  </si>
  <si>
    <t>01762990482</t>
  </si>
  <si>
    <t>KHUSHI TELECOM</t>
  </si>
  <si>
    <t>01730684476</t>
  </si>
  <si>
    <t>TUHIN STORE</t>
  </si>
  <si>
    <t>01973153065</t>
  </si>
  <si>
    <t>01787614536</t>
  </si>
  <si>
    <t>ZARA CONFECTIONARY</t>
  </si>
  <si>
    <t>01727424285</t>
  </si>
  <si>
    <t>RAMIZUL STORE</t>
  </si>
  <si>
    <t>01717402545</t>
  </si>
  <si>
    <t>01723155026</t>
  </si>
  <si>
    <t>HAQ TELECOM</t>
  </si>
  <si>
    <t>01405013752</t>
  </si>
  <si>
    <t>Himel Medical Store</t>
  </si>
  <si>
    <t>01773316666</t>
  </si>
  <si>
    <t>FARHAD MALIRTAMIRIA</t>
  </si>
  <si>
    <t>01723311212</t>
  </si>
  <si>
    <t>Taher Telecom</t>
  </si>
  <si>
    <t>01303479790</t>
  </si>
  <si>
    <t>01329408390</t>
  </si>
  <si>
    <t>RABBI VARIETIES STORE</t>
  </si>
  <si>
    <t>01826591349</t>
  </si>
  <si>
    <t>MAA BABAR DUA</t>
  </si>
  <si>
    <t>01785537173</t>
  </si>
  <si>
    <t>ARIF VARIETIES STORE</t>
  </si>
  <si>
    <t>01828644465</t>
  </si>
  <si>
    <t>HABIB DIGITAL STUDIO</t>
  </si>
  <si>
    <t>01737588131</t>
  </si>
  <si>
    <t>Student Library</t>
  </si>
  <si>
    <t>01701933814</t>
  </si>
  <si>
    <t>Firoz Telecom-02</t>
  </si>
  <si>
    <t>01792762932</t>
  </si>
  <si>
    <t>Halim Telecom</t>
  </si>
  <si>
    <t>01918702643</t>
  </si>
  <si>
    <t>01775997003</t>
  </si>
  <si>
    <t>RASEL MEDICINE CORNER</t>
  </si>
  <si>
    <t>01752513889</t>
  </si>
  <si>
    <t>AMIR HOSSAIN COSMETICS AND VARIETIES</t>
  </si>
  <si>
    <t>01761616256</t>
  </si>
  <si>
    <t>Vai Vai Mobile</t>
  </si>
  <si>
    <t>01730180057</t>
  </si>
  <si>
    <t>Saidul Store</t>
  </si>
  <si>
    <t>01406066235</t>
  </si>
  <si>
    <t>Ansari Computer &amp; Digital Studio</t>
  </si>
  <si>
    <t>01797279759</t>
  </si>
  <si>
    <t>MS BASHAR STORE</t>
  </si>
  <si>
    <t>01723302593</t>
  </si>
  <si>
    <t>01936823171</t>
  </si>
  <si>
    <t>ELECTRONICES AND TELECOM</t>
  </si>
  <si>
    <t>01408687275</t>
  </si>
  <si>
    <t>01774117060</t>
  </si>
  <si>
    <t>Shawn Telecom</t>
  </si>
  <si>
    <t>01720997778</t>
  </si>
  <si>
    <t>M/S NUR NOBI TELECOM</t>
  </si>
  <si>
    <t>01723419689</t>
  </si>
  <si>
    <t>M/S Mono And Sons</t>
  </si>
  <si>
    <t>01792925224</t>
  </si>
  <si>
    <t>MS MAHADI ENTERPRISE</t>
  </si>
  <si>
    <t>01685938444</t>
  </si>
  <si>
    <t>M/S Harun Telecom</t>
  </si>
  <si>
    <t>01339677341</t>
  </si>
  <si>
    <t>M/S BADIUZZAMAN TRADERS</t>
  </si>
  <si>
    <t>01887733066</t>
  </si>
  <si>
    <t>Soyem Store</t>
  </si>
  <si>
    <t>01755242526</t>
  </si>
  <si>
    <t>Rosidul Electronic</t>
  </si>
  <si>
    <t>01751427961</t>
  </si>
  <si>
    <t>Post In Senter</t>
  </si>
  <si>
    <t>01322755155</t>
  </si>
  <si>
    <t>MS KULSUM ENTERPRISE</t>
  </si>
  <si>
    <t>01717543448</t>
  </si>
  <si>
    <t>Jakir Telecom</t>
  </si>
  <si>
    <t>01719801995</t>
  </si>
  <si>
    <t>DIGITAL PLENET</t>
  </si>
  <si>
    <t>01891131755</t>
  </si>
  <si>
    <t>BISMILLAH SHOP</t>
  </si>
  <si>
    <t>01710473568</t>
  </si>
  <si>
    <t>m/s vai vai store</t>
  </si>
  <si>
    <t>01783122005</t>
  </si>
  <si>
    <t>SUMON STORE</t>
  </si>
  <si>
    <t>01717300056</t>
  </si>
  <si>
    <t>Sohag Electronice &amp; Telecom</t>
  </si>
  <si>
    <t>01830402545</t>
  </si>
  <si>
    <t>MS RASEL FURNITURE</t>
  </si>
  <si>
    <t>01920042968</t>
  </si>
  <si>
    <t>Rupali Bangla Telecom</t>
  </si>
  <si>
    <t>01721474938</t>
  </si>
  <si>
    <t>MOLLA SINGAPUR TRAINING CENTER</t>
  </si>
  <si>
    <t>01329000559</t>
  </si>
  <si>
    <t>01713324896</t>
  </si>
  <si>
    <t>Al Amin Store</t>
  </si>
  <si>
    <t>01817111168</t>
  </si>
  <si>
    <t>CONFECNTONARI</t>
  </si>
  <si>
    <t>01793436960</t>
  </si>
  <si>
    <t>01303259979</t>
  </si>
  <si>
    <t>Sucittra farmecy</t>
  </si>
  <si>
    <t>01773771700</t>
  </si>
  <si>
    <t>01942508211</t>
  </si>
  <si>
    <t>M/S SIYAM ENTERPRISE</t>
  </si>
  <si>
    <t>01749530301</t>
  </si>
  <si>
    <t>Galib Farmecy &amp; Sushasto Homio Hole</t>
  </si>
  <si>
    <t>01774666572</t>
  </si>
  <si>
    <t>M/S Alamin Store,</t>
  </si>
  <si>
    <t>01820631636</t>
  </si>
  <si>
    <t>Al Amin Telecom</t>
  </si>
  <si>
    <t>01757804412</t>
  </si>
  <si>
    <t>Electrinics &amp; Flexi Load</t>
  </si>
  <si>
    <t>01615752509</t>
  </si>
  <si>
    <t>01311874598</t>
  </si>
  <si>
    <t>Uzzal Computer &amp; Digital  Studio</t>
  </si>
  <si>
    <t>01719006945</t>
  </si>
  <si>
    <t>01848242199</t>
  </si>
  <si>
    <t>SN Hardware</t>
  </si>
  <si>
    <t>01407554958</t>
  </si>
  <si>
    <t>01981057402</t>
  </si>
  <si>
    <t>01985931100</t>
  </si>
  <si>
    <t>JAKIR BARAT VETENARY MEDECINE CORNER</t>
  </si>
  <si>
    <t>01904398268</t>
  </si>
  <si>
    <t>Vai Vai Store,</t>
  </si>
  <si>
    <t>01312396917</t>
  </si>
  <si>
    <t>VORER ALO TELECOM</t>
  </si>
  <si>
    <t>01333577583</t>
  </si>
  <si>
    <t>BIPLOB TELECOM</t>
  </si>
  <si>
    <t>01335715861</t>
  </si>
  <si>
    <t>M/S HAQUE TRADERS</t>
  </si>
  <si>
    <t>01304648700</t>
  </si>
  <si>
    <t>01727613001</t>
  </si>
  <si>
    <t>MOON TRADASS</t>
  </si>
  <si>
    <t>01754935689</t>
  </si>
  <si>
    <t>Shoriful Varities Store,</t>
  </si>
  <si>
    <t>01796147442</t>
  </si>
  <si>
    <t>Misti Electrice</t>
  </si>
  <si>
    <t>01762790118</t>
  </si>
  <si>
    <t>MOSTAFIJAR TELECOM</t>
  </si>
  <si>
    <t>01315214133</t>
  </si>
  <si>
    <t>M/S Lipi Traders</t>
  </si>
  <si>
    <t>01793241994</t>
  </si>
  <si>
    <t>KRISHNOCHURA MALTIMEDIA</t>
  </si>
  <si>
    <t>01756633220</t>
  </si>
  <si>
    <t>Sawm telecom</t>
  </si>
  <si>
    <t>01710326746</t>
  </si>
  <si>
    <t>MASEDUL TELECOM</t>
  </si>
  <si>
    <t>01746033306</t>
  </si>
  <si>
    <t>M/S SAMRAT VERAITES STORE</t>
  </si>
  <si>
    <t>01338868166</t>
  </si>
  <si>
    <t>JAHANGIR STORE</t>
  </si>
  <si>
    <t>01794283349</t>
  </si>
  <si>
    <t>Azizul Telecom-2</t>
  </si>
  <si>
    <t>01767507036</t>
  </si>
  <si>
    <t>MAHAFUJAR TELECOM</t>
  </si>
  <si>
    <t>01717807849</t>
  </si>
  <si>
    <t>KHUSBU STORE</t>
  </si>
  <si>
    <t>01714726228</t>
  </si>
  <si>
    <t>R M R MOTORS</t>
  </si>
  <si>
    <t>01767190391</t>
  </si>
  <si>
    <t>NILBOSON</t>
  </si>
  <si>
    <t>01814009009</t>
  </si>
  <si>
    <t>SOHAG CHOWDHURY COMPUTER</t>
  </si>
  <si>
    <t>01757723056</t>
  </si>
  <si>
    <t>JILLUAR HOTEL N RESTURENT</t>
  </si>
  <si>
    <t>01755257081</t>
  </si>
  <si>
    <t>Sumon Electronic</t>
  </si>
  <si>
    <t>01762910128</t>
  </si>
  <si>
    <t>UPSOM  CHIKISA  SAYOLA</t>
  </si>
  <si>
    <t>01744828882</t>
  </si>
  <si>
    <t>01755265732</t>
  </si>
  <si>
    <t>Zamal Telecom</t>
  </si>
  <si>
    <t>01782174521</t>
  </si>
  <si>
    <t>RIPA TELECOM</t>
  </si>
  <si>
    <t>01780708520</t>
  </si>
  <si>
    <t>N N ENTERPRISE</t>
  </si>
  <si>
    <t>01319197676</t>
  </si>
  <si>
    <t>SOFT TELECOM LIMITED</t>
  </si>
  <si>
    <t>01601793759</t>
  </si>
  <si>
    <t>JOSIM TELECOM</t>
  </si>
  <si>
    <t>01780725732</t>
  </si>
  <si>
    <t>manik chandro ray</t>
  </si>
  <si>
    <t>01717042879</t>
  </si>
  <si>
    <t>01601432625</t>
  </si>
  <si>
    <t>WELL LIFE PHARMACY</t>
  </si>
  <si>
    <t>01307337223</t>
  </si>
  <si>
    <t>BHAI BON VARIETIES STORE</t>
  </si>
  <si>
    <t>01961318295</t>
  </si>
  <si>
    <t>TALHA STORE</t>
  </si>
  <si>
    <t>01990031546</t>
  </si>
  <si>
    <t>M/S YOUNUS TEDERS</t>
  </si>
  <si>
    <t>01799112588</t>
  </si>
  <si>
    <t>HRIDOY FASHION HOUSE</t>
  </si>
  <si>
    <t>01717161684</t>
  </si>
  <si>
    <t>Shovo Store</t>
  </si>
  <si>
    <t>01791175830</t>
  </si>
  <si>
    <t>HIMADRITA CONFECTIONERY</t>
  </si>
  <si>
    <t>01717589641</t>
  </si>
  <si>
    <t>m/s sumon traders</t>
  </si>
  <si>
    <t>01875750009</t>
  </si>
  <si>
    <t>MS TAHMID TRADERS</t>
  </si>
  <si>
    <t>01717257401</t>
  </si>
  <si>
    <t>MIZAN TELECOM</t>
  </si>
  <si>
    <t>01982727131</t>
  </si>
  <si>
    <t>01717223334</t>
  </si>
  <si>
    <t>Abadat Telecom</t>
  </si>
  <si>
    <t>01737363968</t>
  </si>
  <si>
    <t>Alamgir Telecom</t>
  </si>
  <si>
    <t>01986165106</t>
  </si>
  <si>
    <t>NEHA TRADERS</t>
  </si>
  <si>
    <t>01798062597</t>
  </si>
  <si>
    <t>JONI TELECOM</t>
  </si>
  <si>
    <t>01798057943</t>
  </si>
  <si>
    <t>FARUK STORE</t>
  </si>
  <si>
    <t>01740474427</t>
  </si>
  <si>
    <t>MASTER PHOTOCOPY STATIONARY AND TELECOM</t>
  </si>
  <si>
    <t>01794175958</t>
  </si>
  <si>
    <t>Jannati Digital Studio &amp; Verities Store</t>
  </si>
  <si>
    <t>01762130130</t>
  </si>
  <si>
    <t>Mohona Enter Prize</t>
  </si>
  <si>
    <t>01773912665</t>
  </si>
  <si>
    <t>Munni Telecom</t>
  </si>
  <si>
    <t>01744776605</t>
  </si>
  <si>
    <t>Jobeda Telecom</t>
  </si>
  <si>
    <t>01822773485</t>
  </si>
  <si>
    <t>Rohmat General Store</t>
  </si>
  <si>
    <t>01322752146</t>
  </si>
  <si>
    <t>ZAIKA VARIETIES STORE</t>
  </si>
  <si>
    <t>01740012416</t>
  </si>
  <si>
    <t>TASIN TELECOM</t>
  </si>
  <si>
    <t>01754805036</t>
  </si>
  <si>
    <t>M/S A. K. ENTERPRISE</t>
  </si>
  <si>
    <t>01328623272</t>
  </si>
  <si>
    <t>BABU STORE</t>
  </si>
  <si>
    <t>01751577335</t>
  </si>
  <si>
    <t>M/S SOMA TREDARS</t>
  </si>
  <si>
    <t>01909756794</t>
  </si>
  <si>
    <t>Soru Telecom</t>
  </si>
  <si>
    <t>01857177719</t>
  </si>
  <si>
    <t>M/S SAFIN TELECOM</t>
  </si>
  <si>
    <t>01763221723</t>
  </si>
  <si>
    <t>M/S Mohana Telecom</t>
  </si>
  <si>
    <t>01312758963</t>
  </si>
  <si>
    <t>Abdulla Farmecy</t>
  </si>
  <si>
    <t>01719879019</t>
  </si>
  <si>
    <t>M/S Sorif Computer</t>
  </si>
  <si>
    <t>01722998446</t>
  </si>
  <si>
    <t>01796735174</t>
  </si>
  <si>
    <t>BORSHA ENTERPRISE</t>
  </si>
  <si>
    <t>01738688863</t>
  </si>
  <si>
    <t>ATIK TELICOM</t>
  </si>
  <si>
    <t>01746220076</t>
  </si>
  <si>
    <t>MS MIRAD PHARMACY</t>
  </si>
  <si>
    <t>01710300054</t>
  </si>
  <si>
    <t>01905465689</t>
  </si>
  <si>
    <t>AL AMIN TRADERS</t>
  </si>
  <si>
    <t>01773614246</t>
  </si>
  <si>
    <t>TEEN VAI TELECOM</t>
  </si>
  <si>
    <t>01882271010</t>
  </si>
  <si>
    <t>01602355566</t>
  </si>
  <si>
    <t>01799766225</t>
  </si>
  <si>
    <t>01314016655</t>
  </si>
  <si>
    <t>01912777720</t>
  </si>
  <si>
    <t>Abdulla Store,</t>
  </si>
  <si>
    <t>01783122537</t>
  </si>
  <si>
    <t>01782241182</t>
  </si>
  <si>
    <t>LIMU TELECOM</t>
  </si>
  <si>
    <t>01922837762</t>
  </si>
  <si>
    <t>M/S KHADIZA STORE</t>
  </si>
  <si>
    <t>01730857956</t>
  </si>
  <si>
    <t>FORMAN VARIETIES STORE</t>
  </si>
  <si>
    <t>01787879337</t>
  </si>
  <si>
    <t>Lutfa  Traders</t>
  </si>
  <si>
    <t>01771082371</t>
  </si>
  <si>
    <t>MONJU TELECOM</t>
  </si>
  <si>
    <t>01716303913</t>
  </si>
  <si>
    <t>FAHIM STORE</t>
  </si>
  <si>
    <t>01750516633</t>
  </si>
  <si>
    <t>KAKON LADIES CORNER</t>
  </si>
  <si>
    <t>01737373175</t>
  </si>
  <si>
    <t>01314222947</t>
  </si>
  <si>
    <t>01810904568</t>
  </si>
  <si>
    <t>ALHABI TRADING CORPORATION</t>
  </si>
  <si>
    <t>01830818020</t>
  </si>
  <si>
    <t>SADDAM JEWLLERS</t>
  </si>
  <si>
    <t>01971225633</t>
  </si>
  <si>
    <t>RUMMAN TELECOM</t>
  </si>
  <si>
    <t>01827555402</t>
  </si>
  <si>
    <t>ZILLUR HOTEL AND RESTAURANT</t>
  </si>
  <si>
    <t>01302107146</t>
  </si>
  <si>
    <t>RAFI TELECOM</t>
  </si>
  <si>
    <t>01714374736</t>
  </si>
  <si>
    <t>MA BABAR DUA PAN STORE</t>
  </si>
  <si>
    <t>01723220574</t>
  </si>
  <si>
    <t>Soref Telecom</t>
  </si>
  <si>
    <t>01723960548</t>
  </si>
  <si>
    <t>M/S MUNTAHA TELECOM</t>
  </si>
  <si>
    <t>01917272757</t>
  </si>
  <si>
    <t>MS TIN KONNA ELECTRIC AND HARDWARE</t>
  </si>
  <si>
    <t>01313332444</t>
  </si>
  <si>
    <t>Mojibul Telecom &amp; Electrice</t>
  </si>
  <si>
    <t>01792364580</t>
  </si>
  <si>
    <t>BAYEZID TELECOM</t>
  </si>
  <si>
    <t>01843869954</t>
  </si>
  <si>
    <t>MS NOYON HOMIO PHARMACY</t>
  </si>
  <si>
    <t>01894789825</t>
  </si>
  <si>
    <t>AYESHA COMPUTER AND PHOTOCOPY</t>
  </si>
  <si>
    <t>01743666822</t>
  </si>
  <si>
    <t>PORISA VARIETIES AND IT POINT</t>
  </si>
  <si>
    <t>01709192050</t>
  </si>
  <si>
    <t>SAR O KITNASHOK</t>
  </si>
  <si>
    <t>01722224070</t>
  </si>
  <si>
    <t>M/S Mowno Traders &amp; Telecom</t>
  </si>
  <si>
    <t>01761830574</t>
  </si>
  <si>
    <t>Maisha Enter Prize</t>
  </si>
  <si>
    <t>01785789910</t>
  </si>
  <si>
    <t>HRITIK TELECOM AND PHOTOCOPY</t>
  </si>
  <si>
    <t>01784478788</t>
  </si>
  <si>
    <t>M/S Ma Electronic</t>
  </si>
  <si>
    <t>01740146871</t>
  </si>
  <si>
    <t>Himo Telecom</t>
  </si>
  <si>
    <t>01779298581</t>
  </si>
  <si>
    <t>Rofikul Varities Store</t>
  </si>
  <si>
    <t>01322753920</t>
  </si>
  <si>
    <t>ANWOAR TELECOM</t>
  </si>
  <si>
    <t>01762739972</t>
  </si>
  <si>
    <t>Madha Trades</t>
  </si>
  <si>
    <t>01785260837</t>
  </si>
  <si>
    <t>Ma Medicine Corner &amp; Telecom</t>
  </si>
  <si>
    <t>01944333235</t>
  </si>
  <si>
    <t>Jui Telecom</t>
  </si>
  <si>
    <t>01315233354</t>
  </si>
  <si>
    <t>Varities Store,</t>
  </si>
  <si>
    <t>01762739322</t>
  </si>
  <si>
    <t>Modina Telecom</t>
  </si>
  <si>
    <t>01719149301</t>
  </si>
  <si>
    <t>MUHIT ONLINE</t>
  </si>
  <si>
    <t>01710449791</t>
  </si>
  <si>
    <t>MS LISAN TRADERS</t>
  </si>
  <si>
    <t>01717151547</t>
  </si>
  <si>
    <t>01331997890</t>
  </si>
  <si>
    <t>MUNTAHA TELECOM</t>
  </si>
  <si>
    <t>01780154804</t>
  </si>
  <si>
    <t>RIYAT TELICOM AND VERAITES STORE</t>
  </si>
  <si>
    <t>01755250196</t>
  </si>
  <si>
    <t>LIKHON TELECOM</t>
  </si>
  <si>
    <t>01943600922</t>
  </si>
  <si>
    <t>TASNIM BINTE MAHBUR TELECOM</t>
  </si>
  <si>
    <t>01305719100</t>
  </si>
  <si>
    <t>M/S SUMON TELECOM</t>
  </si>
  <si>
    <t>01941234369</t>
  </si>
  <si>
    <t>Nila Telecom</t>
  </si>
  <si>
    <t>01740293685</t>
  </si>
  <si>
    <t>Maruf Telecom</t>
  </si>
  <si>
    <t>01755123683</t>
  </si>
  <si>
    <t>Sony Telecom</t>
  </si>
  <si>
    <t>01757886950</t>
  </si>
  <si>
    <t>01912817216</t>
  </si>
  <si>
    <t>UDC- Union Digital Center</t>
  </si>
  <si>
    <t>01708967463</t>
  </si>
  <si>
    <t>SURBONRA CYCLE GALLERY</t>
  </si>
  <si>
    <t>01328614325</t>
  </si>
  <si>
    <t>CHOWDHURY TELECOM</t>
  </si>
  <si>
    <t>01794710894</t>
  </si>
  <si>
    <t>SOHANA TV SERVICING CENTER</t>
  </si>
  <si>
    <t>01780007201</t>
  </si>
  <si>
    <t>MS MASUDA TRADERS</t>
  </si>
  <si>
    <t>01302156078</t>
  </si>
  <si>
    <t>01581474776</t>
  </si>
  <si>
    <t>SHOFI STORE</t>
  </si>
  <si>
    <t>01713712425</t>
  </si>
  <si>
    <t>Hasibul Store</t>
  </si>
  <si>
    <t>01309410470</t>
  </si>
  <si>
    <t>Bosuniya Enter Prize,</t>
  </si>
  <si>
    <t>01785654431</t>
  </si>
  <si>
    <t>Shafa Varieties  Store</t>
  </si>
  <si>
    <t>01705962443</t>
  </si>
  <si>
    <t>Chadni Stude</t>
  </si>
  <si>
    <t>01840101055</t>
  </si>
  <si>
    <t>MHS TRADERS</t>
  </si>
  <si>
    <t>01744098055</t>
  </si>
  <si>
    <t>RAFI STUDIO AND MULTIMEDIA</t>
  </si>
  <si>
    <t>01772696008</t>
  </si>
  <si>
    <t>UNIQUE MART</t>
  </si>
  <si>
    <t>01734223418</t>
  </si>
  <si>
    <t>ASADUJJAMAN STORE</t>
  </si>
  <si>
    <t>01712833474</t>
  </si>
  <si>
    <t>01790839156</t>
  </si>
  <si>
    <t>ISMAIL TELECOM</t>
  </si>
  <si>
    <t>01764602109</t>
  </si>
  <si>
    <t>MAYER DOYA CONFECTIONERY</t>
  </si>
  <si>
    <t>01945208834</t>
  </si>
  <si>
    <t>MA ONLINE MULTI SHOP</t>
  </si>
  <si>
    <t>01341414120</t>
  </si>
  <si>
    <t>KAJOL TELECOM</t>
  </si>
  <si>
    <t>01343217957</t>
  </si>
  <si>
    <t>01320601880</t>
  </si>
  <si>
    <t>MAHIN COMPUTER AND PHOTOCOPY</t>
  </si>
  <si>
    <t>Sales Report - 05:50 PM</t>
  </si>
  <si>
    <t>Report Till-19/01/2026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</si>
</sst>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hnschrift"/>
      <family val="2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FF"/>
        </stop>
      </gradientFill>
    </fill>
    <fill>
      <patternFill patternType="solid">
        <fgColor rgb="FF66FF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00"/>
        </stop>
      </gradientFill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hidden="1"/>
    </xf>
    <xf numFmtId="9" fontId="2" fillId="0" borderId="1" xfId="2" applyFont="1" applyBorder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horizontal="center" vertical="center"/>
      <protection hidden="1"/>
    </xf>
    <xf numFmtId="9" fontId="2" fillId="8" borderId="1" xfId="2" applyFont="1" applyFill="1" applyBorder="1" applyAlignment="1" applyProtection="1">
      <alignment horizontal="center" vertical="center"/>
      <protection hidden="1"/>
    </xf>
    <xf numFmtId="49" fontId="9" fillId="10" borderId="1" xfId="0" applyNumberFormat="1" applyFont="1" applyFill="1" applyBorder="1" applyAlignment="1" applyProtection="1">
      <alignment horizontal="center" vertical="center"/>
      <protection locked="0"/>
    </xf>
    <xf numFmtId="0" fontId="9" fillId="10" borderId="1" xfId="0" applyFont="1" applyFill="1" applyBorder="1" applyAlignment="1" applyProtection="1">
      <alignment horizontal="center" vertical="center"/>
      <protection locked="0"/>
    </xf>
    <xf numFmtId="164" fontId="9" fillId="10" borderId="1" xfId="1" applyNumberFormat="1" applyFont="1" applyFill="1" applyBorder="1" applyAlignment="1" applyProtection="1">
      <alignment horizontal="center" vertical="center"/>
      <protection locked="0"/>
    </xf>
    <xf numFmtId="0" fontId="9" fillId="10" borderId="1" xfId="0" applyFont="1" applyFill="1" applyBorder="1" applyAlignment="1" applyProtection="1">
      <alignment horizontal="center" vertical="center"/>
      <protection hidden="1"/>
    </xf>
    <xf numFmtId="9" fontId="9" fillId="10" borderId="1" xfId="2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/>
      <protection hidden="1"/>
    </xf>
    <xf numFmtId="9" fontId="2" fillId="7" borderId="1" xfId="2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9" fontId="2" fillId="14" borderId="1" xfId="2" applyFont="1" applyFill="1" applyBorder="1" applyAlignment="1" applyProtection="1">
      <alignment horizontal="center" vertical="center"/>
      <protection hidden="1"/>
    </xf>
    <xf numFmtId="9" fontId="2" fillId="3" borderId="1" xfId="2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9" fontId="2" fillId="13" borderId="1" xfId="2" applyFont="1" applyFill="1" applyBorder="1" applyAlignment="1" applyProtection="1">
      <alignment horizontal="center" vertical="center"/>
      <protection hidden="1"/>
    </xf>
    <xf numFmtId="9" fontId="2" fillId="7" borderId="1" xfId="2" applyFont="1" applyFill="1" applyBorder="1" applyAlignment="1" applyProtection="1">
      <alignment horizontal="center" vertical="center"/>
      <protection hidden="1"/>
    </xf>
    <xf numFmtId="9" fontId="2" fillId="15" borderId="1" xfId="2" applyFont="1" applyFill="1" applyBorder="1" applyAlignment="1" applyProtection="1">
      <alignment horizontal="center" vertical="center"/>
      <protection hidden="1"/>
    </xf>
    <xf numFmtId="9" fontId="2" fillId="16" borderId="1" xfId="2" applyFont="1" applyFill="1" applyBorder="1" applyAlignment="1" applyProtection="1">
      <alignment horizontal="center" vertical="center"/>
      <protection hidden="1"/>
    </xf>
    <xf numFmtId="0" fontId="2" fillId="16" borderId="1" xfId="0" applyFont="1" applyFill="1" applyBorder="1" applyAlignment="1" applyProtection="1">
      <alignment horizontal="center"/>
      <protection hidden="1"/>
    </xf>
    <xf numFmtId="9" fontId="2" fillId="16" borderId="1" xfId="2" applyFont="1" applyFill="1" applyBorder="1" applyAlignment="1" applyProtection="1">
      <alignment horizontal="center"/>
      <protection hidden="1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hidden="1"/>
    </xf>
    <xf numFmtId="164" fontId="2" fillId="12" borderId="1" xfId="1" applyNumberFormat="1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3" fillId="0" borderId="1" xfId="1" applyNumberFormat="1" applyFont="1" applyBorder="1" applyAlignment="1" applyProtection="1">
      <alignment horizontal="center"/>
      <protection hidden="1"/>
    </xf>
    <xf numFmtId="164" fontId="10" fillId="0" borderId="1" xfId="1" applyNumberFormat="1" applyFont="1" applyBorder="1" applyAlignment="1" applyProtection="1">
      <alignment horizontal="center"/>
      <protection hidden="1"/>
    </xf>
    <xf numFmtId="164" fontId="4" fillId="0" borderId="1" xfId="1" applyNumberFormat="1" applyFont="1" applyBorder="1" applyAlignment="1" applyProtection="1">
      <alignment horizontal="center"/>
      <protection hidden="1"/>
    </xf>
    <xf numFmtId="164" fontId="2" fillId="0" borderId="1" xfId="1" applyNumberFormat="1" applyFont="1" applyBorder="1" applyAlignment="1" applyProtection="1">
      <alignment horizontal="center"/>
      <protection hidden="1"/>
    </xf>
    <xf numFmtId="164" fontId="0" fillId="0" borderId="1" xfId="1" applyNumberFormat="1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4" fontId="6" fillId="3" borderId="0" xfId="1" applyNumberFormat="1" applyFont="1" applyFill="1" applyBorder="1" applyAlignment="1">
      <alignment horizontal="center"/>
    </xf>
    <xf numFmtId="164" fontId="6" fillId="9" borderId="0" xfId="1" applyNumberFormat="1" applyFont="1" applyFill="1" applyBorder="1" applyAlignment="1">
      <alignment horizontal="center"/>
    </xf>
    <xf numFmtId="164" fontId="6" fillId="10" borderId="0" xfId="1" applyNumberFormat="1" applyFont="1" applyFill="1" applyBorder="1" applyAlignment="1">
      <alignment horizontal="center"/>
    </xf>
    <xf numFmtId="164" fontId="6" fillId="2" borderId="0" xfId="1" applyNumberFormat="1" applyFont="1" applyFill="1" applyBorder="1" applyAlignment="1">
      <alignment horizontal="center"/>
    </xf>
    <xf numFmtId="164" fontId="6" fillId="14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164" fontId="2" fillId="7" borderId="1" xfId="1" applyNumberFormat="1" applyFont="1" applyFill="1" applyBorder="1" applyAlignment="1" applyProtection="1">
      <alignment horizontal="center"/>
      <protection hidden="1"/>
    </xf>
    <xf numFmtId="164" fontId="2" fillId="16" borderId="1" xfId="1" applyNumberFormat="1" applyFont="1" applyFill="1" applyBorder="1" applyAlignment="1" applyProtection="1">
      <alignment horizontal="center"/>
      <protection hidden="1"/>
    </xf>
    <xf numFmtId="164" fontId="2" fillId="8" borderId="1" xfId="1" applyNumberFormat="1" applyFont="1" applyFill="1" applyBorder="1" applyAlignment="1" applyProtection="1">
      <alignment horizontal="center" vertical="center"/>
      <protection hidden="1"/>
    </xf>
    <xf numFmtId="164" fontId="9" fillId="10" borderId="1" xfId="1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locked="0"/>
    </xf>
    <xf numFmtId="164" fontId="10" fillId="0" borderId="5" xfId="1" applyNumberFormat="1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164" fontId="3" fillId="0" borderId="7" xfId="1" applyNumberFormat="1" applyFont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hidden="1"/>
    </xf>
    <xf numFmtId="0" fontId="10" fillId="0" borderId="1" xfId="0" applyFont="1" applyBorder="1" applyAlignment="1" applyProtection="1">
      <alignment horizontal="center"/>
      <protection locked="0"/>
    </xf>
    <xf numFmtId="164" fontId="10" fillId="0" borderId="0" xfId="1" applyNumberFormat="1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locked="0"/>
    </xf>
    <xf numFmtId="164" fontId="4" fillId="0" borderId="0" xfId="1" applyNumberFormat="1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locked="0"/>
    </xf>
    <xf numFmtId="164" fontId="2" fillId="0" borderId="0" xfId="1" applyNumberFormat="1" applyFont="1" applyBorder="1" applyAlignment="1" applyProtection="1">
      <alignment horizontal="center"/>
      <protection hidden="1"/>
    </xf>
    <xf numFmtId="164" fontId="0" fillId="0" borderId="0" xfId="1" applyNumberFormat="1" applyFont="1" applyBorder="1" applyAlignment="1" applyProtection="1">
      <alignment horizontal="center"/>
      <protection hidden="1"/>
    </xf>
    <xf numFmtId="0" fontId="9" fillId="10" borderId="1" xfId="0" applyFont="1" applyFill="1" applyBorder="1" applyAlignment="1" applyProtection="1">
      <alignment horizontal="center" vertical="center"/>
      <protection locked="0"/>
    </xf>
    <xf numFmtId="49" fontId="2" fillId="8" borderId="1" xfId="0" applyNumberFormat="1" applyFont="1" applyFill="1" applyBorder="1" applyAlignment="1" applyProtection="1">
      <alignment horizontal="center" vertical="center"/>
      <protection locked="0"/>
    </xf>
    <xf numFmtId="14" fontId="5" fillId="5" borderId="1" xfId="0" applyNumberFormat="1" applyFont="1" applyFill="1" applyBorder="1" applyAlignment="1" applyProtection="1">
      <alignment horizontal="center" vertical="center"/>
      <protection locked="0"/>
    </xf>
    <xf numFmtId="14" fontId="5" fillId="6" borderId="1" xfId="0" applyNumberFormat="1" applyFont="1" applyFill="1" applyBorder="1" applyAlignment="1" applyProtection="1">
      <alignment horizontal="center" vertical="center"/>
      <protection locked="0"/>
    </xf>
    <xf numFmtId="49" fontId="2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16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4" xfId="0" applyNumberFormat="1" applyFont="1" applyFill="1" applyBorder="1" applyAlignment="1" applyProtection="1">
      <alignment horizontal="center" vertical="center"/>
      <protection hidden="1"/>
    </xf>
    <xf numFmtId="14" fontId="5" fillId="11" borderId="0" xfId="0" applyNumberFormat="1" applyFont="1" applyFill="1" applyAlignment="1" applyProtection="1">
      <alignment horizontal="center" vertical="center"/>
      <protection hidden="1"/>
    </xf>
    <xf numFmtId="14" fontId="5" fillId="11" borderId="2" xfId="0" applyNumberFormat="1" applyFont="1" applyFill="1" applyBorder="1" applyAlignment="1" applyProtection="1">
      <alignment horizontal="center" vertical="center"/>
      <protection hidden="1"/>
    </xf>
    <xf numFmtId="14" fontId="5" fillId="11" borderId="3" xfId="0" applyNumberFormat="1" applyFont="1" applyFill="1" applyBorder="1" applyAlignment="1" applyProtection="1">
      <alignment horizontal="center" vertical="center"/>
      <protection hidden="1"/>
    </xf>
    <xf numFmtId="49" fontId="2" fillId="8" borderId="6" xfId="0" applyNumberFormat="1" applyFont="1" applyFill="1" applyBorder="1" applyAlignment="1" applyProtection="1">
      <alignment horizontal="center" vertical="center"/>
      <protection locked="0"/>
    </xf>
    <xf numFmtId="49" fontId="2" fillId="8" borderId="5" xfId="0" applyNumberFormat="1" applyFont="1" applyFill="1" applyBorder="1" applyAlignment="1" applyProtection="1">
      <alignment horizontal="center" vertical="center"/>
      <protection locked="0"/>
    </xf>
    <xf numFmtId="49" fontId="2" fillId="7" borderId="6" xfId="0" applyNumberFormat="1" applyFont="1" applyFill="1" applyBorder="1" applyAlignment="1" applyProtection="1">
      <alignment horizontal="center" vertical="center"/>
      <protection locked="0"/>
    </xf>
    <xf numFmtId="49" fontId="2" fillId="7" borderId="5" xfId="0" applyNumberFormat="1" applyFont="1" applyFill="1" applyBorder="1" applyAlignment="1" applyProtection="1">
      <alignment horizontal="center" vertical="center"/>
      <protection locked="0"/>
    </xf>
    <xf numFmtId="49" fontId="2" fillId="16" borderId="6" xfId="0" applyNumberFormat="1" applyFont="1" applyFill="1" applyBorder="1" applyAlignment="1" applyProtection="1">
      <alignment horizontal="center" vertical="center"/>
      <protection locked="0"/>
    </xf>
    <xf numFmtId="49" fontId="2" fillId="16" borderId="5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28"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99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FF3399"/>
      <color rgb="FF00FFFF"/>
      <color rgb="FF00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pageSetUpPr fitToPage="1"/>
  </sheetPr>
  <dimension ref="A1:I1772"/>
  <sheetViews>
    <sheetView workbookViewId="0">
      <pane ySplit="2" topLeftCell="A1747" activePane="bottomLeft" state="frozen"/>
      <selection pane="bottomLeft" activeCell="B960" sqref="A1:I1772"/>
    </sheetView>
  </sheetViews>
  <sheetFormatPr defaultColWidth="12.140625" defaultRowHeight="15" x14ac:dyDescent="0.25"/>
  <cols>
    <col min="1" max="1" width="12" style="3" bestFit="1" customWidth="1"/>
    <col min="2" max="2" width="55" style="3" bestFit="1" customWidth="1"/>
    <col min="3" max="3" width="14.42578125" style="3" bestFit="1" customWidth="1"/>
    <col min="4" max="4" width="13.7109375" style="4" bestFit="1" customWidth="1"/>
    <col min="5" max="5" width="12.7109375" style="6" customWidth="1"/>
    <col min="6" max="6" width="12.7109375" style="59" customWidth="1"/>
    <col min="7" max="7" width="15" style="5" bestFit="1" customWidth="1"/>
    <col min="8" max="8" width="15.140625" style="3" bestFit="1" customWidth="1"/>
    <col min="9" max="9" width="13.140625" style="5" bestFit="1" customWidth="1"/>
    <col min="10" max="16384" width="12.140625" style="3"/>
  </cols>
  <sheetData>
    <row r="1" spans="1:9" s="18" customFormat="1" x14ac:dyDescent="0.25">
      <c r="A1" s="32"/>
      <c r="B1" s="32" t="s">
        <v>27</v>
      </c>
      <c r="C1" s="33">
        <f>SUBTOTAL(103,C3:C1934)</f>
        <v>50</v>
      </c>
      <c r="D1" s="34">
        <f t="shared" ref="D1:I1" si="0">SUBTOTAL(109,D3:D1934)</f>
        <v>365024.95118468459</v>
      </c>
      <c r="E1" s="34">
        <f t="shared" si="0"/>
        <v>121322</v>
      </c>
      <c r="F1" s="34">
        <f t="shared" si="0"/>
        <v>770735</v>
      </c>
      <c r="G1" s="34">
        <f t="shared" si="0"/>
        <v>109000</v>
      </c>
      <c r="H1" s="34">
        <f t="shared" si="0"/>
        <v>994000</v>
      </c>
      <c r="I1" s="34">
        <f t="shared" si="0"/>
        <v>1013000</v>
      </c>
    </row>
    <row r="2" spans="1:9" x14ac:dyDescent="0.25">
      <c r="A2" s="35" t="s">
        <v>0</v>
      </c>
      <c r="B2" s="35" t="s">
        <v>1</v>
      </c>
      <c r="C2" s="35" t="s">
        <v>2</v>
      </c>
      <c r="D2" s="35" t="s">
        <v>3</v>
      </c>
      <c r="E2" s="35" t="s">
        <v>28</v>
      </c>
      <c r="F2" s="35" t="s">
        <v>30</v>
      </c>
      <c r="G2" s="35" t="s">
        <v>4</v>
      </c>
      <c r="H2" s="35" t="s">
        <v>5</v>
      </c>
      <c r="I2" s="35" t="s">
        <v>6</v>
      </c>
    </row>
    <row r="3" spans="1:9" hidden="1" x14ac:dyDescent="0.25">
      <c r="A3" s="36" t="s">
        <v>69</v>
      </c>
      <c r="B3" s="36" t="s">
        <v>141</v>
      </c>
      <c r="C3" s="36" t="s">
        <v>142</v>
      </c>
      <c r="D3" s="37">
        <f>SUMIF(RAW_File!D:D,C:C,RAW_File!F:F)</f>
        <v>878.12965676088584</v>
      </c>
      <c r="E3" s="38">
        <f>SUMIF(RAW_File!D:D,C:C,RAW_File!G:G)</f>
        <v>910</v>
      </c>
      <c r="F3" s="39">
        <f>SUMIF(RAW_File!D:D,C:C,RAW_File!I:I)</f>
        <v>2910</v>
      </c>
      <c r="G3" s="40">
        <f>SUMIF(RAW_File!D:D,C:C,RAW_File!K:K)</f>
        <v>0</v>
      </c>
      <c r="H3" s="41">
        <f>SUMIF(RAW_File!D:D,C:C,RAW_File!M:M)</f>
        <v>5000</v>
      </c>
      <c r="I3" s="40">
        <f t="shared" ref="I3:I66" si="1">ABS(G3-H3)</f>
        <v>5000</v>
      </c>
    </row>
    <row r="4" spans="1:9" hidden="1" x14ac:dyDescent="0.25">
      <c r="A4" s="36" t="s">
        <v>69</v>
      </c>
      <c r="B4" s="36" t="s">
        <v>165</v>
      </c>
      <c r="C4" s="36" t="s">
        <v>166</v>
      </c>
      <c r="D4" s="37">
        <f>SUMIF(RAW_File!D:D,C:C,RAW_File!F:F)</f>
        <v>7817.2391632772269</v>
      </c>
      <c r="E4" s="38">
        <f>SUMIF(RAW_File!D:D,C:C,RAW_File!G:G)</f>
        <v>6400</v>
      </c>
      <c r="F4" s="39">
        <f>SUMIF(RAW_File!D:D,C:C,RAW_File!I:I)</f>
        <v>15930</v>
      </c>
      <c r="G4" s="40">
        <f>SUMIF(RAW_File!D:D,C:C,RAW_File!K:K)</f>
        <v>0</v>
      </c>
      <c r="H4" s="41">
        <f>SUMIF(RAW_File!D:D,C:C,RAW_File!M:M)</f>
        <v>20000</v>
      </c>
      <c r="I4" s="40">
        <f t="shared" si="1"/>
        <v>20000</v>
      </c>
    </row>
    <row r="5" spans="1:9" hidden="1" x14ac:dyDescent="0.25">
      <c r="A5" s="36" t="s">
        <v>69</v>
      </c>
      <c r="B5" s="36" t="s">
        <v>167</v>
      </c>
      <c r="C5" s="36" t="s">
        <v>168</v>
      </c>
      <c r="D5" s="37">
        <f>SUMIF(RAW_File!D:D,C:C,RAW_File!F:F)</f>
        <v>18780.997200000002</v>
      </c>
      <c r="E5" s="38">
        <f>SUMIF(RAW_File!D:D,C:C,RAW_File!G:G)</f>
        <v>2015</v>
      </c>
      <c r="F5" s="39">
        <f>SUMIF(RAW_File!D:D,C:C,RAW_File!I:I)</f>
        <v>20795</v>
      </c>
      <c r="G5" s="40">
        <f>SUMIF(RAW_File!D:D,C:C,RAW_File!K:K)</f>
        <v>0</v>
      </c>
      <c r="H5" s="41">
        <f>SUMIF(RAW_File!D:D,C:C,RAW_File!M:M)</f>
        <v>7000</v>
      </c>
      <c r="I5" s="40">
        <f t="shared" si="1"/>
        <v>7000</v>
      </c>
    </row>
    <row r="6" spans="1:9" hidden="1" x14ac:dyDescent="0.25">
      <c r="A6" s="36" t="s">
        <v>69</v>
      </c>
      <c r="B6" s="36" t="s">
        <v>181</v>
      </c>
      <c r="C6" s="36" t="s">
        <v>182</v>
      </c>
      <c r="D6" s="37">
        <f>SUMIF(RAW_File!D:D,C:C,RAW_File!F:F)</f>
        <v>6493.2379000000001</v>
      </c>
      <c r="E6" s="38">
        <f>SUMIF(RAW_File!D:D,C:C,RAW_File!G:G)</f>
        <v>0</v>
      </c>
      <c r="F6" s="39">
        <f>SUMIF(RAW_File!D:D,C:C,RAW_File!I:I)</f>
        <v>3670</v>
      </c>
      <c r="G6" s="40">
        <f>SUMIF(RAW_File!D:D,C:C,RAW_File!K:K)</f>
        <v>0</v>
      </c>
      <c r="H6" s="41">
        <f>SUMIF(RAW_File!D:D,C:C,RAW_File!M:M)</f>
        <v>7000</v>
      </c>
      <c r="I6" s="40">
        <f t="shared" si="1"/>
        <v>7000</v>
      </c>
    </row>
    <row r="7" spans="1:9" hidden="1" x14ac:dyDescent="0.25">
      <c r="A7" s="36" t="s">
        <v>69</v>
      </c>
      <c r="B7" s="36" t="s">
        <v>292</v>
      </c>
      <c r="C7" s="36" t="s">
        <v>293</v>
      </c>
      <c r="D7" s="37">
        <f>SUMIF(RAW_File!D:D,C:C,RAW_File!F:F)</f>
        <v>13.213749999999999</v>
      </c>
      <c r="E7" s="38">
        <f>SUMIF(RAW_File!D:D,C:C,RAW_File!G:G)</f>
        <v>0</v>
      </c>
      <c r="F7" s="39">
        <f>SUMIF(RAW_File!D:D,C:C,RAW_File!I:I)</f>
        <v>0</v>
      </c>
      <c r="G7" s="40">
        <f>SUMIF(RAW_File!D:D,C:C,RAW_File!K:K)</f>
        <v>0</v>
      </c>
      <c r="H7" s="41">
        <f>SUMIF(RAW_File!D:D,C:C,RAW_File!M:M)</f>
        <v>0</v>
      </c>
      <c r="I7" s="40">
        <f t="shared" si="1"/>
        <v>0</v>
      </c>
    </row>
    <row r="8" spans="1:9" hidden="1" x14ac:dyDescent="0.25">
      <c r="A8" s="36" t="s">
        <v>69</v>
      </c>
      <c r="B8" s="36" t="s">
        <v>370</v>
      </c>
      <c r="C8" s="36" t="s">
        <v>371</v>
      </c>
      <c r="D8" s="37">
        <f>SUMIF(RAW_File!D:D,C:C,RAW_File!F:F)</f>
        <v>350.57995743487072</v>
      </c>
      <c r="E8" s="38">
        <f>SUMIF(RAW_File!D:D,C:C,RAW_File!G:G)</f>
        <v>53830</v>
      </c>
      <c r="F8" s="39">
        <f>SUMIF(RAW_File!D:D,C:C,RAW_File!I:I)</f>
        <v>78410</v>
      </c>
      <c r="G8" s="40">
        <f>SUMIF(RAW_File!D:D,C:C,RAW_File!K:K)</f>
        <v>12000</v>
      </c>
      <c r="H8" s="41">
        <f>SUMIF(RAW_File!D:D,C:C,RAW_File!M:M)</f>
        <v>0</v>
      </c>
      <c r="I8" s="40">
        <f t="shared" si="1"/>
        <v>12000</v>
      </c>
    </row>
    <row r="9" spans="1:9" hidden="1" x14ac:dyDescent="0.25">
      <c r="A9" s="36" t="s">
        <v>69</v>
      </c>
      <c r="B9" s="36" t="s">
        <v>699</v>
      </c>
      <c r="C9" s="36" t="s">
        <v>700</v>
      </c>
      <c r="D9" s="37">
        <f>SUMIF(RAW_File!D:D,C:C,RAW_File!F:F)</f>
        <v>8106.3918999999996</v>
      </c>
      <c r="E9" s="38">
        <f>SUMIF(RAW_File!D:D,C:C,RAW_File!G:G)</f>
        <v>1010</v>
      </c>
      <c r="F9" s="39">
        <f>SUMIF(RAW_File!D:D,C:C,RAW_File!I:I)</f>
        <v>1010</v>
      </c>
      <c r="G9" s="40">
        <f>SUMIF(RAW_File!D:D,C:C,RAW_File!K:K)</f>
        <v>0</v>
      </c>
      <c r="H9" s="41">
        <f>SUMIF(RAW_File!D:D,C:C,RAW_File!M:M)</f>
        <v>6000</v>
      </c>
      <c r="I9" s="40">
        <f t="shared" si="1"/>
        <v>6000</v>
      </c>
    </row>
    <row r="10" spans="1:9" hidden="1" x14ac:dyDescent="0.25">
      <c r="A10" s="36" t="s">
        <v>69</v>
      </c>
      <c r="B10" s="36" t="s">
        <v>775</v>
      </c>
      <c r="C10" s="36" t="s">
        <v>776</v>
      </c>
      <c r="D10" s="37">
        <f>SUMIF(RAW_File!D:D,C:C,RAW_File!F:F)</f>
        <v>11219.9516</v>
      </c>
      <c r="E10" s="38">
        <f>SUMIF(RAW_File!D:D,C:C,RAW_File!G:G)</f>
        <v>4970</v>
      </c>
      <c r="F10" s="39">
        <f>SUMIF(RAW_File!D:D,C:C,RAW_File!I:I)</f>
        <v>15170</v>
      </c>
      <c r="G10" s="40">
        <f>SUMIF(RAW_File!D:D,C:C,RAW_File!K:K)</f>
        <v>0</v>
      </c>
      <c r="H10" s="41">
        <f>SUMIF(RAW_File!D:D,C:C,RAW_File!M:M)</f>
        <v>20000</v>
      </c>
      <c r="I10" s="40">
        <f t="shared" si="1"/>
        <v>20000</v>
      </c>
    </row>
    <row r="11" spans="1:9" hidden="1" x14ac:dyDescent="0.25">
      <c r="A11" s="36" t="s">
        <v>69</v>
      </c>
      <c r="B11" s="36" t="s">
        <v>785</v>
      </c>
      <c r="C11" s="36" t="s">
        <v>786</v>
      </c>
      <c r="D11" s="37">
        <f>SUMIF(RAW_File!D:D,C:C,RAW_File!F:F)</f>
        <v>0.60835218583891471</v>
      </c>
      <c r="E11" s="38">
        <f>SUMIF(RAW_File!D:D,C:C,RAW_File!G:G)</f>
        <v>6190</v>
      </c>
      <c r="F11" s="39">
        <f>SUMIF(RAW_File!D:D,C:C,RAW_File!I:I)</f>
        <v>12280</v>
      </c>
      <c r="G11" s="40">
        <f>SUMIF(RAW_File!D:D,C:C,RAW_File!K:K)</f>
        <v>0</v>
      </c>
      <c r="H11" s="41">
        <f>SUMIF(RAW_File!D:D,C:C,RAW_File!M:M)</f>
        <v>6000</v>
      </c>
      <c r="I11" s="40">
        <f t="shared" si="1"/>
        <v>6000</v>
      </c>
    </row>
    <row r="12" spans="1:9" hidden="1" x14ac:dyDescent="0.25">
      <c r="A12" s="36" t="s">
        <v>69</v>
      </c>
      <c r="B12" s="36" t="s">
        <v>1085</v>
      </c>
      <c r="C12" s="36" t="s">
        <v>1086</v>
      </c>
      <c r="D12" s="37">
        <f>SUMIF(RAW_File!D:D,C:C,RAW_File!F:F)</f>
        <v>294.7653608360219</v>
      </c>
      <c r="E12" s="38">
        <f>SUMIF(RAW_File!D:D,C:C,RAW_File!G:G)</f>
        <v>15365</v>
      </c>
      <c r="F12" s="39">
        <f>SUMIF(RAW_File!D:D,C:C,RAW_File!I:I)</f>
        <v>15931</v>
      </c>
      <c r="G12" s="40">
        <f>SUMIF(RAW_File!D:D,C:C,RAW_File!K:K)</f>
        <v>17000</v>
      </c>
      <c r="H12" s="41">
        <f>SUMIF(RAW_File!D:D,C:C,RAW_File!M:M)</f>
        <v>2000</v>
      </c>
      <c r="I12" s="40">
        <f t="shared" si="1"/>
        <v>15000</v>
      </c>
    </row>
    <row r="13" spans="1:9" hidden="1" x14ac:dyDescent="0.25">
      <c r="A13" s="36" t="s">
        <v>69</v>
      </c>
      <c r="B13" s="36" t="s">
        <v>1107</v>
      </c>
      <c r="C13" s="36" t="s">
        <v>1108</v>
      </c>
      <c r="D13" s="37">
        <f>SUMIF(RAW_File!D:D,C:C,RAW_File!F:F)</f>
        <v>12780.576709556601</v>
      </c>
      <c r="E13" s="38">
        <f>SUMIF(RAW_File!D:D,C:C,RAW_File!G:G)</f>
        <v>1100</v>
      </c>
      <c r="F13" s="39">
        <f>SUMIF(RAW_File!D:D,C:C,RAW_File!I:I)</f>
        <v>11814</v>
      </c>
      <c r="G13" s="40">
        <f>SUMIF(RAW_File!D:D,C:C,RAW_File!K:K)</f>
        <v>0</v>
      </c>
      <c r="H13" s="41">
        <f>SUMIF(RAW_File!D:D,C:C,RAW_File!M:M)</f>
        <v>20000</v>
      </c>
      <c r="I13" s="40">
        <f t="shared" si="1"/>
        <v>20000</v>
      </c>
    </row>
    <row r="14" spans="1:9" hidden="1" x14ac:dyDescent="0.25">
      <c r="A14" s="36" t="s">
        <v>69</v>
      </c>
      <c r="B14" s="36" t="s">
        <v>1143</v>
      </c>
      <c r="C14" s="42" t="s">
        <v>1144</v>
      </c>
      <c r="D14" s="37">
        <f>SUMIF(RAW_File!D:D,C:C,RAW_File!F:F)</f>
        <v>11293.1754000043</v>
      </c>
      <c r="E14" s="38">
        <f>SUMIF(RAW_File!D:D,C:C,RAW_File!G:G)</f>
        <v>14850</v>
      </c>
      <c r="F14" s="39">
        <f>SUMIF(RAW_File!D:D,C:C,RAW_File!I:I)</f>
        <v>43580</v>
      </c>
      <c r="G14" s="40">
        <f>SUMIF(RAW_File!D:D,C:C,RAW_File!K:K)</f>
        <v>0</v>
      </c>
      <c r="H14" s="41">
        <f>SUMIF(RAW_File!D:D,C:C,RAW_File!M:M)</f>
        <v>16000</v>
      </c>
      <c r="I14" s="40">
        <f t="shared" si="1"/>
        <v>16000</v>
      </c>
    </row>
    <row r="15" spans="1:9" hidden="1" x14ac:dyDescent="0.25">
      <c r="A15" s="36" t="s">
        <v>69</v>
      </c>
      <c r="B15" s="36" t="s">
        <v>1193</v>
      </c>
      <c r="C15" s="36" t="s">
        <v>1194</v>
      </c>
      <c r="D15" s="37">
        <f>SUMIF(RAW_File!D:D,C:C,RAW_File!F:F)</f>
        <v>3390.8630000020999</v>
      </c>
      <c r="E15" s="38">
        <f>SUMIF(RAW_File!D:D,C:C,RAW_File!G:G)</f>
        <v>1800</v>
      </c>
      <c r="F15" s="39">
        <f>SUMIF(RAW_File!D:D,C:C,RAW_File!I:I)</f>
        <v>1960</v>
      </c>
      <c r="G15" s="40">
        <f>SUMIF(RAW_File!D:D,C:C,RAW_File!K:K)</f>
        <v>5000</v>
      </c>
      <c r="H15" s="41">
        <f>SUMIF(RAW_File!D:D,C:C,RAW_File!M:M)</f>
        <v>0</v>
      </c>
      <c r="I15" s="40">
        <f t="shared" si="1"/>
        <v>5000</v>
      </c>
    </row>
    <row r="16" spans="1:9" hidden="1" x14ac:dyDescent="0.25">
      <c r="A16" s="36" t="s">
        <v>69</v>
      </c>
      <c r="B16" s="36" t="s">
        <v>1267</v>
      </c>
      <c r="C16" s="36" t="s">
        <v>1268</v>
      </c>
      <c r="D16" s="37">
        <f>SUMIF(RAW_File!D:D,C:C,RAW_File!F:F)</f>
        <v>3675.5248999999999</v>
      </c>
      <c r="E16" s="38">
        <f>SUMIF(RAW_File!D:D,C:C,RAW_File!G:G)</f>
        <v>36200</v>
      </c>
      <c r="F16" s="39">
        <f>SUMIF(RAW_File!D:D,C:C,RAW_File!I:I)</f>
        <v>55980</v>
      </c>
      <c r="G16" s="40">
        <f>SUMIF(RAW_File!D:D,C:C,RAW_File!K:K)</f>
        <v>5000</v>
      </c>
      <c r="H16" s="41">
        <f>SUMIF(RAW_File!D:D,C:C,RAW_File!M:M)</f>
        <v>0</v>
      </c>
      <c r="I16" s="40">
        <f t="shared" si="1"/>
        <v>5000</v>
      </c>
    </row>
    <row r="17" spans="1:9" hidden="1" x14ac:dyDescent="0.25">
      <c r="A17" s="36" t="s">
        <v>69</v>
      </c>
      <c r="B17" s="36" t="s">
        <v>1283</v>
      </c>
      <c r="C17" s="36" t="s">
        <v>1284</v>
      </c>
      <c r="D17" s="37">
        <f>SUMIF(RAW_File!D:D,C:C,RAW_File!F:F)</f>
        <v>9538.5707864218639</v>
      </c>
      <c r="E17" s="38">
        <f>SUMIF(RAW_File!D:D,C:C,RAW_File!G:G)</f>
        <v>2385</v>
      </c>
      <c r="F17" s="39">
        <f>SUMIF(RAW_File!D:D,C:C,RAW_File!I:I)</f>
        <v>2385</v>
      </c>
      <c r="G17" s="40">
        <f>SUMIF(RAW_File!D:D,C:C,RAW_File!K:K)</f>
        <v>5000</v>
      </c>
      <c r="H17" s="41">
        <f>SUMIF(RAW_File!D:D,C:C,RAW_File!M:M)</f>
        <v>0</v>
      </c>
      <c r="I17" s="40">
        <f t="shared" si="1"/>
        <v>5000</v>
      </c>
    </row>
    <row r="18" spans="1:9" hidden="1" x14ac:dyDescent="0.25">
      <c r="A18" s="36" t="s">
        <v>69</v>
      </c>
      <c r="B18" s="36" t="s">
        <v>1340</v>
      </c>
      <c r="C18" s="36" t="s">
        <v>1341</v>
      </c>
      <c r="D18" s="37">
        <f>SUMIF(RAW_File!D:D,C:C,RAW_File!F:F)</f>
        <v>0.29465000000000002</v>
      </c>
      <c r="E18" s="38">
        <f>SUMIF(RAW_File!D:D,C:C,RAW_File!G:G)</f>
        <v>0</v>
      </c>
      <c r="F18" s="39">
        <f>SUMIF(RAW_File!D:D,C:C,RAW_File!I:I)</f>
        <v>0</v>
      </c>
      <c r="G18" s="40">
        <f>SUMIF(RAW_File!D:D,C:C,RAW_File!K:K)</f>
        <v>0</v>
      </c>
      <c r="H18" s="41">
        <f>SUMIF(RAW_File!D:D,C:C,RAW_File!M:M)</f>
        <v>0</v>
      </c>
      <c r="I18" s="40">
        <f t="shared" si="1"/>
        <v>0</v>
      </c>
    </row>
    <row r="19" spans="1:9" hidden="1" x14ac:dyDescent="0.25">
      <c r="A19" s="36" t="s">
        <v>69</v>
      </c>
      <c r="B19" s="36" t="s">
        <v>1077</v>
      </c>
      <c r="C19" s="36" t="s">
        <v>1358</v>
      </c>
      <c r="D19" s="37">
        <f>SUMIF(RAW_File!D:D,C:C,RAW_File!F:F)</f>
        <v>5172.6654483258071</v>
      </c>
      <c r="E19" s="38">
        <f>SUMIF(RAW_File!D:D,C:C,RAW_File!G:G)</f>
        <v>0</v>
      </c>
      <c r="F19" s="39">
        <f>SUMIF(RAW_File!D:D,C:C,RAW_File!I:I)</f>
        <v>25960</v>
      </c>
      <c r="G19" s="40">
        <f>SUMIF(RAW_File!D:D,C:C,RAW_File!K:K)</f>
        <v>0</v>
      </c>
      <c r="H19" s="41">
        <f>SUMIF(RAW_File!D:D,C:C,RAW_File!M:M)</f>
        <v>40000</v>
      </c>
      <c r="I19" s="40">
        <f t="shared" si="1"/>
        <v>40000</v>
      </c>
    </row>
    <row r="20" spans="1:9" hidden="1" x14ac:dyDescent="0.25">
      <c r="A20" s="36" t="s">
        <v>69</v>
      </c>
      <c r="B20" s="36" t="s">
        <v>1380</v>
      </c>
      <c r="C20" s="36" t="s">
        <v>1381</v>
      </c>
      <c r="D20" s="37">
        <f>SUMIF(RAW_File!D:D,C:C,RAW_File!F:F)</f>
        <v>6766.9138000000003</v>
      </c>
      <c r="E20" s="38">
        <f>SUMIF(RAW_File!D:D,C:C,RAW_File!G:G)</f>
        <v>1000</v>
      </c>
      <c r="F20" s="39">
        <f>SUMIF(RAW_File!D:D,C:C,RAW_File!I:I)</f>
        <v>1000</v>
      </c>
      <c r="G20" s="40">
        <f>SUMIF(RAW_File!D:D,C:C,RAW_File!K:K)</f>
        <v>5000</v>
      </c>
      <c r="H20" s="41">
        <f>SUMIF(RAW_File!D:D,C:C,RAW_File!M:M)</f>
        <v>0</v>
      </c>
      <c r="I20" s="40">
        <f t="shared" si="1"/>
        <v>5000</v>
      </c>
    </row>
    <row r="21" spans="1:9" hidden="1" x14ac:dyDescent="0.25">
      <c r="A21" s="36" t="s">
        <v>69</v>
      </c>
      <c r="B21" s="36" t="s">
        <v>1487</v>
      </c>
      <c r="C21" s="36" t="s">
        <v>1488</v>
      </c>
      <c r="D21" s="37">
        <f>SUMIF(RAW_File!D:D,C:C,RAW_File!F:F)</f>
        <v>7700.4862999999996</v>
      </c>
      <c r="E21" s="38">
        <f>SUMIF(RAW_File!D:D,C:C,RAW_File!G:G)</f>
        <v>300</v>
      </c>
      <c r="F21" s="39">
        <f>SUMIF(RAW_File!D:D,C:C,RAW_File!I:I)</f>
        <v>8990</v>
      </c>
      <c r="G21" s="40">
        <f>SUMIF(RAW_File!D:D,C:C,RAW_File!K:K)</f>
        <v>5000</v>
      </c>
      <c r="H21" s="41">
        <f>SUMIF(RAW_File!D:D,C:C,RAW_File!M:M)</f>
        <v>10000</v>
      </c>
      <c r="I21" s="40">
        <f t="shared" si="1"/>
        <v>5000</v>
      </c>
    </row>
    <row r="22" spans="1:9" hidden="1" x14ac:dyDescent="0.25">
      <c r="A22" s="36" t="s">
        <v>69</v>
      </c>
      <c r="B22" s="36" t="s">
        <v>1524</v>
      </c>
      <c r="C22" s="36" t="s">
        <v>1525</v>
      </c>
      <c r="D22" s="37">
        <f>SUMIF(RAW_File!D:D,C:C,RAW_File!F:F)</f>
        <v>10684.5995</v>
      </c>
      <c r="E22" s="38">
        <f>SUMIF(RAW_File!D:D,C:C,RAW_File!G:G)</f>
        <v>750</v>
      </c>
      <c r="F22" s="39">
        <f>SUMIF(RAW_File!D:D,C:C,RAW_File!I:I)</f>
        <v>5250</v>
      </c>
      <c r="G22" s="40">
        <f>SUMIF(RAW_File!D:D,C:C,RAW_File!K:K)</f>
        <v>5000</v>
      </c>
      <c r="H22" s="41">
        <f>SUMIF(RAW_File!D:D,C:C,RAW_File!M:M)</f>
        <v>0</v>
      </c>
      <c r="I22" s="40">
        <f t="shared" si="1"/>
        <v>5000</v>
      </c>
    </row>
    <row r="23" spans="1:9" hidden="1" x14ac:dyDescent="0.25">
      <c r="A23" s="36" t="s">
        <v>69</v>
      </c>
      <c r="B23" s="36" t="s">
        <v>1615</v>
      </c>
      <c r="C23" s="36" t="s">
        <v>1616</v>
      </c>
      <c r="D23" s="37">
        <f>SUMIF(RAW_File!D:D,C:C,RAW_File!F:F)</f>
        <v>4262.5842166668517</v>
      </c>
      <c r="E23" s="38">
        <f>SUMIF(RAW_File!D:D,C:C,RAW_File!G:G)</f>
        <v>500</v>
      </c>
      <c r="F23" s="39">
        <f>SUMIF(RAW_File!D:D,C:C,RAW_File!I:I)</f>
        <v>800</v>
      </c>
      <c r="G23" s="40">
        <f>SUMIF(RAW_File!D:D,C:C,RAW_File!K:K)</f>
        <v>5000</v>
      </c>
      <c r="H23" s="41">
        <f>SUMIF(RAW_File!D:D,C:C,RAW_File!M:M)</f>
        <v>0</v>
      </c>
      <c r="I23" s="40">
        <f t="shared" si="1"/>
        <v>5000</v>
      </c>
    </row>
    <row r="24" spans="1:9" hidden="1" x14ac:dyDescent="0.25">
      <c r="A24" s="36" t="s">
        <v>69</v>
      </c>
      <c r="B24" s="36" t="s">
        <v>1939</v>
      </c>
      <c r="C24" s="36" t="s">
        <v>1940</v>
      </c>
      <c r="D24" s="37">
        <f>SUMIF(RAW_File!D:D,C:C,RAW_File!F:F)</f>
        <v>7447.2391183107693</v>
      </c>
      <c r="E24" s="38">
        <f>SUMIF(RAW_File!D:D,C:C,RAW_File!G:G)</f>
        <v>0</v>
      </c>
      <c r="F24" s="39">
        <f>SUMIF(RAW_File!D:D,C:C,RAW_File!I:I)</f>
        <v>2120</v>
      </c>
      <c r="G24" s="40">
        <f>SUMIF(RAW_File!D:D,C:C,RAW_File!K:K)</f>
        <v>5000</v>
      </c>
      <c r="H24" s="41">
        <f>SUMIF(RAW_File!D:D,C:C,RAW_File!M:M)</f>
        <v>0</v>
      </c>
      <c r="I24" s="40">
        <f t="shared" si="1"/>
        <v>5000</v>
      </c>
    </row>
    <row r="25" spans="1:9" hidden="1" x14ac:dyDescent="0.25">
      <c r="A25" s="36" t="s">
        <v>69</v>
      </c>
      <c r="B25" s="36" t="s">
        <v>1968</v>
      </c>
      <c r="C25" s="36" t="s">
        <v>1969</v>
      </c>
      <c r="D25" s="37">
        <f>SUMIF(RAW_File!D:D,C:C,RAW_File!F:F)</f>
        <v>7.8778023251089238</v>
      </c>
      <c r="E25" s="38">
        <f>SUMIF(RAW_File!D:D,C:C,RAW_File!G:G)</f>
        <v>1415</v>
      </c>
      <c r="F25" s="39">
        <f>SUMIF(RAW_File!D:D,C:C,RAW_File!I:I)</f>
        <v>1415</v>
      </c>
      <c r="G25" s="40">
        <f>SUMIF(RAW_File!D:D,C:C,RAW_File!K:K)</f>
        <v>5000</v>
      </c>
      <c r="H25" s="41">
        <f>SUMIF(RAW_File!D:D,C:C,RAW_File!M:M)</f>
        <v>0</v>
      </c>
      <c r="I25" s="40">
        <f t="shared" si="1"/>
        <v>5000</v>
      </c>
    </row>
    <row r="26" spans="1:9" hidden="1" x14ac:dyDescent="0.25">
      <c r="A26" s="36" t="s">
        <v>69</v>
      </c>
      <c r="B26" s="36" t="s">
        <v>1994</v>
      </c>
      <c r="C26" s="36" t="s">
        <v>1995</v>
      </c>
      <c r="D26" s="37">
        <f>SUMIF(RAW_File!D:D,C:C,RAW_File!F:F)</f>
        <v>412.61590434779998</v>
      </c>
      <c r="E26" s="38">
        <f>SUMIF(RAW_File!D:D,C:C,RAW_File!G:G)</f>
        <v>5000</v>
      </c>
      <c r="F26" s="39">
        <f>SUMIF(RAW_File!D:D,C:C,RAW_File!I:I)</f>
        <v>10300</v>
      </c>
      <c r="G26" s="40">
        <f>SUMIF(RAW_File!D:D,C:C,RAW_File!K:K)</f>
        <v>5000</v>
      </c>
      <c r="H26" s="41">
        <f>SUMIF(RAW_File!D:D,C:C,RAW_File!M:M)</f>
        <v>10000</v>
      </c>
      <c r="I26" s="40">
        <f t="shared" si="1"/>
        <v>5000</v>
      </c>
    </row>
    <row r="27" spans="1:9" hidden="1" x14ac:dyDescent="0.25">
      <c r="A27" s="36" t="s">
        <v>69</v>
      </c>
      <c r="B27" s="36" t="s">
        <v>2059</v>
      </c>
      <c r="C27" s="36" t="s">
        <v>2060</v>
      </c>
      <c r="D27" s="37">
        <f>SUMIF(RAW_File!D:D,C:C,RAW_File!F:F)</f>
        <v>557.82339656785484</v>
      </c>
      <c r="E27" s="38">
        <f>SUMIF(RAW_File!D:D,C:C,RAW_File!G:G)</f>
        <v>11030</v>
      </c>
      <c r="F27" s="39">
        <f>SUMIF(RAW_File!D:D,C:C,RAW_File!I:I)</f>
        <v>16849</v>
      </c>
      <c r="G27" s="40">
        <f>SUMIF(RAW_File!D:D,C:C,RAW_File!K:K)</f>
        <v>10000</v>
      </c>
      <c r="H27" s="41">
        <f>SUMIF(RAW_File!D:D,C:C,RAW_File!M:M)</f>
        <v>5000</v>
      </c>
      <c r="I27" s="40">
        <f t="shared" si="1"/>
        <v>5000</v>
      </c>
    </row>
    <row r="28" spans="1:9" hidden="1" x14ac:dyDescent="0.25">
      <c r="A28" s="36" t="s">
        <v>69</v>
      </c>
      <c r="B28" s="36" t="s">
        <v>2105</v>
      </c>
      <c r="C28" s="36" t="s">
        <v>2106</v>
      </c>
      <c r="D28" s="37">
        <f>SUMIF(RAW_File!D:D,C:C,RAW_File!F:F)</f>
        <v>4243.4850999999999</v>
      </c>
      <c r="E28" s="38">
        <f>SUMIF(RAW_File!D:D,C:C,RAW_File!G:G)</f>
        <v>7630</v>
      </c>
      <c r="F28" s="39">
        <f>SUMIF(RAW_File!D:D,C:C,RAW_File!I:I)</f>
        <v>12080</v>
      </c>
      <c r="G28" s="40">
        <f>SUMIF(RAW_File!D:D,C:C,RAW_File!K:K)</f>
        <v>6000</v>
      </c>
      <c r="H28" s="41">
        <f>SUMIF(RAW_File!D:D,C:C,RAW_File!M:M)</f>
        <v>0</v>
      </c>
      <c r="I28" s="40">
        <f t="shared" si="1"/>
        <v>6000</v>
      </c>
    </row>
    <row r="29" spans="1:9" hidden="1" x14ac:dyDescent="0.25">
      <c r="A29" s="36" t="s">
        <v>69</v>
      </c>
      <c r="B29" s="36" t="s">
        <v>2111</v>
      </c>
      <c r="C29" s="36" t="s">
        <v>2112</v>
      </c>
      <c r="D29" s="37">
        <f>SUMIF(RAW_File!D:D,C:C,RAW_File!F:F)</f>
        <v>2044.0232172808551</v>
      </c>
      <c r="E29" s="38">
        <f>SUMIF(RAW_File!D:D,C:C,RAW_File!G:G)</f>
        <v>4285</v>
      </c>
      <c r="F29" s="39">
        <f>SUMIF(RAW_File!D:D,C:C,RAW_File!I:I)</f>
        <v>9310</v>
      </c>
      <c r="G29" s="40">
        <f>SUMIF(RAW_File!D:D,C:C,RAW_File!K:K)</f>
        <v>0</v>
      </c>
      <c r="H29" s="41">
        <f>SUMIF(RAW_File!D:D,C:C,RAW_File!M:M)</f>
        <v>0</v>
      </c>
      <c r="I29" s="40">
        <f t="shared" si="1"/>
        <v>0</v>
      </c>
    </row>
    <row r="30" spans="1:9" hidden="1" x14ac:dyDescent="0.25">
      <c r="A30" s="36" t="s">
        <v>69</v>
      </c>
      <c r="B30" s="36" t="s">
        <v>2217</v>
      </c>
      <c r="C30" s="36" t="s">
        <v>2218</v>
      </c>
      <c r="D30" s="37">
        <f>SUMIF(RAW_File!D:D,C:C,RAW_File!F:F)</f>
        <v>96.038250000000005</v>
      </c>
      <c r="E30" s="38">
        <f>SUMIF(RAW_File!D:D,C:C,RAW_File!G:G)</f>
        <v>1550</v>
      </c>
      <c r="F30" s="39">
        <f>SUMIF(RAW_File!D:D,C:C,RAW_File!I:I)</f>
        <v>3162</v>
      </c>
      <c r="G30" s="40">
        <f>SUMIF(RAW_File!D:D,C:C,RAW_File!K:K)</f>
        <v>5000</v>
      </c>
      <c r="H30" s="41">
        <f>SUMIF(RAW_File!D:D,C:C,RAW_File!M:M)</f>
        <v>13000</v>
      </c>
      <c r="I30" s="40">
        <f t="shared" si="1"/>
        <v>8000</v>
      </c>
    </row>
    <row r="31" spans="1:9" hidden="1" x14ac:dyDescent="0.25">
      <c r="A31" s="36" t="s">
        <v>69</v>
      </c>
      <c r="B31" s="36" t="s">
        <v>2229</v>
      </c>
      <c r="C31" s="36" t="s">
        <v>2230</v>
      </c>
      <c r="D31" s="37">
        <f>SUMIF(RAW_File!D:D,C:C,RAW_File!F:F)</f>
        <v>30845.057199999999</v>
      </c>
      <c r="E31" s="38">
        <f>SUMIF(RAW_File!D:D,C:C,RAW_File!G:G)</f>
        <v>3060</v>
      </c>
      <c r="F31" s="39">
        <f>SUMIF(RAW_File!D:D,C:C,RAW_File!I:I)</f>
        <v>9060</v>
      </c>
      <c r="G31" s="40">
        <f>SUMIF(RAW_File!D:D,C:C,RAW_File!K:K)</f>
        <v>25000</v>
      </c>
      <c r="H31" s="41">
        <f>SUMIF(RAW_File!D:D,C:C,RAW_File!M:M)</f>
        <v>0</v>
      </c>
      <c r="I31" s="40">
        <f t="shared" si="1"/>
        <v>25000</v>
      </c>
    </row>
    <row r="32" spans="1:9" hidden="1" x14ac:dyDescent="0.25">
      <c r="A32" s="36" t="s">
        <v>69</v>
      </c>
      <c r="B32" s="36" t="s">
        <v>145</v>
      </c>
      <c r="C32" s="36" t="s">
        <v>2300</v>
      </c>
      <c r="D32" s="37">
        <f>SUMIF(RAW_File!D:D,C:C,RAW_File!F:F)</f>
        <v>6010.1151</v>
      </c>
      <c r="E32" s="38">
        <f>SUMIF(RAW_File!D:D,C:C,RAW_File!G:G)</f>
        <v>0</v>
      </c>
      <c r="F32" s="39">
        <f>SUMIF(RAW_File!D:D,C:C,RAW_File!I:I)</f>
        <v>0</v>
      </c>
      <c r="G32" s="40">
        <f>SUMIF(RAW_File!D:D,C:C,RAW_File!K:K)</f>
        <v>6000</v>
      </c>
      <c r="H32" s="41">
        <f>SUMIF(RAW_File!D:D,C:C,RAW_File!M:M)</f>
        <v>0</v>
      </c>
      <c r="I32" s="40">
        <f t="shared" si="1"/>
        <v>6000</v>
      </c>
    </row>
    <row r="33" spans="1:9" hidden="1" x14ac:dyDescent="0.25">
      <c r="A33" s="36" t="s">
        <v>69</v>
      </c>
      <c r="B33" s="36" t="s">
        <v>2375</v>
      </c>
      <c r="C33" s="36" t="s">
        <v>2376</v>
      </c>
      <c r="D33" s="37">
        <f>SUMIF(RAW_File!D:D,C:C,RAW_File!F:F)</f>
        <v>14334.54709478607</v>
      </c>
      <c r="E33" s="38">
        <f>SUMIF(RAW_File!D:D,C:C,RAW_File!G:G)</f>
        <v>4520</v>
      </c>
      <c r="F33" s="39">
        <f>SUMIF(RAW_File!D:D,C:C,RAW_File!I:I)</f>
        <v>37990</v>
      </c>
      <c r="G33" s="40">
        <f>SUMIF(RAW_File!D:D,C:C,RAW_File!K:K)</f>
        <v>0</v>
      </c>
      <c r="H33" s="41">
        <f>SUMIF(RAW_File!D:D,C:C,RAW_File!M:M)</f>
        <v>45000</v>
      </c>
      <c r="I33" s="40">
        <f t="shared" si="1"/>
        <v>45000</v>
      </c>
    </row>
    <row r="34" spans="1:9" hidden="1" x14ac:dyDescent="0.25">
      <c r="A34" s="36" t="s">
        <v>69</v>
      </c>
      <c r="B34" s="36" t="s">
        <v>2477</v>
      </c>
      <c r="C34" s="36" t="s">
        <v>2478</v>
      </c>
      <c r="D34" s="37">
        <f>SUMIF(RAW_File!D:D,C:C,RAW_File!F:F)</f>
        <v>22445.7124</v>
      </c>
      <c r="E34" s="38">
        <f>SUMIF(RAW_File!D:D,C:C,RAW_File!G:G)</f>
        <v>20020</v>
      </c>
      <c r="F34" s="39">
        <f>SUMIF(RAW_File!D:D,C:C,RAW_File!I:I)</f>
        <v>37180</v>
      </c>
      <c r="G34" s="40">
        <f>SUMIF(RAW_File!D:D,C:C,RAW_File!K:K)</f>
        <v>0</v>
      </c>
      <c r="H34" s="41">
        <f>SUMIF(RAW_File!D:D,C:C,RAW_File!M:M)</f>
        <v>10000</v>
      </c>
      <c r="I34" s="40">
        <f t="shared" si="1"/>
        <v>10000</v>
      </c>
    </row>
    <row r="35" spans="1:9" hidden="1" x14ac:dyDescent="0.25">
      <c r="A35" s="36" t="s">
        <v>69</v>
      </c>
      <c r="B35" s="36" t="s">
        <v>2515</v>
      </c>
      <c r="C35" s="36" t="s">
        <v>2516</v>
      </c>
      <c r="D35" s="37">
        <f>SUMIF(RAW_File!D:D,C:C,RAW_File!F:F)</f>
        <v>22.168299999999999</v>
      </c>
      <c r="E35" s="38">
        <f>SUMIF(RAW_File!D:D,C:C,RAW_File!G:G)</f>
        <v>0</v>
      </c>
      <c r="F35" s="39">
        <f>SUMIF(RAW_File!D:D,C:C,RAW_File!I:I)</f>
        <v>0</v>
      </c>
      <c r="G35" s="40">
        <f>SUMIF(RAW_File!D:D,C:C,RAW_File!K:K)</f>
        <v>0</v>
      </c>
      <c r="H35" s="41">
        <f>SUMIF(RAW_File!D:D,C:C,RAW_File!M:M)</f>
        <v>0</v>
      </c>
      <c r="I35" s="40">
        <f t="shared" si="1"/>
        <v>0</v>
      </c>
    </row>
    <row r="36" spans="1:9" hidden="1" x14ac:dyDescent="0.25">
      <c r="A36" s="36" t="s">
        <v>69</v>
      </c>
      <c r="B36" s="36" t="s">
        <v>2341</v>
      </c>
      <c r="C36" s="36" t="s">
        <v>2700</v>
      </c>
      <c r="D36" s="37">
        <f>SUMIF(RAW_File!D:D,C:C,RAW_File!F:F)</f>
        <v>12154.4342</v>
      </c>
      <c r="E36" s="38">
        <f>SUMIF(RAW_File!D:D,C:C,RAW_File!G:G)</f>
        <v>23480</v>
      </c>
      <c r="F36" s="39">
        <f>SUMIF(RAW_File!D:D,C:C,RAW_File!I:I)</f>
        <v>38810</v>
      </c>
      <c r="G36" s="40">
        <f>SUMIF(RAW_File!D:D,C:C,RAW_File!K:K)</f>
        <v>5000</v>
      </c>
      <c r="H36" s="41">
        <f>SUMIF(RAW_File!D:D,C:C,RAW_File!M:M)</f>
        <v>0</v>
      </c>
      <c r="I36" s="40">
        <f t="shared" si="1"/>
        <v>5000</v>
      </c>
    </row>
    <row r="37" spans="1:9" hidden="1" x14ac:dyDescent="0.25">
      <c r="A37" s="36" t="s">
        <v>69</v>
      </c>
      <c r="B37" s="36" t="s">
        <v>2756</v>
      </c>
      <c r="C37" s="36" t="s">
        <v>2757</v>
      </c>
      <c r="D37" s="37">
        <f>SUMIF(RAW_File!D:D,C:C,RAW_File!F:F)</f>
        <v>233.76169999999999</v>
      </c>
      <c r="E37" s="38">
        <f>SUMIF(RAW_File!D:D,C:C,RAW_File!G:G)</f>
        <v>91600</v>
      </c>
      <c r="F37" s="39">
        <f>SUMIF(RAW_File!D:D,C:C,RAW_File!I:I)</f>
        <v>169330</v>
      </c>
      <c r="G37" s="40">
        <f>SUMIF(RAW_File!D:D,C:C,RAW_File!K:K)</f>
        <v>0</v>
      </c>
      <c r="H37" s="41">
        <f>SUMIF(RAW_File!D:D,C:C,RAW_File!M:M)</f>
        <v>0</v>
      </c>
      <c r="I37" s="40">
        <f t="shared" si="1"/>
        <v>0</v>
      </c>
    </row>
    <row r="38" spans="1:9" hidden="1" x14ac:dyDescent="0.25">
      <c r="A38" s="36" t="s">
        <v>69</v>
      </c>
      <c r="B38" s="36" t="s">
        <v>2804</v>
      </c>
      <c r="C38" s="36" t="s">
        <v>2805</v>
      </c>
      <c r="D38" s="37">
        <f>SUMIF(RAW_File!D:D,C:C,RAW_File!F:F)</f>
        <v>140.44675960524029</v>
      </c>
      <c r="E38" s="38">
        <f>SUMIF(RAW_File!D:D,C:C,RAW_File!G:G)</f>
        <v>0</v>
      </c>
      <c r="F38" s="39">
        <f>SUMIF(RAW_File!D:D,C:C,RAW_File!I:I)</f>
        <v>4246</v>
      </c>
      <c r="G38" s="40">
        <f>SUMIF(RAW_File!D:D,C:C,RAW_File!K:K)</f>
        <v>0</v>
      </c>
      <c r="H38" s="41">
        <f>SUMIF(RAW_File!D:D,C:C,RAW_File!M:M)</f>
        <v>5000</v>
      </c>
      <c r="I38" s="40">
        <f t="shared" si="1"/>
        <v>5000</v>
      </c>
    </row>
    <row r="39" spans="1:9" hidden="1" x14ac:dyDescent="0.25">
      <c r="A39" s="36" t="s">
        <v>69</v>
      </c>
      <c r="B39" s="36" t="s">
        <v>2822</v>
      </c>
      <c r="C39" s="36" t="s">
        <v>2823</v>
      </c>
      <c r="D39" s="37">
        <f>SUMIF(RAW_File!D:D,C:C,RAW_File!F:F)</f>
        <v>16374.716934355711</v>
      </c>
      <c r="E39" s="38">
        <f>SUMIF(RAW_File!D:D,C:C,RAW_File!G:G)</f>
        <v>26705</v>
      </c>
      <c r="F39" s="39">
        <f>SUMIF(RAW_File!D:D,C:C,RAW_File!I:I)</f>
        <v>35095</v>
      </c>
      <c r="G39" s="40">
        <f>SUMIF(RAW_File!D:D,C:C,RAW_File!K:K)</f>
        <v>0</v>
      </c>
      <c r="H39" s="41">
        <f>SUMIF(RAW_File!D:D,C:C,RAW_File!M:M)</f>
        <v>0</v>
      </c>
      <c r="I39" s="40">
        <f t="shared" si="1"/>
        <v>0</v>
      </c>
    </row>
    <row r="40" spans="1:9" hidden="1" x14ac:dyDescent="0.25">
      <c r="A40" s="36" t="s">
        <v>69</v>
      </c>
      <c r="B40" s="36" t="s">
        <v>2857</v>
      </c>
      <c r="C40" s="36" t="s">
        <v>2858</v>
      </c>
      <c r="D40" s="37">
        <f>SUMIF(RAW_File!D:D,C:C,RAW_File!F:F)</f>
        <v>94.471291890334413</v>
      </c>
      <c r="E40" s="38">
        <f>SUMIF(RAW_File!D:D,C:C,RAW_File!G:G)</f>
        <v>1900</v>
      </c>
      <c r="F40" s="39">
        <f>SUMIF(RAW_File!D:D,C:C,RAW_File!I:I)</f>
        <v>1900</v>
      </c>
      <c r="G40" s="40">
        <f>SUMIF(RAW_File!D:D,C:C,RAW_File!K:K)</f>
        <v>0</v>
      </c>
      <c r="H40" s="41">
        <f>SUMIF(RAW_File!D:D,C:C,RAW_File!M:M)</f>
        <v>0</v>
      </c>
      <c r="I40" s="40">
        <f t="shared" si="1"/>
        <v>0</v>
      </c>
    </row>
    <row r="41" spans="1:9" hidden="1" x14ac:dyDescent="0.25">
      <c r="A41" s="36" t="s">
        <v>69</v>
      </c>
      <c r="B41" s="36" t="s">
        <v>2928</v>
      </c>
      <c r="C41" s="36" t="s">
        <v>2929</v>
      </c>
      <c r="D41" s="37">
        <f>SUMIF(RAW_File!D:D,C:C,RAW_File!F:F)</f>
        <v>8977.2524449483171</v>
      </c>
      <c r="E41" s="38">
        <f>SUMIF(RAW_File!D:D,C:C,RAW_File!G:G)</f>
        <v>2810</v>
      </c>
      <c r="F41" s="39">
        <f>SUMIF(RAW_File!D:D,C:C,RAW_File!I:I)</f>
        <v>4802</v>
      </c>
      <c r="G41" s="40">
        <f>SUMIF(RAW_File!D:D,C:C,RAW_File!K:K)</f>
        <v>5000</v>
      </c>
      <c r="H41" s="41">
        <f>SUMIF(RAW_File!D:D,C:C,RAW_File!M:M)</f>
        <v>0</v>
      </c>
      <c r="I41" s="40">
        <f t="shared" si="1"/>
        <v>5000</v>
      </c>
    </row>
    <row r="42" spans="1:9" hidden="1" x14ac:dyDescent="0.25">
      <c r="A42" s="36" t="s">
        <v>69</v>
      </c>
      <c r="B42" s="36" t="s">
        <v>2961</v>
      </c>
      <c r="C42" s="36" t="s">
        <v>2962</v>
      </c>
      <c r="D42" s="37">
        <f>SUMIF(RAW_File!D:D,C:C,RAW_File!F:F)</f>
        <v>8934.4592910253305</v>
      </c>
      <c r="E42" s="38">
        <f>SUMIF(RAW_File!D:D,C:C,RAW_File!G:G)</f>
        <v>320</v>
      </c>
      <c r="F42" s="39">
        <f>SUMIF(RAW_File!D:D,C:C,RAW_File!I:I)</f>
        <v>16680</v>
      </c>
      <c r="G42" s="40">
        <f>SUMIF(RAW_File!D:D,C:C,RAW_File!K:K)</f>
        <v>0</v>
      </c>
      <c r="H42" s="41">
        <f>SUMIF(RAW_File!D:D,C:C,RAW_File!M:M)</f>
        <v>35000</v>
      </c>
      <c r="I42" s="40">
        <f t="shared" si="1"/>
        <v>35000</v>
      </c>
    </row>
    <row r="43" spans="1:9" hidden="1" x14ac:dyDescent="0.25">
      <c r="A43" s="36" t="s">
        <v>69</v>
      </c>
      <c r="B43" s="36" t="s">
        <v>3173</v>
      </c>
      <c r="C43" s="36" t="s">
        <v>3174</v>
      </c>
      <c r="D43" s="37">
        <f>SUMIF(RAW_File!D:D,C:C,RAW_File!F:F)</f>
        <v>333.01728063776318</v>
      </c>
      <c r="E43" s="38">
        <f>SUMIF(RAW_File!D:D,C:C,RAW_File!G:G)</f>
        <v>1210</v>
      </c>
      <c r="F43" s="39">
        <f>SUMIF(RAW_File!D:D,C:C,RAW_File!I:I)</f>
        <v>1210</v>
      </c>
      <c r="G43" s="40">
        <f>SUMIF(RAW_File!D:D,C:C,RAW_File!K:K)</f>
        <v>5000</v>
      </c>
      <c r="H43" s="41">
        <f>SUMIF(RAW_File!D:D,C:C,RAW_File!M:M)</f>
        <v>0</v>
      </c>
      <c r="I43" s="40">
        <f t="shared" si="1"/>
        <v>5000</v>
      </c>
    </row>
    <row r="44" spans="1:9" hidden="1" x14ac:dyDescent="0.25">
      <c r="A44" s="36" t="s">
        <v>69</v>
      </c>
      <c r="B44" s="36" t="s">
        <v>3359</v>
      </c>
      <c r="C44" s="36" t="s">
        <v>3360</v>
      </c>
      <c r="D44" s="37">
        <f>SUMIF(RAW_File!D:D,C:C,RAW_File!F:F)</f>
        <v>126.8678874823146</v>
      </c>
      <c r="E44" s="38">
        <f>SUMIF(RAW_File!D:D,C:C,RAW_File!G:G)</f>
        <v>150</v>
      </c>
      <c r="F44" s="39">
        <f>SUMIF(RAW_File!D:D,C:C,RAW_File!I:I)</f>
        <v>7650</v>
      </c>
      <c r="G44" s="40">
        <f>SUMIF(RAW_File!D:D,C:C,RAW_File!K:K)</f>
        <v>0</v>
      </c>
      <c r="H44" s="41">
        <f>SUMIF(RAW_File!D:D,C:C,RAW_File!M:M)</f>
        <v>10000</v>
      </c>
      <c r="I44" s="40">
        <f t="shared" si="1"/>
        <v>10000</v>
      </c>
    </row>
    <row r="45" spans="1:9" hidden="1" x14ac:dyDescent="0.25">
      <c r="A45" s="36" t="s">
        <v>53</v>
      </c>
      <c r="B45" s="36" t="s">
        <v>191</v>
      </c>
      <c r="C45" s="36" t="s">
        <v>192</v>
      </c>
      <c r="D45" s="37">
        <f>SUMIF(RAW_File!D:D,C:C,RAW_File!F:F)</f>
        <v>3826.1637227824999</v>
      </c>
      <c r="E45" s="38">
        <f>SUMIF(RAW_File!D:D,C:C,RAW_File!G:G)</f>
        <v>28640</v>
      </c>
      <c r="F45" s="39">
        <f>SUMIF(RAW_File!D:D,C:C,RAW_File!I:I)</f>
        <v>87760</v>
      </c>
      <c r="G45" s="40">
        <f>SUMIF(RAW_File!D:D,C:C,RAW_File!K:K)</f>
        <v>0</v>
      </c>
      <c r="H45" s="41">
        <f>SUMIF(RAW_File!D:D,C:C,RAW_File!M:M)</f>
        <v>45000</v>
      </c>
      <c r="I45" s="40">
        <f t="shared" si="1"/>
        <v>45000</v>
      </c>
    </row>
    <row r="46" spans="1:9" hidden="1" x14ac:dyDescent="0.25">
      <c r="A46" s="36" t="s">
        <v>53</v>
      </c>
      <c r="B46" s="36" t="s">
        <v>201</v>
      </c>
      <c r="C46" s="36" t="s">
        <v>202</v>
      </c>
      <c r="D46" s="37">
        <f>SUMIF(RAW_File!D:D,C:C,RAW_File!F:F)</f>
        <v>5442.8198788504487</v>
      </c>
      <c r="E46" s="38">
        <f>SUMIF(RAW_File!D:D,C:C,RAW_File!G:G)</f>
        <v>4645</v>
      </c>
      <c r="F46" s="39">
        <f>SUMIF(RAW_File!D:D,C:C,RAW_File!I:I)</f>
        <v>11745</v>
      </c>
      <c r="G46" s="40">
        <f>SUMIF(RAW_File!D:D,C:C,RAW_File!K:K)</f>
        <v>0</v>
      </c>
      <c r="H46" s="41">
        <f>SUMIF(RAW_File!D:D,C:C,RAW_File!M:M)</f>
        <v>0</v>
      </c>
      <c r="I46" s="40">
        <f t="shared" si="1"/>
        <v>0</v>
      </c>
    </row>
    <row r="47" spans="1:9" hidden="1" x14ac:dyDescent="0.25">
      <c r="A47" s="36" t="s">
        <v>53</v>
      </c>
      <c r="B47" s="36" t="s">
        <v>282</v>
      </c>
      <c r="C47" s="36" t="s">
        <v>283</v>
      </c>
      <c r="D47" s="37">
        <f>SUMIF(RAW_File!D:D,C:C,RAW_File!F:F)</f>
        <v>2788.9833065865232</v>
      </c>
      <c r="E47" s="38">
        <f>SUMIF(RAW_File!D:D,C:C,RAW_File!G:G)</f>
        <v>500</v>
      </c>
      <c r="F47" s="39">
        <f>SUMIF(RAW_File!D:D,C:C,RAW_File!I:I)</f>
        <v>500</v>
      </c>
      <c r="G47" s="40">
        <f>SUMIF(RAW_File!D:D,C:C,RAW_File!K:K)</f>
        <v>0</v>
      </c>
      <c r="H47" s="41">
        <f>SUMIF(RAW_File!D:D,C:C,RAW_File!M:M)</f>
        <v>8000</v>
      </c>
      <c r="I47" s="40">
        <f t="shared" si="1"/>
        <v>8000</v>
      </c>
    </row>
    <row r="48" spans="1:9" hidden="1" x14ac:dyDescent="0.25">
      <c r="A48" s="36" t="s">
        <v>53</v>
      </c>
      <c r="B48" s="36" t="s">
        <v>290</v>
      </c>
      <c r="C48" s="36" t="s">
        <v>291</v>
      </c>
      <c r="D48" s="37">
        <f>SUMIF(RAW_File!D:D,C:C,RAW_File!F:F)</f>
        <v>4532.1406350002917</v>
      </c>
      <c r="E48" s="38">
        <f>SUMIF(RAW_File!D:D,C:C,RAW_File!G:G)</f>
        <v>510</v>
      </c>
      <c r="F48" s="39">
        <f>SUMIF(RAW_File!D:D,C:C,RAW_File!I:I)</f>
        <v>510</v>
      </c>
      <c r="G48" s="40">
        <f>SUMIF(RAW_File!D:D,C:C,RAW_File!K:K)</f>
        <v>5000</v>
      </c>
      <c r="H48" s="41">
        <f>SUMIF(RAW_File!D:D,C:C,RAW_File!M:M)</f>
        <v>0</v>
      </c>
      <c r="I48" s="40">
        <f t="shared" si="1"/>
        <v>5000</v>
      </c>
    </row>
    <row r="49" spans="1:9" hidden="1" x14ac:dyDescent="0.25">
      <c r="A49" s="36" t="s">
        <v>53</v>
      </c>
      <c r="B49" s="36" t="s">
        <v>302</v>
      </c>
      <c r="C49" s="36" t="s">
        <v>303</v>
      </c>
      <c r="D49" s="37">
        <f>SUMIF(RAW_File!D:D,C:C,RAW_File!F:F)</f>
        <v>12573.688713717909</v>
      </c>
      <c r="E49" s="38">
        <f>SUMIF(RAW_File!D:D,C:C,RAW_File!G:G)</f>
        <v>1000</v>
      </c>
      <c r="F49" s="39">
        <f>SUMIF(RAW_File!D:D,C:C,RAW_File!I:I)</f>
        <v>2500</v>
      </c>
      <c r="G49" s="40">
        <f>SUMIF(RAW_File!D:D,C:C,RAW_File!K:K)</f>
        <v>6000</v>
      </c>
      <c r="H49" s="41">
        <f>SUMIF(RAW_File!D:D,C:C,RAW_File!M:M)</f>
        <v>0</v>
      </c>
      <c r="I49" s="40">
        <f t="shared" si="1"/>
        <v>6000</v>
      </c>
    </row>
    <row r="50" spans="1:9" hidden="1" x14ac:dyDescent="0.25">
      <c r="A50" s="36" t="s">
        <v>53</v>
      </c>
      <c r="B50" s="36" t="s">
        <v>306</v>
      </c>
      <c r="C50" s="36" t="s">
        <v>307</v>
      </c>
      <c r="D50" s="37">
        <f>SUMIF(RAW_File!D:D,C:C,RAW_File!F:F)</f>
        <v>47.23111536195956</v>
      </c>
      <c r="E50" s="38">
        <f>SUMIF(RAW_File!D:D,C:C,RAW_File!G:G)</f>
        <v>3500</v>
      </c>
      <c r="F50" s="39">
        <f>SUMIF(RAW_File!D:D,C:C,RAW_File!I:I)</f>
        <v>8900</v>
      </c>
      <c r="G50" s="40">
        <f>SUMIF(RAW_File!D:D,C:C,RAW_File!K:K)</f>
        <v>0</v>
      </c>
      <c r="H50" s="41">
        <f>SUMIF(RAW_File!D:D,C:C,RAW_File!M:M)</f>
        <v>8000</v>
      </c>
      <c r="I50" s="40">
        <f t="shared" si="1"/>
        <v>8000</v>
      </c>
    </row>
    <row r="51" spans="1:9" hidden="1" x14ac:dyDescent="0.25">
      <c r="A51" s="36" t="s">
        <v>53</v>
      </c>
      <c r="B51" s="36" t="s">
        <v>344</v>
      </c>
      <c r="C51" s="36" t="s">
        <v>345</v>
      </c>
      <c r="D51" s="37">
        <f>SUMIF(RAW_File!D:D,C:C,RAW_File!F:F)</f>
        <v>3383.2426500000001</v>
      </c>
      <c r="E51" s="38">
        <f>SUMIF(RAW_File!D:D,C:C,RAW_File!G:G)</f>
        <v>900</v>
      </c>
      <c r="F51" s="39">
        <f>SUMIF(RAW_File!D:D,C:C,RAW_File!I:I)</f>
        <v>1140</v>
      </c>
      <c r="G51" s="40">
        <f>SUMIF(RAW_File!D:D,C:C,RAW_File!K:K)</f>
        <v>5000</v>
      </c>
      <c r="H51" s="41">
        <f>SUMIF(RAW_File!D:D,C:C,RAW_File!M:M)</f>
        <v>0</v>
      </c>
      <c r="I51" s="40">
        <f t="shared" si="1"/>
        <v>5000</v>
      </c>
    </row>
    <row r="52" spans="1:9" hidden="1" x14ac:dyDescent="0.25">
      <c r="A52" s="36" t="s">
        <v>53</v>
      </c>
      <c r="B52" s="36" t="s">
        <v>378</v>
      </c>
      <c r="C52" s="36" t="s">
        <v>379</v>
      </c>
      <c r="D52" s="37">
        <f>SUMIF(RAW_File!D:D,C:C,RAW_File!F:F)</f>
        <v>15041.818499999999</v>
      </c>
      <c r="E52" s="38">
        <f>SUMIF(RAW_File!D:D,C:C,RAW_File!G:G)</f>
        <v>40905</v>
      </c>
      <c r="F52" s="39">
        <f>SUMIF(RAW_File!D:D,C:C,RAW_File!I:I)</f>
        <v>43905</v>
      </c>
      <c r="G52" s="40">
        <f>SUMIF(RAW_File!D:D,C:C,RAW_File!K:K)</f>
        <v>50000</v>
      </c>
      <c r="H52" s="41">
        <f>SUMIF(RAW_File!D:D,C:C,RAW_File!M:M)</f>
        <v>5000</v>
      </c>
      <c r="I52" s="40">
        <f t="shared" si="1"/>
        <v>45000</v>
      </c>
    </row>
    <row r="53" spans="1:9" hidden="1" x14ac:dyDescent="0.25">
      <c r="A53" s="36" t="s">
        <v>53</v>
      </c>
      <c r="B53" s="36" t="s">
        <v>594</v>
      </c>
      <c r="C53" s="36" t="s">
        <v>595</v>
      </c>
      <c r="D53" s="37">
        <f>SUMIF(RAW_File!D:D,C:C,RAW_File!F:F)</f>
        <v>43548.549950000001</v>
      </c>
      <c r="E53" s="38">
        <f>SUMIF(RAW_File!D:D,C:C,RAW_File!G:G)</f>
        <v>9550</v>
      </c>
      <c r="F53" s="39">
        <f>SUMIF(RAW_File!D:D,C:C,RAW_File!I:I)</f>
        <v>20370</v>
      </c>
      <c r="G53" s="40">
        <f>SUMIF(RAW_File!D:D,C:C,RAW_File!K:K)</f>
        <v>40000</v>
      </c>
      <c r="H53" s="41">
        <f>SUMIF(RAW_File!D:D,C:C,RAW_File!M:M)</f>
        <v>0</v>
      </c>
      <c r="I53" s="40">
        <f t="shared" si="1"/>
        <v>40000</v>
      </c>
    </row>
    <row r="54" spans="1:9" hidden="1" x14ac:dyDescent="0.25">
      <c r="A54" s="36" t="s">
        <v>53</v>
      </c>
      <c r="B54" s="36" t="s">
        <v>636</v>
      </c>
      <c r="C54" s="36" t="s">
        <v>637</v>
      </c>
      <c r="D54" s="37">
        <f>SUMIF(RAW_File!D:D,C:C,RAW_File!F:F)</f>
        <v>1825.5770577627411</v>
      </c>
      <c r="E54" s="38">
        <f>SUMIF(RAW_File!D:D,C:C,RAW_File!G:G)</f>
        <v>6180</v>
      </c>
      <c r="F54" s="39">
        <f>SUMIF(RAW_File!D:D,C:C,RAW_File!I:I)</f>
        <v>7180</v>
      </c>
      <c r="G54" s="40">
        <f>SUMIF(RAW_File!D:D,C:C,RAW_File!K:K)</f>
        <v>5000</v>
      </c>
      <c r="H54" s="41">
        <f>SUMIF(RAW_File!D:D,C:C,RAW_File!M:M)</f>
        <v>0</v>
      </c>
      <c r="I54" s="40">
        <f t="shared" si="1"/>
        <v>5000</v>
      </c>
    </row>
    <row r="55" spans="1:9" hidden="1" x14ac:dyDescent="0.25">
      <c r="A55" s="36" t="s">
        <v>53</v>
      </c>
      <c r="B55" s="36" t="s">
        <v>153</v>
      </c>
      <c r="C55" s="36" t="s">
        <v>744</v>
      </c>
      <c r="D55" s="37">
        <f>SUMIF(RAW_File!D:D,C:C,RAW_File!F:F)</f>
        <v>34985.422200000001</v>
      </c>
      <c r="E55" s="38">
        <f>SUMIF(RAW_File!D:D,C:C,RAW_File!G:G)</f>
        <v>810</v>
      </c>
      <c r="F55" s="39">
        <f>SUMIF(RAW_File!D:D,C:C,RAW_File!I:I)</f>
        <v>1310</v>
      </c>
      <c r="G55" s="40">
        <f>SUMIF(RAW_File!D:D,C:C,RAW_File!K:K)</f>
        <v>30000</v>
      </c>
      <c r="H55" s="41">
        <f>SUMIF(RAW_File!D:D,C:C,RAW_File!M:M)</f>
        <v>0</v>
      </c>
      <c r="I55" s="40">
        <f t="shared" si="1"/>
        <v>30000</v>
      </c>
    </row>
    <row r="56" spans="1:9" hidden="1" x14ac:dyDescent="0.25">
      <c r="A56" s="36" t="s">
        <v>53</v>
      </c>
      <c r="B56" s="36" t="s">
        <v>779</v>
      </c>
      <c r="C56" s="36" t="s">
        <v>780</v>
      </c>
      <c r="D56" s="37">
        <f>SUMIF(RAW_File!D:D,C:C,RAW_File!F:F)</f>
        <v>7218.581324494844</v>
      </c>
      <c r="E56" s="38">
        <f>SUMIF(RAW_File!D:D,C:C,RAW_File!G:G)</f>
        <v>2600</v>
      </c>
      <c r="F56" s="39">
        <f>SUMIF(RAW_File!D:D,C:C,RAW_File!I:I)</f>
        <v>5300</v>
      </c>
      <c r="G56" s="40">
        <f>SUMIF(RAW_File!D:D,C:C,RAW_File!K:K)</f>
        <v>5000</v>
      </c>
      <c r="H56" s="41">
        <f>SUMIF(RAW_File!D:D,C:C,RAW_File!M:M)</f>
        <v>0</v>
      </c>
      <c r="I56" s="40">
        <f t="shared" si="1"/>
        <v>5000</v>
      </c>
    </row>
    <row r="57" spans="1:9" hidden="1" x14ac:dyDescent="0.25">
      <c r="A57" s="36" t="s">
        <v>53</v>
      </c>
      <c r="B57" s="36" t="s">
        <v>814</v>
      </c>
      <c r="C57" s="36" t="s">
        <v>815</v>
      </c>
      <c r="D57" s="37">
        <f>SUMIF(RAW_File!D:D,C:C,RAW_File!F:F)</f>
        <v>2087.0569999999998</v>
      </c>
      <c r="E57" s="38">
        <f>SUMIF(RAW_File!D:D,C:C,RAW_File!G:G)</f>
        <v>4030</v>
      </c>
      <c r="F57" s="39">
        <f>SUMIF(RAW_File!D:D,C:C,RAW_File!I:I)</f>
        <v>4220</v>
      </c>
      <c r="G57" s="40">
        <f>SUMIF(RAW_File!D:D,C:C,RAW_File!K:K)</f>
        <v>5000</v>
      </c>
      <c r="H57" s="41">
        <f>SUMIF(RAW_File!D:D,C:C,RAW_File!M:M)</f>
        <v>0</v>
      </c>
      <c r="I57" s="40">
        <f t="shared" si="1"/>
        <v>5000</v>
      </c>
    </row>
    <row r="58" spans="1:9" hidden="1" x14ac:dyDescent="0.25">
      <c r="A58" s="36" t="s">
        <v>53</v>
      </c>
      <c r="B58" s="36" t="s">
        <v>925</v>
      </c>
      <c r="C58" s="36" t="s">
        <v>926</v>
      </c>
      <c r="D58" s="37">
        <f>SUMIF(RAW_File!D:D,C:C,RAW_File!F:F)</f>
        <v>18103.05329068159</v>
      </c>
      <c r="E58" s="38">
        <f>SUMIF(RAW_File!D:D,C:C,RAW_File!G:G)</f>
        <v>5905</v>
      </c>
      <c r="F58" s="39">
        <f>SUMIF(RAW_File!D:D,C:C,RAW_File!I:I)</f>
        <v>31960</v>
      </c>
      <c r="G58" s="40">
        <f>SUMIF(RAW_File!D:D,C:C,RAW_File!K:K)</f>
        <v>0</v>
      </c>
      <c r="H58" s="41">
        <f>SUMIF(RAW_File!D:D,C:C,RAW_File!M:M)</f>
        <v>20000</v>
      </c>
      <c r="I58" s="40">
        <f t="shared" si="1"/>
        <v>20000</v>
      </c>
    </row>
    <row r="59" spans="1:9" hidden="1" x14ac:dyDescent="0.25">
      <c r="A59" s="36" t="s">
        <v>53</v>
      </c>
      <c r="B59" s="36" t="s">
        <v>1124</v>
      </c>
      <c r="C59" s="36" t="s">
        <v>1125</v>
      </c>
      <c r="D59" s="37">
        <f>SUMIF(RAW_File!D:D,C:C,RAW_File!F:F)</f>
        <v>4549.1866499999996</v>
      </c>
      <c r="E59" s="38">
        <f>SUMIF(RAW_File!D:D,C:C,RAW_File!G:G)</f>
        <v>300</v>
      </c>
      <c r="F59" s="39">
        <f>SUMIF(RAW_File!D:D,C:C,RAW_File!I:I)</f>
        <v>29490</v>
      </c>
      <c r="G59" s="40">
        <f>SUMIF(RAW_File!D:D,C:C,RAW_File!K:K)</f>
        <v>0</v>
      </c>
      <c r="H59" s="41">
        <f>SUMIF(RAW_File!D:D,C:C,RAW_File!M:M)</f>
        <v>55000</v>
      </c>
      <c r="I59" s="40">
        <f t="shared" si="1"/>
        <v>55000</v>
      </c>
    </row>
    <row r="60" spans="1:9" hidden="1" x14ac:dyDescent="0.25">
      <c r="A60" s="36" t="s">
        <v>53</v>
      </c>
      <c r="B60" s="36" t="s">
        <v>1207</v>
      </c>
      <c r="C60" s="36" t="s">
        <v>1208</v>
      </c>
      <c r="D60" s="37">
        <f>SUMIF(RAW_File!D:D,C:C,RAW_File!F:F)</f>
        <v>31596.287845782641</v>
      </c>
      <c r="E60" s="38">
        <f>SUMIF(RAW_File!D:D,C:C,RAW_File!G:G)</f>
        <v>300</v>
      </c>
      <c r="F60" s="39">
        <f>SUMIF(RAW_File!D:D,C:C,RAW_File!I:I)</f>
        <v>2680</v>
      </c>
      <c r="G60" s="40">
        <f>SUMIF(RAW_File!D:D,C:C,RAW_File!K:K)</f>
        <v>0</v>
      </c>
      <c r="H60" s="41">
        <f>SUMIF(RAW_File!D:D,C:C,RAW_File!M:M)</f>
        <v>10000</v>
      </c>
      <c r="I60" s="40">
        <f t="shared" si="1"/>
        <v>10000</v>
      </c>
    </row>
    <row r="61" spans="1:9" hidden="1" x14ac:dyDescent="0.25">
      <c r="A61" s="36" t="s">
        <v>53</v>
      </c>
      <c r="B61" s="36" t="s">
        <v>1228</v>
      </c>
      <c r="C61" s="36" t="s">
        <v>1229</v>
      </c>
      <c r="D61" s="37">
        <f>SUMIF(RAW_File!D:D,C:C,RAW_File!F:F)</f>
        <v>11590.349700000001</v>
      </c>
      <c r="E61" s="38">
        <f>SUMIF(RAW_File!D:D,C:C,RAW_File!G:G)</f>
        <v>2400</v>
      </c>
      <c r="F61" s="39">
        <f>SUMIF(RAW_File!D:D,C:C,RAW_File!I:I)</f>
        <v>11250</v>
      </c>
      <c r="G61" s="40">
        <f>SUMIF(RAW_File!D:D,C:C,RAW_File!K:K)</f>
        <v>5000</v>
      </c>
      <c r="H61" s="41">
        <f>SUMIF(RAW_File!D:D,C:C,RAW_File!M:M)</f>
        <v>0</v>
      </c>
      <c r="I61" s="40">
        <f t="shared" si="1"/>
        <v>5000</v>
      </c>
    </row>
    <row r="62" spans="1:9" hidden="1" x14ac:dyDescent="0.25">
      <c r="A62" s="36" t="s">
        <v>53</v>
      </c>
      <c r="B62" s="36" t="s">
        <v>1327</v>
      </c>
      <c r="C62" s="36" t="s">
        <v>1328</v>
      </c>
      <c r="D62" s="37">
        <f>SUMIF(RAW_File!D:D,C:C,RAW_File!F:F)</f>
        <v>2052.4621900000002</v>
      </c>
      <c r="E62" s="38">
        <f>SUMIF(RAW_File!D:D,C:C,RAW_File!G:G)</f>
        <v>1470</v>
      </c>
      <c r="F62" s="39">
        <f>SUMIF(RAW_File!D:D,C:C,RAW_File!I:I)</f>
        <v>6360</v>
      </c>
      <c r="G62" s="40">
        <f>SUMIF(RAW_File!D:D,C:C,RAW_File!K:K)</f>
        <v>0</v>
      </c>
      <c r="H62" s="41">
        <f>SUMIF(RAW_File!D:D,C:C,RAW_File!M:M)</f>
        <v>7000</v>
      </c>
      <c r="I62" s="40">
        <f t="shared" si="1"/>
        <v>7000</v>
      </c>
    </row>
    <row r="63" spans="1:9" hidden="1" x14ac:dyDescent="0.25">
      <c r="A63" s="36" t="s">
        <v>53</v>
      </c>
      <c r="B63" s="36" t="s">
        <v>1403</v>
      </c>
      <c r="C63" s="36" t="s">
        <v>1404</v>
      </c>
      <c r="D63" s="37">
        <f>SUMIF(RAW_File!D:D,C:C,RAW_File!F:F)</f>
        <v>41524.415358432459</v>
      </c>
      <c r="E63" s="38">
        <f>SUMIF(RAW_File!D:D,C:C,RAW_File!G:G)</f>
        <v>6170</v>
      </c>
      <c r="F63" s="39">
        <f>SUMIF(RAW_File!D:D,C:C,RAW_File!I:I)</f>
        <v>40750</v>
      </c>
      <c r="G63" s="40">
        <f>SUMIF(RAW_File!D:D,C:C,RAW_File!K:K)</f>
        <v>5000</v>
      </c>
      <c r="H63" s="41">
        <f>SUMIF(RAW_File!D:D,C:C,RAW_File!M:M)</f>
        <v>0</v>
      </c>
      <c r="I63" s="40">
        <f t="shared" si="1"/>
        <v>5000</v>
      </c>
    </row>
    <row r="64" spans="1:9" hidden="1" x14ac:dyDescent="0.25">
      <c r="A64" s="36" t="s">
        <v>53</v>
      </c>
      <c r="B64" s="36" t="s">
        <v>1470</v>
      </c>
      <c r="C64" s="36" t="s">
        <v>1471</v>
      </c>
      <c r="D64" s="37">
        <f>SUMIF(RAW_File!D:D,C:C,RAW_File!F:F)</f>
        <v>4745.7908500000003</v>
      </c>
      <c r="E64" s="38">
        <f>SUMIF(RAW_File!D:D,C:C,RAW_File!G:G)</f>
        <v>3000</v>
      </c>
      <c r="F64" s="39">
        <f>SUMIF(RAW_File!D:D,C:C,RAW_File!I:I)</f>
        <v>5500</v>
      </c>
      <c r="G64" s="40">
        <f>SUMIF(RAW_File!D:D,C:C,RAW_File!K:K)</f>
        <v>5000</v>
      </c>
      <c r="H64" s="41">
        <f>SUMIF(RAW_File!D:D,C:C,RAW_File!M:M)</f>
        <v>0</v>
      </c>
      <c r="I64" s="40">
        <f t="shared" si="1"/>
        <v>5000</v>
      </c>
    </row>
    <row r="65" spans="1:9" hidden="1" x14ac:dyDescent="0.25">
      <c r="A65" s="36" t="s">
        <v>53</v>
      </c>
      <c r="B65" s="36" t="s">
        <v>1803</v>
      </c>
      <c r="C65" s="36" t="s">
        <v>1804</v>
      </c>
      <c r="D65" s="37">
        <f>SUMIF(RAW_File!D:D,C:C,RAW_File!F:F)</f>
        <v>7974.8679000000002</v>
      </c>
      <c r="E65" s="38">
        <f>SUMIF(RAW_File!D:D,C:C,RAW_File!G:G)</f>
        <v>1000</v>
      </c>
      <c r="F65" s="39">
        <f>SUMIF(RAW_File!D:D,C:C,RAW_File!I:I)</f>
        <v>2000</v>
      </c>
      <c r="G65" s="40">
        <f>SUMIF(RAW_File!D:D,C:C,RAW_File!K:K)</f>
        <v>6000</v>
      </c>
      <c r="H65" s="41">
        <f>SUMIF(RAW_File!D:D,C:C,RAW_File!M:M)</f>
        <v>0</v>
      </c>
      <c r="I65" s="40">
        <f t="shared" si="1"/>
        <v>6000</v>
      </c>
    </row>
    <row r="66" spans="1:9" hidden="1" x14ac:dyDescent="0.25">
      <c r="A66" s="36" t="s">
        <v>53</v>
      </c>
      <c r="B66" s="36" t="s">
        <v>1921</v>
      </c>
      <c r="C66" s="36" t="s">
        <v>1961</v>
      </c>
      <c r="D66" s="37">
        <f>SUMIF(RAW_File!D:D,C:C,RAW_File!F:F)</f>
        <v>3403.87486312385</v>
      </c>
      <c r="E66" s="38">
        <f>SUMIF(RAW_File!D:D,C:C,RAW_File!G:G)</f>
        <v>6490</v>
      </c>
      <c r="F66" s="39">
        <f>SUMIF(RAW_File!D:D,C:C,RAW_File!I:I)</f>
        <v>6790</v>
      </c>
      <c r="G66" s="40">
        <f>SUMIF(RAW_File!D:D,C:C,RAW_File!K:K)</f>
        <v>5000</v>
      </c>
      <c r="H66" s="41">
        <f>SUMIF(RAW_File!D:D,C:C,RAW_File!M:M)</f>
        <v>0</v>
      </c>
      <c r="I66" s="40">
        <f t="shared" si="1"/>
        <v>5000</v>
      </c>
    </row>
    <row r="67" spans="1:9" hidden="1" x14ac:dyDescent="0.25">
      <c r="A67" s="36" t="s">
        <v>53</v>
      </c>
      <c r="B67" s="36" t="s">
        <v>1980</v>
      </c>
      <c r="C67" s="36" t="s">
        <v>1981</v>
      </c>
      <c r="D67" s="37">
        <f>SUMIF(RAW_File!D:D,C:C,RAW_File!F:F)</f>
        <v>20875.993561646119</v>
      </c>
      <c r="E67" s="38">
        <f>SUMIF(RAW_File!D:D,C:C,RAW_File!G:G)</f>
        <v>22545</v>
      </c>
      <c r="F67" s="39">
        <f>SUMIF(RAW_File!D:D,C:C,RAW_File!I:I)</f>
        <v>28135</v>
      </c>
      <c r="G67" s="40">
        <f>SUMIF(RAW_File!D:D,C:C,RAW_File!K:K)</f>
        <v>5000</v>
      </c>
      <c r="H67" s="41">
        <f>SUMIF(RAW_File!D:D,C:C,RAW_File!M:M)</f>
        <v>0</v>
      </c>
      <c r="I67" s="40">
        <f t="shared" ref="I67:I130" si="2">ABS(G67-H67)</f>
        <v>5000</v>
      </c>
    </row>
    <row r="68" spans="1:9" hidden="1" x14ac:dyDescent="0.25">
      <c r="A68" s="36" t="s">
        <v>53</v>
      </c>
      <c r="B68" s="36" t="s">
        <v>1984</v>
      </c>
      <c r="C68" s="36" t="s">
        <v>1985</v>
      </c>
      <c r="D68" s="37">
        <f>SUMIF(RAW_File!D:D,C:C,RAW_File!F:F)</f>
        <v>14210.061398438909</v>
      </c>
      <c r="E68" s="38">
        <f>SUMIF(RAW_File!D:D,C:C,RAW_File!G:G)</f>
        <v>16810</v>
      </c>
      <c r="F68" s="39">
        <f>SUMIF(RAW_File!D:D,C:C,RAW_File!I:I)</f>
        <v>28515</v>
      </c>
      <c r="G68" s="40">
        <f>SUMIF(RAW_File!D:D,C:C,RAW_File!K:K)</f>
        <v>5000</v>
      </c>
      <c r="H68" s="41">
        <f>SUMIF(RAW_File!D:D,C:C,RAW_File!M:M)</f>
        <v>0</v>
      </c>
      <c r="I68" s="40">
        <f t="shared" si="2"/>
        <v>5000</v>
      </c>
    </row>
    <row r="69" spans="1:9" hidden="1" x14ac:dyDescent="0.25">
      <c r="A69" s="36" t="s">
        <v>53</v>
      </c>
      <c r="B69" s="36" t="s">
        <v>2010</v>
      </c>
      <c r="C69" s="36" t="s">
        <v>2011</v>
      </c>
      <c r="D69" s="37">
        <f>SUMIF(RAW_File!D:D,C:C,RAW_File!F:F)</f>
        <v>3889.3847919371528</v>
      </c>
      <c r="E69" s="38">
        <f>SUMIF(RAW_File!D:D,C:C,RAW_File!G:G)</f>
        <v>3000</v>
      </c>
      <c r="F69" s="39">
        <f>SUMIF(RAW_File!D:D,C:C,RAW_File!I:I)</f>
        <v>3000</v>
      </c>
      <c r="G69" s="40">
        <f>SUMIF(RAW_File!D:D,C:C,RAW_File!K:K)</f>
        <v>5000</v>
      </c>
      <c r="H69" s="41">
        <f>SUMIF(RAW_File!D:D,C:C,RAW_File!M:M)</f>
        <v>0</v>
      </c>
      <c r="I69" s="40">
        <f t="shared" si="2"/>
        <v>5000</v>
      </c>
    </row>
    <row r="70" spans="1:9" hidden="1" x14ac:dyDescent="0.25">
      <c r="A70" s="36" t="s">
        <v>53</v>
      </c>
      <c r="B70" s="36" t="s">
        <v>2069</v>
      </c>
      <c r="C70" s="36" t="s">
        <v>2070</v>
      </c>
      <c r="D70" s="37">
        <f>SUMIF(RAW_File!D:D,C:C,RAW_File!F:F)</f>
        <v>12535.87165199047</v>
      </c>
      <c r="E70" s="38">
        <f>SUMIF(RAW_File!D:D,C:C,RAW_File!G:G)</f>
        <v>6570</v>
      </c>
      <c r="F70" s="39">
        <f>SUMIF(RAW_File!D:D,C:C,RAW_File!I:I)</f>
        <v>8460</v>
      </c>
      <c r="G70" s="40">
        <f>SUMIF(RAW_File!D:D,C:C,RAW_File!K:K)</f>
        <v>10000</v>
      </c>
      <c r="H70" s="41">
        <f>SUMIF(RAW_File!D:D,C:C,RAW_File!M:M)</f>
        <v>5000</v>
      </c>
      <c r="I70" s="40">
        <f t="shared" si="2"/>
        <v>5000</v>
      </c>
    </row>
    <row r="71" spans="1:9" hidden="1" x14ac:dyDescent="0.25">
      <c r="A71" s="36" t="s">
        <v>53</v>
      </c>
      <c r="B71" s="36" t="s">
        <v>2221</v>
      </c>
      <c r="C71" s="36" t="s">
        <v>2222</v>
      </c>
      <c r="D71" s="37">
        <f>SUMIF(RAW_File!D:D,C:C,RAW_File!F:F)</f>
        <v>29680.842359999999</v>
      </c>
      <c r="E71" s="38">
        <f>SUMIF(RAW_File!D:D,C:C,RAW_File!G:G)</f>
        <v>0</v>
      </c>
      <c r="F71" s="39">
        <f>SUMIF(RAW_File!D:D,C:C,RAW_File!I:I)</f>
        <v>29550</v>
      </c>
      <c r="G71" s="40">
        <f>SUMIF(RAW_File!D:D,C:C,RAW_File!K:K)</f>
        <v>0</v>
      </c>
      <c r="H71" s="41">
        <f>SUMIF(RAW_File!D:D,C:C,RAW_File!M:M)</f>
        <v>7000</v>
      </c>
      <c r="I71" s="40">
        <f t="shared" si="2"/>
        <v>7000</v>
      </c>
    </row>
    <row r="72" spans="1:9" hidden="1" x14ac:dyDescent="0.25">
      <c r="A72" s="36" t="s">
        <v>53</v>
      </c>
      <c r="B72" s="36" t="s">
        <v>2313</v>
      </c>
      <c r="C72" s="36" t="s">
        <v>2314</v>
      </c>
      <c r="D72" s="37">
        <f>SUMIF(RAW_File!D:D,C:C,RAW_File!F:F)</f>
        <v>874.93430000000001</v>
      </c>
      <c r="E72" s="38">
        <f>SUMIF(RAW_File!D:D,C:C,RAW_File!G:G)</f>
        <v>0</v>
      </c>
      <c r="F72" s="39">
        <f>SUMIF(RAW_File!D:D,C:C,RAW_File!I:I)</f>
        <v>0</v>
      </c>
      <c r="G72" s="40">
        <f>SUMIF(RAW_File!D:D,C:C,RAW_File!K:K)</f>
        <v>0</v>
      </c>
      <c r="H72" s="41">
        <f>SUMIF(RAW_File!D:D,C:C,RAW_File!M:M)</f>
        <v>6000</v>
      </c>
      <c r="I72" s="40">
        <f t="shared" si="2"/>
        <v>6000</v>
      </c>
    </row>
    <row r="73" spans="1:9" hidden="1" x14ac:dyDescent="0.25">
      <c r="A73" s="36" t="s">
        <v>53</v>
      </c>
      <c r="B73" s="36" t="s">
        <v>2455</v>
      </c>
      <c r="C73" s="36" t="s">
        <v>2456</v>
      </c>
      <c r="D73" s="37">
        <f>SUMIF(RAW_File!D:D,C:C,RAW_File!F:F)</f>
        <v>22.917000000000002</v>
      </c>
      <c r="E73" s="38">
        <f>SUMIF(RAW_File!D:D,C:C,RAW_File!G:G)</f>
        <v>205</v>
      </c>
      <c r="F73" s="39">
        <f>SUMIF(RAW_File!D:D,C:C,RAW_File!I:I)</f>
        <v>5405</v>
      </c>
      <c r="G73" s="40">
        <f>SUMIF(RAW_File!D:D,C:C,RAW_File!K:K)</f>
        <v>0</v>
      </c>
      <c r="H73" s="41">
        <f>SUMIF(RAW_File!D:D,C:C,RAW_File!M:M)</f>
        <v>5000</v>
      </c>
      <c r="I73" s="40">
        <f t="shared" si="2"/>
        <v>5000</v>
      </c>
    </row>
    <row r="74" spans="1:9" hidden="1" x14ac:dyDescent="0.25">
      <c r="A74" s="36" t="s">
        <v>53</v>
      </c>
      <c r="B74" s="36" t="s">
        <v>2559</v>
      </c>
      <c r="C74" s="36" t="s">
        <v>2560</v>
      </c>
      <c r="D74" s="37">
        <f>SUMIF(RAW_File!D:D,C:C,RAW_File!F:F)</f>
        <v>19002.638600006499</v>
      </c>
      <c r="E74" s="38">
        <f>SUMIF(RAW_File!D:D,C:C,RAW_File!G:G)</f>
        <v>6700</v>
      </c>
      <c r="F74" s="39">
        <f>SUMIF(RAW_File!D:D,C:C,RAW_File!I:I)</f>
        <v>20130</v>
      </c>
      <c r="G74" s="40">
        <f>SUMIF(RAW_File!D:D,C:C,RAW_File!K:K)</f>
        <v>0</v>
      </c>
      <c r="H74" s="41">
        <f>SUMIF(RAW_File!D:D,C:C,RAW_File!M:M)</f>
        <v>5000</v>
      </c>
      <c r="I74" s="40">
        <f t="shared" si="2"/>
        <v>5000</v>
      </c>
    </row>
    <row r="75" spans="1:9" hidden="1" x14ac:dyDescent="0.25">
      <c r="A75" s="36" t="s">
        <v>53</v>
      </c>
      <c r="B75" s="36" t="s">
        <v>2565</v>
      </c>
      <c r="C75" s="36" t="s">
        <v>2566</v>
      </c>
      <c r="D75" s="37">
        <f>SUMIF(RAW_File!D:D,C:C,RAW_File!F:F)</f>
        <v>422.53174711777518</v>
      </c>
      <c r="E75" s="38">
        <f>SUMIF(RAW_File!D:D,C:C,RAW_File!G:G)</f>
        <v>35490</v>
      </c>
      <c r="F75" s="39">
        <f>SUMIF(RAW_File!D:D,C:C,RAW_File!I:I)</f>
        <v>56860</v>
      </c>
      <c r="G75" s="40">
        <f>SUMIF(RAW_File!D:D,C:C,RAW_File!K:K)</f>
        <v>6000</v>
      </c>
      <c r="H75" s="41">
        <f>SUMIF(RAW_File!D:D,C:C,RAW_File!M:M)</f>
        <v>11000</v>
      </c>
      <c r="I75" s="40">
        <f t="shared" si="2"/>
        <v>5000</v>
      </c>
    </row>
    <row r="76" spans="1:9" hidden="1" x14ac:dyDescent="0.25">
      <c r="A76" s="36" t="s">
        <v>53</v>
      </c>
      <c r="B76" s="36" t="s">
        <v>2600</v>
      </c>
      <c r="C76" s="36" t="s">
        <v>2601</v>
      </c>
      <c r="D76" s="37">
        <f>SUMIF(RAW_File!D:D,C:C,RAW_File!F:F)</f>
        <v>33272.650656999998</v>
      </c>
      <c r="E76" s="38">
        <f>SUMIF(RAW_File!D:D,C:C,RAW_File!G:G)</f>
        <v>74565</v>
      </c>
      <c r="F76" s="39">
        <f>SUMIF(RAW_File!D:D,C:C,RAW_File!I:I)</f>
        <v>86565</v>
      </c>
      <c r="G76" s="40">
        <f>SUMIF(RAW_File!D:D,C:C,RAW_File!K:K)</f>
        <v>96000</v>
      </c>
      <c r="H76" s="41">
        <f>SUMIF(RAW_File!D:D,C:C,RAW_File!M:M)</f>
        <v>0</v>
      </c>
      <c r="I76" s="40">
        <f t="shared" si="2"/>
        <v>96000</v>
      </c>
    </row>
    <row r="77" spans="1:9" hidden="1" x14ac:dyDescent="0.25">
      <c r="A77" s="36" t="s">
        <v>53</v>
      </c>
      <c r="B77" s="36" t="s">
        <v>2675</v>
      </c>
      <c r="C77" s="36" t="s">
        <v>2676</v>
      </c>
      <c r="D77" s="37">
        <f>SUMIF(RAW_File!D:D,C:C,RAW_File!F:F)</f>
        <v>632.40020000050004</v>
      </c>
      <c r="E77" s="38">
        <f>SUMIF(RAW_File!D:D,C:C,RAW_File!G:G)</f>
        <v>7260</v>
      </c>
      <c r="F77" s="39">
        <f>SUMIF(RAW_File!D:D,C:C,RAW_File!I:I)</f>
        <v>8425</v>
      </c>
      <c r="G77" s="40">
        <f>SUMIF(RAW_File!D:D,C:C,RAW_File!K:K)</f>
        <v>6000</v>
      </c>
      <c r="H77" s="41">
        <f>SUMIF(RAW_File!D:D,C:C,RAW_File!M:M)</f>
        <v>0</v>
      </c>
      <c r="I77" s="40">
        <f t="shared" si="2"/>
        <v>6000</v>
      </c>
    </row>
    <row r="78" spans="1:9" hidden="1" x14ac:dyDescent="0.25">
      <c r="A78" s="36" t="s">
        <v>53</v>
      </c>
      <c r="B78" s="36" t="s">
        <v>2701</v>
      </c>
      <c r="C78" s="36" t="s">
        <v>2702</v>
      </c>
      <c r="D78" s="37">
        <f>SUMIF(RAW_File!D:D,C:C,RAW_File!F:F)</f>
        <v>24.378699999999998</v>
      </c>
      <c r="E78" s="38">
        <f>SUMIF(RAW_File!D:D,C:C,RAW_File!G:G)</f>
        <v>0</v>
      </c>
      <c r="F78" s="39">
        <f>SUMIF(RAW_File!D:D,C:C,RAW_File!I:I)</f>
        <v>12600</v>
      </c>
      <c r="G78" s="40">
        <f>SUMIF(RAW_File!D:D,C:C,RAW_File!K:K)</f>
        <v>0</v>
      </c>
      <c r="H78" s="41">
        <f>SUMIF(RAW_File!D:D,C:C,RAW_File!M:M)</f>
        <v>13000</v>
      </c>
      <c r="I78" s="40">
        <f t="shared" si="2"/>
        <v>13000</v>
      </c>
    </row>
    <row r="79" spans="1:9" hidden="1" x14ac:dyDescent="0.25">
      <c r="A79" s="36" t="s">
        <v>53</v>
      </c>
      <c r="B79" s="36" t="s">
        <v>2722</v>
      </c>
      <c r="C79" s="36" t="s">
        <v>2723</v>
      </c>
      <c r="D79" s="37">
        <f>SUMIF(RAW_File!D:D,C:C,RAW_File!F:F)</f>
        <v>14369.202600000001</v>
      </c>
      <c r="E79" s="38">
        <f>SUMIF(RAW_File!D:D,C:C,RAW_File!G:G)</f>
        <v>29585</v>
      </c>
      <c r="F79" s="39">
        <f>SUMIF(RAW_File!D:D,C:C,RAW_File!I:I)</f>
        <v>45535</v>
      </c>
      <c r="G79" s="40">
        <f>SUMIF(RAW_File!D:D,C:C,RAW_File!K:K)</f>
        <v>21000</v>
      </c>
      <c r="H79" s="41">
        <f>SUMIF(RAW_File!D:D,C:C,RAW_File!M:M)</f>
        <v>0</v>
      </c>
      <c r="I79" s="40">
        <f t="shared" si="2"/>
        <v>21000</v>
      </c>
    </row>
    <row r="80" spans="1:9" hidden="1" x14ac:dyDescent="0.25">
      <c r="A80" s="36" t="s">
        <v>53</v>
      </c>
      <c r="B80" s="36" t="s">
        <v>2742</v>
      </c>
      <c r="C80" s="36" t="s">
        <v>2743</v>
      </c>
      <c r="D80" s="37">
        <f>SUMIF(RAW_File!D:D,C:C,RAW_File!F:F)</f>
        <v>155.1272871342145</v>
      </c>
      <c r="E80" s="38">
        <f>SUMIF(RAW_File!D:D,C:C,RAW_File!G:G)</f>
        <v>13105</v>
      </c>
      <c r="F80" s="39">
        <f>SUMIF(RAW_File!D:D,C:C,RAW_File!I:I)</f>
        <v>15105</v>
      </c>
      <c r="G80" s="40">
        <f>SUMIF(RAW_File!D:D,C:C,RAW_File!K:K)</f>
        <v>5000</v>
      </c>
      <c r="H80" s="41">
        <f>SUMIF(RAW_File!D:D,C:C,RAW_File!M:M)</f>
        <v>0</v>
      </c>
      <c r="I80" s="40">
        <f t="shared" si="2"/>
        <v>5000</v>
      </c>
    </row>
    <row r="81" spans="1:9" hidden="1" x14ac:dyDescent="0.25">
      <c r="A81" s="36" t="s">
        <v>53</v>
      </c>
      <c r="B81" s="36" t="s">
        <v>1155</v>
      </c>
      <c r="C81" s="36" t="s">
        <v>2769</v>
      </c>
      <c r="D81" s="37">
        <f>SUMIF(RAW_File!D:D,C:C,RAW_File!F:F)</f>
        <v>11842.38688839154</v>
      </c>
      <c r="E81" s="38">
        <f>SUMIF(RAW_File!D:D,C:C,RAW_File!G:G)</f>
        <v>1090</v>
      </c>
      <c r="F81" s="39">
        <f>SUMIF(RAW_File!D:D,C:C,RAW_File!I:I)</f>
        <v>19610</v>
      </c>
      <c r="G81" s="40">
        <f>SUMIF(RAW_File!D:D,C:C,RAW_File!K:K)</f>
        <v>0</v>
      </c>
      <c r="H81" s="41">
        <f>SUMIF(RAW_File!D:D,C:C,RAW_File!M:M)</f>
        <v>50000</v>
      </c>
      <c r="I81" s="40">
        <f t="shared" si="2"/>
        <v>50000</v>
      </c>
    </row>
    <row r="82" spans="1:9" hidden="1" x14ac:dyDescent="0.25">
      <c r="A82" s="36" t="s">
        <v>53</v>
      </c>
      <c r="B82" s="36" t="s">
        <v>2838</v>
      </c>
      <c r="C82" s="36" t="s">
        <v>2839</v>
      </c>
      <c r="D82" s="37">
        <f>SUMIF(RAW_File!D:D,C:C,RAW_File!F:F)</f>
        <v>13826.4866</v>
      </c>
      <c r="E82" s="38">
        <f>SUMIF(RAW_File!D:D,C:C,RAW_File!G:G)</f>
        <v>0</v>
      </c>
      <c r="F82" s="39">
        <f>SUMIF(RAW_File!D:D,C:C,RAW_File!I:I)</f>
        <v>0</v>
      </c>
      <c r="G82" s="40">
        <f>SUMIF(RAW_File!D:D,C:C,RAW_File!K:K)</f>
        <v>0</v>
      </c>
      <c r="H82" s="41">
        <f>SUMIF(RAW_File!D:D,C:C,RAW_File!M:M)</f>
        <v>5000</v>
      </c>
      <c r="I82" s="40">
        <f t="shared" si="2"/>
        <v>5000</v>
      </c>
    </row>
    <row r="83" spans="1:9" hidden="1" x14ac:dyDescent="0.25">
      <c r="A83" s="36" t="s">
        <v>53</v>
      </c>
      <c r="B83" s="36" t="s">
        <v>2959</v>
      </c>
      <c r="C83" s="36" t="s">
        <v>2960</v>
      </c>
      <c r="D83" s="37">
        <f>SUMIF(RAW_File!D:D,C:C,RAW_File!F:F)</f>
        <v>5708.7360514264374</v>
      </c>
      <c r="E83" s="38">
        <f>SUMIF(RAW_File!D:D,C:C,RAW_File!G:G)</f>
        <v>0</v>
      </c>
      <c r="F83" s="39">
        <f>SUMIF(RAW_File!D:D,C:C,RAW_File!I:I)</f>
        <v>0</v>
      </c>
      <c r="G83" s="40">
        <f>SUMIF(RAW_File!D:D,C:C,RAW_File!K:K)</f>
        <v>5000</v>
      </c>
      <c r="H83" s="41">
        <f>SUMIF(RAW_File!D:D,C:C,RAW_File!M:M)</f>
        <v>0</v>
      </c>
      <c r="I83" s="40">
        <f t="shared" si="2"/>
        <v>5000</v>
      </c>
    </row>
    <row r="84" spans="1:9" hidden="1" x14ac:dyDescent="0.25">
      <c r="A84" s="36" t="s">
        <v>53</v>
      </c>
      <c r="B84" s="36" t="s">
        <v>881</v>
      </c>
      <c r="C84" s="36" t="s">
        <v>2999</v>
      </c>
      <c r="D84" s="37">
        <f>SUMIF(RAW_File!D:D,C:C,RAW_File!F:F)</f>
        <v>3154.0012000000002</v>
      </c>
      <c r="E84" s="38">
        <f>SUMIF(RAW_File!D:D,C:C,RAW_File!G:G)</f>
        <v>8100</v>
      </c>
      <c r="F84" s="39">
        <f>SUMIF(RAW_File!D:D,C:C,RAW_File!I:I)</f>
        <v>13492</v>
      </c>
      <c r="G84" s="40">
        <f>SUMIF(RAW_File!D:D,C:C,RAW_File!K:K)</f>
        <v>0</v>
      </c>
      <c r="H84" s="41">
        <f>SUMIF(RAW_File!D:D,C:C,RAW_File!M:M)</f>
        <v>5000</v>
      </c>
      <c r="I84" s="40">
        <f t="shared" si="2"/>
        <v>5000</v>
      </c>
    </row>
    <row r="85" spans="1:9" hidden="1" x14ac:dyDescent="0.25">
      <c r="A85" s="36" t="s">
        <v>53</v>
      </c>
      <c r="B85" s="36" t="s">
        <v>3036</v>
      </c>
      <c r="C85" s="36" t="s">
        <v>3037</v>
      </c>
      <c r="D85" s="37">
        <f>SUMIF(RAW_File!D:D,C:C,RAW_File!F:F)</f>
        <v>10093.4136</v>
      </c>
      <c r="E85" s="38">
        <f>SUMIF(RAW_File!D:D,C:C,RAW_File!G:G)</f>
        <v>7530</v>
      </c>
      <c r="F85" s="39">
        <f>SUMIF(RAW_File!D:D,C:C,RAW_File!I:I)</f>
        <v>34700</v>
      </c>
      <c r="G85" s="40">
        <f>SUMIF(RAW_File!D:D,C:C,RAW_File!K:K)</f>
        <v>0</v>
      </c>
      <c r="H85" s="41">
        <f>SUMIF(RAW_File!D:D,C:C,RAW_File!M:M)</f>
        <v>10000</v>
      </c>
      <c r="I85" s="40">
        <f t="shared" si="2"/>
        <v>10000</v>
      </c>
    </row>
    <row r="86" spans="1:9" hidden="1" x14ac:dyDescent="0.25">
      <c r="A86" s="36" t="s">
        <v>53</v>
      </c>
      <c r="B86" s="36" t="s">
        <v>3207</v>
      </c>
      <c r="C86" s="36" t="s">
        <v>3208</v>
      </c>
      <c r="D86" s="37">
        <f>SUMIF(RAW_File!D:D,C:C,RAW_File!F:F)</f>
        <v>11475.4059</v>
      </c>
      <c r="E86" s="38">
        <f>SUMIF(RAW_File!D:D,C:C,RAW_File!G:G)</f>
        <v>1750</v>
      </c>
      <c r="F86" s="39">
        <f>SUMIF(RAW_File!D:D,C:C,RAW_File!I:I)</f>
        <v>5480</v>
      </c>
      <c r="G86" s="40">
        <f>SUMIF(RAW_File!D:D,C:C,RAW_File!K:K)</f>
        <v>5000</v>
      </c>
      <c r="H86" s="41">
        <f>SUMIF(RAW_File!D:D,C:C,RAW_File!M:M)</f>
        <v>0</v>
      </c>
      <c r="I86" s="40">
        <f t="shared" si="2"/>
        <v>5000</v>
      </c>
    </row>
    <row r="87" spans="1:9" hidden="1" x14ac:dyDescent="0.25">
      <c r="A87" s="36" t="s">
        <v>53</v>
      </c>
      <c r="B87" s="36" t="s">
        <v>3291</v>
      </c>
      <c r="C87" s="36" t="s">
        <v>3292</v>
      </c>
      <c r="D87" s="37">
        <f>SUMIF(RAW_File!D:D,C:C,RAW_File!F:F)</f>
        <v>16235.1631390561</v>
      </c>
      <c r="E87" s="38">
        <f>SUMIF(RAW_File!D:D,C:C,RAW_File!G:G)</f>
        <v>9500</v>
      </c>
      <c r="F87" s="39">
        <f>SUMIF(RAW_File!D:D,C:C,RAW_File!I:I)</f>
        <v>34670</v>
      </c>
      <c r="G87" s="40">
        <f>SUMIF(RAW_File!D:D,C:C,RAW_File!K:K)</f>
        <v>0</v>
      </c>
      <c r="H87" s="41">
        <f>SUMIF(RAW_File!D:D,C:C,RAW_File!M:M)</f>
        <v>20000</v>
      </c>
      <c r="I87" s="40">
        <f t="shared" si="2"/>
        <v>20000</v>
      </c>
    </row>
    <row r="88" spans="1:9" hidden="1" x14ac:dyDescent="0.25">
      <c r="A88" s="36" t="s">
        <v>53</v>
      </c>
      <c r="B88" s="36" t="s">
        <v>3299</v>
      </c>
      <c r="C88" s="36" t="s">
        <v>3300</v>
      </c>
      <c r="D88" s="37">
        <f>SUMIF(RAW_File!D:D,C:C,RAW_File!F:F)</f>
        <v>49341.294504017067</v>
      </c>
      <c r="E88" s="38">
        <f>SUMIF(RAW_File!D:D,C:C,RAW_File!G:G)</f>
        <v>4520</v>
      </c>
      <c r="F88" s="39">
        <f>SUMIF(RAW_File!D:D,C:C,RAW_File!I:I)</f>
        <v>34690</v>
      </c>
      <c r="G88" s="40">
        <f>SUMIF(RAW_File!D:D,C:C,RAW_File!K:K)</f>
        <v>40000</v>
      </c>
      <c r="H88" s="41">
        <f>SUMIF(RAW_File!D:D,C:C,RAW_File!M:M)</f>
        <v>65000</v>
      </c>
      <c r="I88" s="40">
        <f t="shared" si="2"/>
        <v>25000</v>
      </c>
    </row>
    <row r="89" spans="1:9" hidden="1" x14ac:dyDescent="0.25">
      <c r="A89" s="36" t="s">
        <v>53</v>
      </c>
      <c r="B89" s="36" t="s">
        <v>1580</v>
      </c>
      <c r="C89" s="36" t="s">
        <v>3327</v>
      </c>
      <c r="D89" s="37">
        <f>SUMIF(RAW_File!D:D,C:C,RAW_File!F:F)</f>
        <v>44.517900002399998</v>
      </c>
      <c r="E89" s="38">
        <f>SUMIF(RAW_File!D:D,C:C,RAW_File!G:G)</f>
        <v>0</v>
      </c>
      <c r="F89" s="39">
        <f>SUMIF(RAW_File!D:D,C:C,RAW_File!I:I)</f>
        <v>0</v>
      </c>
      <c r="G89" s="40">
        <f>SUMIF(RAW_File!D:D,C:C,RAW_File!K:K)</f>
        <v>0</v>
      </c>
      <c r="H89" s="41">
        <f>SUMIF(RAW_File!D:D,C:C,RAW_File!M:M)</f>
        <v>0</v>
      </c>
      <c r="I89" s="40">
        <f t="shared" si="2"/>
        <v>0</v>
      </c>
    </row>
    <row r="90" spans="1:9" hidden="1" x14ac:dyDescent="0.25">
      <c r="A90" s="36" t="s">
        <v>53</v>
      </c>
      <c r="B90" s="36" t="s">
        <v>3334</v>
      </c>
      <c r="C90" s="36" t="s">
        <v>3335</v>
      </c>
      <c r="D90" s="37">
        <f>SUMIF(RAW_File!D:D,C:C,RAW_File!F:F)</f>
        <v>51.44455</v>
      </c>
      <c r="E90" s="38">
        <f>SUMIF(RAW_File!D:D,C:C,RAW_File!G:G)</f>
        <v>9830</v>
      </c>
      <c r="F90" s="39">
        <f>SUMIF(RAW_File!D:D,C:C,RAW_File!I:I)</f>
        <v>10330</v>
      </c>
      <c r="G90" s="40">
        <f>SUMIF(RAW_File!D:D,C:C,RAW_File!K:K)</f>
        <v>10000</v>
      </c>
      <c r="H90" s="41">
        <f>SUMIF(RAW_File!D:D,C:C,RAW_File!M:M)</f>
        <v>0</v>
      </c>
      <c r="I90" s="40">
        <f t="shared" si="2"/>
        <v>10000</v>
      </c>
    </row>
    <row r="91" spans="1:9" hidden="1" x14ac:dyDescent="0.25">
      <c r="A91" s="36" t="s">
        <v>53</v>
      </c>
      <c r="B91" s="36" t="s">
        <v>3357</v>
      </c>
      <c r="C91" s="36" t="s">
        <v>3358</v>
      </c>
      <c r="D91" s="37">
        <f>SUMIF(RAW_File!D:D,C:C,RAW_File!F:F)</f>
        <v>3905.6890232254282</v>
      </c>
      <c r="E91" s="38">
        <f>SUMIF(RAW_File!D:D,C:C,RAW_File!G:G)</f>
        <v>3530</v>
      </c>
      <c r="F91" s="39">
        <f>SUMIF(RAW_File!D:D,C:C,RAW_File!I:I)</f>
        <v>4680</v>
      </c>
      <c r="G91" s="40">
        <f>SUMIF(RAW_File!D:D,C:C,RAW_File!K:K)</f>
        <v>6000</v>
      </c>
      <c r="H91" s="41">
        <f>SUMIF(RAW_File!D:D,C:C,RAW_File!M:M)</f>
        <v>0</v>
      </c>
      <c r="I91" s="40">
        <f t="shared" si="2"/>
        <v>6000</v>
      </c>
    </row>
    <row r="92" spans="1:9" hidden="1" x14ac:dyDescent="0.25">
      <c r="A92" s="36" t="s">
        <v>53</v>
      </c>
      <c r="B92" s="36" t="s">
        <v>3365</v>
      </c>
      <c r="C92" s="36" t="s">
        <v>3366</v>
      </c>
      <c r="D92" s="37">
        <f>SUMIF(RAW_File!D:D,C:C,RAW_File!F:F)</f>
        <v>9959.8134000051996</v>
      </c>
      <c r="E92" s="38">
        <f>SUMIF(RAW_File!D:D,C:C,RAW_File!G:G)</f>
        <v>4700</v>
      </c>
      <c r="F92" s="39">
        <f>SUMIF(RAW_File!D:D,C:C,RAW_File!I:I)</f>
        <v>6810</v>
      </c>
      <c r="G92" s="40">
        <f>SUMIF(RAW_File!D:D,C:C,RAW_File!K:K)</f>
        <v>10000</v>
      </c>
      <c r="H92" s="41">
        <f>SUMIF(RAW_File!D:D,C:C,RAW_File!M:M)</f>
        <v>0</v>
      </c>
      <c r="I92" s="40">
        <f t="shared" si="2"/>
        <v>10000</v>
      </c>
    </row>
    <row r="93" spans="1:9" hidden="1" x14ac:dyDescent="0.25">
      <c r="A93" s="36" t="s">
        <v>53</v>
      </c>
      <c r="B93" s="36" t="s">
        <v>1363</v>
      </c>
      <c r="C93" s="36" t="s">
        <v>3392</v>
      </c>
      <c r="D93" s="37">
        <f>SUMIF(RAW_File!D:D,C:C,RAW_File!F:F)</f>
        <v>41329.892612000003</v>
      </c>
      <c r="E93" s="38">
        <f>SUMIF(RAW_File!D:D,C:C,RAW_File!G:G)</f>
        <v>19770</v>
      </c>
      <c r="F93" s="39">
        <f>SUMIF(RAW_File!D:D,C:C,RAW_File!I:I)</f>
        <v>41920</v>
      </c>
      <c r="G93" s="40">
        <f>SUMIF(RAW_File!D:D,C:C,RAW_File!K:K)</f>
        <v>25000</v>
      </c>
      <c r="H93" s="41">
        <f>SUMIF(RAW_File!D:D,C:C,RAW_File!M:M)</f>
        <v>0</v>
      </c>
      <c r="I93" s="40">
        <f t="shared" si="2"/>
        <v>25000</v>
      </c>
    </row>
    <row r="94" spans="1:9" hidden="1" x14ac:dyDescent="0.25">
      <c r="A94" s="36" t="s">
        <v>65</v>
      </c>
      <c r="B94" s="36" t="s">
        <v>105</v>
      </c>
      <c r="C94" s="36" t="s">
        <v>106</v>
      </c>
      <c r="D94" s="37">
        <f>SUMIF(RAW_File!D:D,C:C,RAW_File!F:F)</f>
        <v>7169.9864476037164</v>
      </c>
      <c r="E94" s="38">
        <f>SUMIF(RAW_File!D:D,C:C,RAW_File!G:G)</f>
        <v>11410</v>
      </c>
      <c r="F94" s="39">
        <f>SUMIF(RAW_File!D:D,C:C,RAW_File!I:I)</f>
        <v>30380</v>
      </c>
      <c r="G94" s="40">
        <f>SUMIF(RAW_File!D:D,C:C,RAW_File!K:K)</f>
        <v>0</v>
      </c>
      <c r="H94" s="41">
        <f>SUMIF(RAW_File!D:D,C:C,RAW_File!M:M)</f>
        <v>50000</v>
      </c>
      <c r="I94" s="40">
        <f t="shared" si="2"/>
        <v>50000</v>
      </c>
    </row>
    <row r="95" spans="1:9" hidden="1" x14ac:dyDescent="0.25">
      <c r="A95" s="36" t="s">
        <v>65</v>
      </c>
      <c r="B95" s="36" t="s">
        <v>109</v>
      </c>
      <c r="C95" s="36" t="s">
        <v>110</v>
      </c>
      <c r="D95" s="37">
        <f>SUMIF(RAW_File!D:D,C:C,RAW_File!F:F)</f>
        <v>3597.224271795802</v>
      </c>
      <c r="E95" s="38">
        <f>SUMIF(RAW_File!D:D,C:C,RAW_File!G:G)</f>
        <v>25875</v>
      </c>
      <c r="F95" s="39">
        <f>SUMIF(RAW_File!D:D,C:C,RAW_File!I:I)</f>
        <v>27375</v>
      </c>
      <c r="G95" s="40">
        <f>SUMIF(RAW_File!D:D,C:C,RAW_File!K:K)</f>
        <v>20000</v>
      </c>
      <c r="H95" s="41">
        <f>SUMIF(RAW_File!D:D,C:C,RAW_File!M:M)</f>
        <v>0</v>
      </c>
      <c r="I95" s="40">
        <f t="shared" si="2"/>
        <v>20000</v>
      </c>
    </row>
    <row r="96" spans="1:9" hidden="1" x14ac:dyDescent="0.25">
      <c r="A96" s="36" t="s">
        <v>65</v>
      </c>
      <c r="B96" s="36" t="s">
        <v>111</v>
      </c>
      <c r="C96" s="36" t="s">
        <v>112</v>
      </c>
      <c r="D96" s="37">
        <f>SUMIF(RAW_File!D:D,C:C,RAW_File!F:F)</f>
        <v>10474.109200000001</v>
      </c>
      <c r="E96" s="38">
        <f>SUMIF(RAW_File!D:D,C:C,RAW_File!G:G)</f>
        <v>7838</v>
      </c>
      <c r="F96" s="39">
        <f>SUMIF(RAW_File!D:D,C:C,RAW_File!I:I)</f>
        <v>8838</v>
      </c>
      <c r="G96" s="40">
        <f>SUMIF(RAW_File!D:D,C:C,RAW_File!K:K)</f>
        <v>10000</v>
      </c>
      <c r="H96" s="41">
        <f>SUMIF(RAW_File!D:D,C:C,RAW_File!M:M)</f>
        <v>0</v>
      </c>
      <c r="I96" s="40">
        <f t="shared" si="2"/>
        <v>10000</v>
      </c>
    </row>
    <row r="97" spans="1:9" hidden="1" x14ac:dyDescent="0.25">
      <c r="A97" s="36" t="s">
        <v>65</v>
      </c>
      <c r="B97" s="36" t="s">
        <v>115</v>
      </c>
      <c r="C97" s="36" t="s">
        <v>116</v>
      </c>
      <c r="D97" s="37">
        <f>SUMIF(RAW_File!D:D,C:C,RAW_File!F:F)</f>
        <v>9687.7184585286068</v>
      </c>
      <c r="E97" s="38">
        <f>SUMIF(RAW_File!D:D,C:C,RAW_File!G:G)</f>
        <v>1260</v>
      </c>
      <c r="F97" s="39">
        <f>SUMIF(RAW_File!D:D,C:C,RAW_File!I:I)</f>
        <v>27875</v>
      </c>
      <c r="G97" s="40">
        <f>SUMIF(RAW_File!D:D,C:C,RAW_File!K:K)</f>
        <v>5000</v>
      </c>
      <c r="H97" s="41">
        <f>SUMIF(RAW_File!D:D,C:C,RAW_File!M:M)</f>
        <v>0</v>
      </c>
      <c r="I97" s="40">
        <f t="shared" si="2"/>
        <v>5000</v>
      </c>
    </row>
    <row r="98" spans="1:9" hidden="1" x14ac:dyDescent="0.25">
      <c r="A98" s="36" t="s">
        <v>65</v>
      </c>
      <c r="B98" s="36" t="s">
        <v>127</v>
      </c>
      <c r="C98" s="36" t="s">
        <v>128</v>
      </c>
      <c r="D98" s="37">
        <f>SUMIF(RAW_File!D:D,C:C,RAW_File!F:F)</f>
        <v>36247.374342426629</v>
      </c>
      <c r="E98" s="38">
        <f>SUMIF(RAW_File!D:D,C:C,RAW_File!G:G)</f>
        <v>7900</v>
      </c>
      <c r="F98" s="39">
        <f>SUMIF(RAW_File!D:D,C:C,RAW_File!I:I)</f>
        <v>29350</v>
      </c>
      <c r="G98" s="40">
        <f>SUMIF(RAW_File!D:D,C:C,RAW_File!K:K)</f>
        <v>5000</v>
      </c>
      <c r="H98" s="41">
        <f>SUMIF(RAW_File!D:D,C:C,RAW_File!M:M)</f>
        <v>0</v>
      </c>
      <c r="I98" s="40">
        <f t="shared" si="2"/>
        <v>5000</v>
      </c>
    </row>
    <row r="99" spans="1:9" hidden="1" x14ac:dyDescent="0.25">
      <c r="A99" s="36" t="s">
        <v>65</v>
      </c>
      <c r="B99" s="36" t="s">
        <v>159</v>
      </c>
      <c r="C99" s="36" t="s">
        <v>160</v>
      </c>
      <c r="D99" s="37">
        <f>SUMIF(RAW_File!D:D,C:C,RAW_File!F:F)</f>
        <v>29918.1927</v>
      </c>
      <c r="E99" s="38">
        <f>SUMIF(RAW_File!D:D,C:C,RAW_File!G:G)</f>
        <v>710</v>
      </c>
      <c r="F99" s="39">
        <f>SUMIF(RAW_File!D:D,C:C,RAW_File!I:I)</f>
        <v>4790</v>
      </c>
      <c r="G99" s="40">
        <f>SUMIF(RAW_File!D:D,C:C,RAW_File!K:K)</f>
        <v>5000</v>
      </c>
      <c r="H99" s="41">
        <f>SUMIF(RAW_File!D:D,C:C,RAW_File!M:M)</f>
        <v>0</v>
      </c>
      <c r="I99" s="40">
        <f t="shared" si="2"/>
        <v>5000</v>
      </c>
    </row>
    <row r="100" spans="1:9" hidden="1" x14ac:dyDescent="0.25">
      <c r="A100" s="36" t="s">
        <v>65</v>
      </c>
      <c r="B100" s="36" t="s">
        <v>173</v>
      </c>
      <c r="C100" s="36" t="s">
        <v>174</v>
      </c>
      <c r="D100" s="37">
        <f>SUMIF(RAW_File!D:D,C:C,RAW_File!F:F)</f>
        <v>14096.7470488214</v>
      </c>
      <c r="E100" s="38">
        <f>SUMIF(RAW_File!D:D,C:C,RAW_File!G:G)</f>
        <v>16525</v>
      </c>
      <c r="F100" s="39">
        <f>SUMIF(RAW_File!D:D,C:C,RAW_File!I:I)</f>
        <v>29720</v>
      </c>
      <c r="G100" s="40">
        <f>SUMIF(RAW_File!D:D,C:C,RAW_File!K:K)</f>
        <v>30000</v>
      </c>
      <c r="H100" s="41">
        <f>SUMIF(RAW_File!D:D,C:C,RAW_File!M:M)</f>
        <v>0</v>
      </c>
      <c r="I100" s="40">
        <f t="shared" si="2"/>
        <v>30000</v>
      </c>
    </row>
    <row r="101" spans="1:9" hidden="1" x14ac:dyDescent="0.25">
      <c r="A101" s="36" t="s">
        <v>65</v>
      </c>
      <c r="B101" s="36" t="s">
        <v>183</v>
      </c>
      <c r="C101" s="36" t="s">
        <v>184</v>
      </c>
      <c r="D101" s="37">
        <f>SUMIF(RAW_File!D:D,C:C,RAW_File!F:F)</f>
        <v>29902.555700000001</v>
      </c>
      <c r="E101" s="38">
        <f>SUMIF(RAW_File!D:D,C:C,RAW_File!G:G)</f>
        <v>0</v>
      </c>
      <c r="F101" s="39">
        <f>SUMIF(RAW_File!D:D,C:C,RAW_File!I:I)</f>
        <v>23300</v>
      </c>
      <c r="G101" s="40">
        <f>SUMIF(RAW_File!D:D,C:C,RAW_File!K:K)</f>
        <v>5000</v>
      </c>
      <c r="H101" s="41">
        <f>SUMIF(RAW_File!D:D,C:C,RAW_File!M:M)</f>
        <v>0</v>
      </c>
      <c r="I101" s="40">
        <f t="shared" si="2"/>
        <v>5000</v>
      </c>
    </row>
    <row r="102" spans="1:9" hidden="1" x14ac:dyDescent="0.25">
      <c r="A102" s="36" t="s">
        <v>65</v>
      </c>
      <c r="B102" s="36" t="s">
        <v>185</v>
      </c>
      <c r="C102" s="36" t="s">
        <v>186</v>
      </c>
      <c r="D102" s="37">
        <f>SUMIF(RAW_File!D:D,C:C,RAW_File!F:F)</f>
        <v>19406.037799999998</v>
      </c>
      <c r="E102" s="38">
        <f>SUMIF(RAW_File!D:D,C:C,RAW_File!G:G)</f>
        <v>5000</v>
      </c>
      <c r="F102" s="39">
        <f>SUMIF(RAW_File!D:D,C:C,RAW_File!I:I)</f>
        <v>5000</v>
      </c>
      <c r="G102" s="40">
        <f>SUMIF(RAW_File!D:D,C:C,RAW_File!K:K)</f>
        <v>5000</v>
      </c>
      <c r="H102" s="41">
        <f>SUMIF(RAW_File!D:D,C:C,RAW_File!M:M)</f>
        <v>0</v>
      </c>
      <c r="I102" s="40">
        <f t="shared" si="2"/>
        <v>5000</v>
      </c>
    </row>
    <row r="103" spans="1:9" hidden="1" x14ac:dyDescent="0.25">
      <c r="A103" s="36" t="s">
        <v>65</v>
      </c>
      <c r="B103" s="36" t="s">
        <v>195</v>
      </c>
      <c r="C103" s="36" t="s">
        <v>196</v>
      </c>
      <c r="D103" s="37">
        <f>SUMIF(RAW_File!D:D,C:C,RAW_File!F:F)</f>
        <v>4.2131750835255053</v>
      </c>
      <c r="E103" s="38">
        <f>SUMIF(RAW_File!D:D,C:C,RAW_File!G:G)</f>
        <v>0</v>
      </c>
      <c r="F103" s="39">
        <f>SUMIF(RAW_File!D:D,C:C,RAW_File!I:I)</f>
        <v>0</v>
      </c>
      <c r="G103" s="40">
        <f>SUMIF(RAW_File!D:D,C:C,RAW_File!K:K)</f>
        <v>0</v>
      </c>
      <c r="H103" s="41">
        <f>SUMIF(RAW_File!D:D,C:C,RAW_File!M:M)</f>
        <v>0</v>
      </c>
      <c r="I103" s="40">
        <f t="shared" si="2"/>
        <v>0</v>
      </c>
    </row>
    <row r="104" spans="1:9" hidden="1" x14ac:dyDescent="0.25">
      <c r="A104" s="36" t="s">
        <v>65</v>
      </c>
      <c r="B104" s="36" t="s">
        <v>203</v>
      </c>
      <c r="C104" s="36" t="s">
        <v>204</v>
      </c>
      <c r="D104" s="37">
        <f>SUMIF(RAW_File!D:D,C:C,RAW_File!F:F)</f>
        <v>1583.4702966254749</v>
      </c>
      <c r="E104" s="38">
        <f>SUMIF(RAW_File!D:D,C:C,RAW_File!G:G)</f>
        <v>6010</v>
      </c>
      <c r="F104" s="39">
        <f>SUMIF(RAW_File!D:D,C:C,RAW_File!I:I)</f>
        <v>7510</v>
      </c>
      <c r="G104" s="40">
        <f>SUMIF(RAW_File!D:D,C:C,RAW_File!K:K)</f>
        <v>5000</v>
      </c>
      <c r="H104" s="41">
        <f>SUMIF(RAW_File!D:D,C:C,RAW_File!M:M)</f>
        <v>0</v>
      </c>
      <c r="I104" s="40">
        <f t="shared" si="2"/>
        <v>5000</v>
      </c>
    </row>
    <row r="105" spans="1:9" hidden="1" x14ac:dyDescent="0.25">
      <c r="A105" s="36" t="s">
        <v>65</v>
      </c>
      <c r="B105" s="36" t="s">
        <v>221</v>
      </c>
      <c r="C105" s="36" t="s">
        <v>222</v>
      </c>
      <c r="D105" s="37">
        <f>SUMIF(RAW_File!D:D,C:C,RAW_File!F:F)</f>
        <v>2035.1546880000001</v>
      </c>
      <c r="E105" s="38">
        <f>SUMIF(RAW_File!D:D,C:C,RAW_File!G:G)</f>
        <v>0</v>
      </c>
      <c r="F105" s="39">
        <f>SUMIF(RAW_File!D:D,C:C,RAW_File!I:I)</f>
        <v>0</v>
      </c>
      <c r="G105" s="40">
        <f>SUMIF(RAW_File!D:D,C:C,RAW_File!K:K)</f>
        <v>0</v>
      </c>
      <c r="H105" s="41">
        <f>SUMIF(RAW_File!D:D,C:C,RAW_File!M:M)</f>
        <v>0</v>
      </c>
      <c r="I105" s="40">
        <f t="shared" si="2"/>
        <v>0</v>
      </c>
    </row>
    <row r="106" spans="1:9" hidden="1" x14ac:dyDescent="0.25">
      <c r="A106" s="36" t="s">
        <v>65</v>
      </c>
      <c r="B106" s="36" t="s">
        <v>278</v>
      </c>
      <c r="C106" s="36" t="s">
        <v>279</v>
      </c>
      <c r="D106" s="37">
        <f>SUMIF(RAW_File!D:D,C:C,RAW_File!F:F)</f>
        <v>115126.8246244012</v>
      </c>
      <c r="E106" s="38">
        <f>SUMIF(RAW_File!D:D,C:C,RAW_File!G:G)</f>
        <v>8690</v>
      </c>
      <c r="F106" s="39">
        <f>SUMIF(RAW_File!D:D,C:C,RAW_File!I:I)</f>
        <v>23280</v>
      </c>
      <c r="G106" s="40">
        <f>SUMIF(RAW_File!D:D,C:C,RAW_File!K:K)</f>
        <v>0</v>
      </c>
      <c r="H106" s="41">
        <f>SUMIF(RAW_File!D:D,C:C,RAW_File!M:M)</f>
        <v>50000</v>
      </c>
      <c r="I106" s="40">
        <f t="shared" si="2"/>
        <v>50000</v>
      </c>
    </row>
    <row r="107" spans="1:9" hidden="1" x14ac:dyDescent="0.25">
      <c r="A107" s="36" t="s">
        <v>65</v>
      </c>
      <c r="B107" s="36" t="s">
        <v>409</v>
      </c>
      <c r="C107" s="36" t="s">
        <v>410</v>
      </c>
      <c r="D107" s="37">
        <f>SUMIF(RAW_File!D:D,C:C,RAW_File!F:F)</f>
        <v>6256.8680100000001</v>
      </c>
      <c r="E107" s="38">
        <f>SUMIF(RAW_File!D:D,C:C,RAW_File!G:G)</f>
        <v>500</v>
      </c>
      <c r="F107" s="39">
        <f>SUMIF(RAW_File!D:D,C:C,RAW_File!I:I)</f>
        <v>500</v>
      </c>
      <c r="G107" s="40">
        <f>SUMIF(RAW_File!D:D,C:C,RAW_File!K:K)</f>
        <v>6000</v>
      </c>
      <c r="H107" s="41">
        <f>SUMIF(RAW_File!D:D,C:C,RAW_File!M:M)</f>
        <v>0</v>
      </c>
      <c r="I107" s="40">
        <f t="shared" si="2"/>
        <v>6000</v>
      </c>
    </row>
    <row r="108" spans="1:9" hidden="1" x14ac:dyDescent="0.25">
      <c r="A108" s="36" t="s">
        <v>65</v>
      </c>
      <c r="B108" s="36" t="s">
        <v>486</v>
      </c>
      <c r="C108" s="36" t="s">
        <v>487</v>
      </c>
      <c r="D108" s="37">
        <f>SUMIF(RAW_File!D:D,C:C,RAW_File!F:F)</f>
        <v>288.49951874098218</v>
      </c>
      <c r="E108" s="38">
        <f>SUMIF(RAW_File!D:D,C:C,RAW_File!G:G)</f>
        <v>0</v>
      </c>
      <c r="F108" s="39">
        <f>SUMIF(RAW_File!D:D,C:C,RAW_File!I:I)</f>
        <v>0</v>
      </c>
      <c r="G108" s="40">
        <f>SUMIF(RAW_File!D:D,C:C,RAW_File!K:K)</f>
        <v>0</v>
      </c>
      <c r="H108" s="41">
        <f>SUMIF(RAW_File!D:D,C:C,RAW_File!M:M)</f>
        <v>0</v>
      </c>
      <c r="I108" s="40">
        <f t="shared" si="2"/>
        <v>0</v>
      </c>
    </row>
    <row r="109" spans="1:9" hidden="1" x14ac:dyDescent="0.25">
      <c r="A109" s="36" t="s">
        <v>65</v>
      </c>
      <c r="B109" s="36" t="s">
        <v>570</v>
      </c>
      <c r="C109" s="36" t="s">
        <v>571</v>
      </c>
      <c r="D109" s="37">
        <f>SUMIF(RAW_File!D:D,C:C,RAW_File!F:F)</f>
        <v>5484.1491746655329</v>
      </c>
      <c r="E109" s="38">
        <f>SUMIF(RAW_File!D:D,C:C,RAW_File!G:G)</f>
        <v>0</v>
      </c>
      <c r="F109" s="39">
        <f>SUMIF(RAW_File!D:D,C:C,RAW_File!I:I)</f>
        <v>0</v>
      </c>
      <c r="G109" s="40">
        <f>SUMIF(RAW_File!D:D,C:C,RAW_File!K:K)</f>
        <v>0</v>
      </c>
      <c r="H109" s="41">
        <f>SUMIF(RAW_File!D:D,C:C,RAW_File!M:M)</f>
        <v>5000</v>
      </c>
      <c r="I109" s="40">
        <f t="shared" si="2"/>
        <v>5000</v>
      </c>
    </row>
    <row r="110" spans="1:9" hidden="1" x14ac:dyDescent="0.25">
      <c r="A110" s="36" t="s">
        <v>65</v>
      </c>
      <c r="B110" s="36" t="s">
        <v>632</v>
      </c>
      <c r="C110" s="36" t="s">
        <v>633</v>
      </c>
      <c r="D110" s="37">
        <f>SUMIF(RAW_File!D:D,C:C,RAW_File!F:F)</f>
        <v>3387.1507632887051</v>
      </c>
      <c r="E110" s="38">
        <f>SUMIF(RAW_File!D:D,C:C,RAW_File!G:G)</f>
        <v>15540</v>
      </c>
      <c r="F110" s="39">
        <f>SUMIF(RAW_File!D:D,C:C,RAW_File!I:I)</f>
        <v>28130</v>
      </c>
      <c r="G110" s="40">
        <f>SUMIF(RAW_File!D:D,C:C,RAW_File!K:K)</f>
        <v>5000</v>
      </c>
      <c r="H110" s="41">
        <f>SUMIF(RAW_File!D:D,C:C,RAW_File!M:M)</f>
        <v>0</v>
      </c>
      <c r="I110" s="40">
        <f t="shared" si="2"/>
        <v>5000</v>
      </c>
    </row>
    <row r="111" spans="1:9" hidden="1" x14ac:dyDescent="0.25">
      <c r="A111" s="36" t="s">
        <v>65</v>
      </c>
      <c r="B111" s="36" t="s">
        <v>669</v>
      </c>
      <c r="C111" s="36" t="s">
        <v>670</v>
      </c>
      <c r="D111" s="37">
        <f>SUMIF(RAW_File!D:D,C:C,RAW_File!F:F)</f>
        <v>18444.394885000002</v>
      </c>
      <c r="E111" s="38">
        <f>SUMIF(RAW_File!D:D,C:C,RAW_File!G:G)</f>
        <v>6455</v>
      </c>
      <c r="F111" s="39">
        <f>SUMIF(RAW_File!D:D,C:C,RAW_File!I:I)</f>
        <v>55485</v>
      </c>
      <c r="G111" s="40">
        <f>SUMIF(RAW_File!D:D,C:C,RAW_File!K:K)</f>
        <v>0</v>
      </c>
      <c r="H111" s="41">
        <f>SUMIF(RAW_File!D:D,C:C,RAW_File!M:M)</f>
        <v>30000</v>
      </c>
      <c r="I111" s="40">
        <f t="shared" si="2"/>
        <v>30000</v>
      </c>
    </row>
    <row r="112" spans="1:9" hidden="1" x14ac:dyDescent="0.25">
      <c r="A112" s="36" t="s">
        <v>65</v>
      </c>
      <c r="B112" s="36" t="s">
        <v>751</v>
      </c>
      <c r="C112" s="36" t="s">
        <v>752</v>
      </c>
      <c r="D112" s="37">
        <f>SUMIF(RAW_File!D:D,C:C,RAW_File!F:F)</f>
        <v>6372.199504023336</v>
      </c>
      <c r="E112" s="38">
        <f>SUMIF(RAW_File!D:D,C:C,RAW_File!G:G)</f>
        <v>1750</v>
      </c>
      <c r="F112" s="39">
        <f>SUMIF(RAW_File!D:D,C:C,RAW_File!I:I)</f>
        <v>15450</v>
      </c>
      <c r="G112" s="40">
        <f>SUMIF(RAW_File!D:D,C:C,RAW_File!K:K)</f>
        <v>0</v>
      </c>
      <c r="H112" s="41">
        <f>SUMIF(RAW_File!D:D,C:C,RAW_File!M:M)</f>
        <v>8000</v>
      </c>
      <c r="I112" s="40">
        <f t="shared" si="2"/>
        <v>8000</v>
      </c>
    </row>
    <row r="113" spans="1:9" hidden="1" x14ac:dyDescent="0.25">
      <c r="A113" s="36" t="s">
        <v>65</v>
      </c>
      <c r="B113" s="36" t="s">
        <v>864</v>
      </c>
      <c r="C113" s="36" t="s">
        <v>865</v>
      </c>
      <c r="D113" s="37">
        <f>SUMIF(RAW_File!D:D,C:C,RAW_File!F:F)</f>
        <v>8588.1319999999996</v>
      </c>
      <c r="E113" s="38">
        <f>SUMIF(RAW_File!D:D,C:C,RAW_File!G:G)</f>
        <v>33845</v>
      </c>
      <c r="F113" s="39">
        <f>SUMIF(RAW_File!D:D,C:C,RAW_File!I:I)</f>
        <v>60805</v>
      </c>
      <c r="G113" s="40">
        <f>SUMIF(RAW_File!D:D,C:C,RAW_File!K:K)</f>
        <v>10000</v>
      </c>
      <c r="H113" s="41">
        <f>SUMIF(RAW_File!D:D,C:C,RAW_File!M:M)</f>
        <v>0</v>
      </c>
      <c r="I113" s="40">
        <f t="shared" si="2"/>
        <v>10000</v>
      </c>
    </row>
    <row r="114" spans="1:9" hidden="1" x14ac:dyDescent="0.25">
      <c r="A114" s="36" t="s">
        <v>65</v>
      </c>
      <c r="B114" s="36" t="s">
        <v>885</v>
      </c>
      <c r="C114" s="36" t="s">
        <v>886</v>
      </c>
      <c r="D114" s="37">
        <f>SUMIF(RAW_File!D:D,C:C,RAW_File!F:F)</f>
        <v>1.8164440013000001</v>
      </c>
      <c r="E114" s="38">
        <f>SUMIF(RAW_File!D:D,C:C,RAW_File!G:G)</f>
        <v>0</v>
      </c>
      <c r="F114" s="39">
        <f>SUMIF(RAW_File!D:D,C:C,RAW_File!I:I)</f>
        <v>0</v>
      </c>
      <c r="G114" s="40">
        <f>SUMIF(RAW_File!D:D,C:C,RAW_File!K:K)</f>
        <v>0</v>
      </c>
      <c r="H114" s="41">
        <f>SUMIF(RAW_File!D:D,C:C,RAW_File!M:M)</f>
        <v>0</v>
      </c>
      <c r="I114" s="40">
        <f t="shared" si="2"/>
        <v>0</v>
      </c>
    </row>
    <row r="115" spans="1:9" hidden="1" x14ac:dyDescent="0.25">
      <c r="A115" s="36" t="s">
        <v>65</v>
      </c>
      <c r="B115" s="36" t="s">
        <v>943</v>
      </c>
      <c r="C115" s="36" t="s">
        <v>944</v>
      </c>
      <c r="D115" s="37">
        <f>SUMIF(RAW_File!D:D,C:C,RAW_File!F:F)</f>
        <v>23884.102094287719</v>
      </c>
      <c r="E115" s="38">
        <f>SUMIF(RAW_File!D:D,C:C,RAW_File!G:G)</f>
        <v>29530</v>
      </c>
      <c r="F115" s="39">
        <f>SUMIF(RAW_File!D:D,C:C,RAW_File!I:I)</f>
        <v>67640</v>
      </c>
      <c r="G115" s="40">
        <f>SUMIF(RAW_File!D:D,C:C,RAW_File!K:K)</f>
        <v>15000</v>
      </c>
      <c r="H115" s="41">
        <f>SUMIF(RAW_File!D:D,C:C,RAW_File!M:M)</f>
        <v>0</v>
      </c>
      <c r="I115" s="40">
        <f t="shared" si="2"/>
        <v>15000</v>
      </c>
    </row>
    <row r="116" spans="1:9" hidden="1" x14ac:dyDescent="0.25">
      <c r="A116" s="36" t="s">
        <v>65</v>
      </c>
      <c r="B116" s="36" t="s">
        <v>1045</v>
      </c>
      <c r="C116" s="36" t="s">
        <v>1046</v>
      </c>
      <c r="D116" s="37">
        <f>SUMIF(RAW_File!D:D,C:C,RAW_File!F:F)</f>
        <v>424.39370000000002</v>
      </c>
      <c r="E116" s="38">
        <f>SUMIF(RAW_File!D:D,C:C,RAW_File!G:G)</f>
        <v>17000</v>
      </c>
      <c r="F116" s="39">
        <f>SUMIF(RAW_File!D:D,C:C,RAW_File!I:I)</f>
        <v>17700</v>
      </c>
      <c r="G116" s="40">
        <f>SUMIF(RAW_File!D:D,C:C,RAW_File!K:K)</f>
        <v>15000</v>
      </c>
      <c r="H116" s="41">
        <f>SUMIF(RAW_File!D:D,C:C,RAW_File!M:M)</f>
        <v>0</v>
      </c>
      <c r="I116" s="40">
        <f t="shared" si="2"/>
        <v>15000</v>
      </c>
    </row>
    <row r="117" spans="1:9" hidden="1" x14ac:dyDescent="0.25">
      <c r="A117" s="36" t="s">
        <v>65</v>
      </c>
      <c r="B117" s="36" t="s">
        <v>1099</v>
      </c>
      <c r="C117" s="36" t="s">
        <v>1100</v>
      </c>
      <c r="D117" s="37">
        <f>SUMIF(RAW_File!D:D,C:C,RAW_File!F:F)</f>
        <v>6724.0099725075024</v>
      </c>
      <c r="E117" s="38">
        <f>SUMIF(RAW_File!D:D,C:C,RAW_File!G:G)</f>
        <v>20930</v>
      </c>
      <c r="F117" s="39">
        <f>SUMIF(RAW_File!D:D,C:C,RAW_File!I:I)</f>
        <v>56165</v>
      </c>
      <c r="G117" s="40">
        <f>SUMIF(RAW_File!D:D,C:C,RAW_File!K:K)</f>
        <v>0</v>
      </c>
      <c r="H117" s="41">
        <f>SUMIF(RAW_File!D:D,C:C,RAW_File!M:M)</f>
        <v>15000</v>
      </c>
      <c r="I117" s="40">
        <f t="shared" si="2"/>
        <v>15000</v>
      </c>
    </row>
    <row r="118" spans="1:9" hidden="1" x14ac:dyDescent="0.25">
      <c r="A118" s="36" t="s">
        <v>65</v>
      </c>
      <c r="B118" s="36" t="s">
        <v>1220</v>
      </c>
      <c r="C118" s="36" t="s">
        <v>1221</v>
      </c>
      <c r="D118" s="37">
        <f>SUMIF(RAW_File!D:D,C:C,RAW_File!F:F)</f>
        <v>6035.2725</v>
      </c>
      <c r="E118" s="38">
        <f>SUMIF(RAW_File!D:D,C:C,RAW_File!G:G)</f>
        <v>0</v>
      </c>
      <c r="F118" s="39">
        <f>SUMIF(RAW_File!D:D,C:C,RAW_File!I:I)</f>
        <v>1970</v>
      </c>
      <c r="G118" s="40">
        <f>SUMIF(RAW_File!D:D,C:C,RAW_File!K:K)</f>
        <v>0</v>
      </c>
      <c r="H118" s="41">
        <f>SUMIF(RAW_File!D:D,C:C,RAW_File!M:M)</f>
        <v>35000</v>
      </c>
      <c r="I118" s="40">
        <f t="shared" si="2"/>
        <v>35000</v>
      </c>
    </row>
    <row r="119" spans="1:9" hidden="1" x14ac:dyDescent="0.25">
      <c r="A119" s="36" t="s">
        <v>65</v>
      </c>
      <c r="B119" s="36" t="s">
        <v>1325</v>
      </c>
      <c r="C119" s="36" t="s">
        <v>1326</v>
      </c>
      <c r="D119" s="37">
        <f>SUMIF(RAW_File!D:D,C:C,RAW_File!F:F)</f>
        <v>4008.4140000000002</v>
      </c>
      <c r="E119" s="38">
        <f>SUMIF(RAW_File!D:D,C:C,RAW_File!G:G)</f>
        <v>1000</v>
      </c>
      <c r="F119" s="39">
        <f>SUMIF(RAW_File!D:D,C:C,RAW_File!I:I)</f>
        <v>1000</v>
      </c>
      <c r="G119" s="40">
        <f>SUMIF(RAW_File!D:D,C:C,RAW_File!K:K)</f>
        <v>5000</v>
      </c>
      <c r="H119" s="41">
        <f>SUMIF(RAW_File!D:D,C:C,RAW_File!M:M)</f>
        <v>0</v>
      </c>
      <c r="I119" s="40">
        <f t="shared" si="2"/>
        <v>5000</v>
      </c>
    </row>
    <row r="120" spans="1:9" hidden="1" x14ac:dyDescent="0.25">
      <c r="A120" s="36" t="s">
        <v>65</v>
      </c>
      <c r="B120" s="36" t="s">
        <v>1371</v>
      </c>
      <c r="C120" s="36" t="s">
        <v>1372</v>
      </c>
      <c r="D120" s="37">
        <f>SUMIF(RAW_File!D:D,C:C,RAW_File!F:F)</f>
        <v>49.1539</v>
      </c>
      <c r="E120" s="38">
        <f>SUMIF(RAW_File!D:D,C:C,RAW_File!G:G)</f>
        <v>1300</v>
      </c>
      <c r="F120" s="39">
        <f>SUMIF(RAW_File!D:D,C:C,RAW_File!I:I)</f>
        <v>11100</v>
      </c>
      <c r="G120" s="40">
        <f>SUMIF(RAW_File!D:D,C:C,RAW_File!K:K)</f>
        <v>0</v>
      </c>
      <c r="H120" s="41">
        <f>SUMIF(RAW_File!D:D,C:C,RAW_File!M:M)</f>
        <v>8500</v>
      </c>
      <c r="I120" s="40">
        <f t="shared" si="2"/>
        <v>8500</v>
      </c>
    </row>
    <row r="121" spans="1:9" hidden="1" x14ac:dyDescent="0.25">
      <c r="A121" s="36" t="s">
        <v>65</v>
      </c>
      <c r="B121" s="36" t="s">
        <v>1281</v>
      </c>
      <c r="C121" s="36" t="s">
        <v>1398</v>
      </c>
      <c r="D121" s="37">
        <f>SUMIF(RAW_File!D:D,C:C,RAW_File!F:F)</f>
        <v>12031.0304</v>
      </c>
      <c r="E121" s="38">
        <f>SUMIF(RAW_File!D:D,C:C,RAW_File!G:G)</f>
        <v>3530</v>
      </c>
      <c r="F121" s="39">
        <f>SUMIF(RAW_File!D:D,C:C,RAW_File!I:I)</f>
        <v>8570</v>
      </c>
      <c r="G121" s="40">
        <f>SUMIF(RAW_File!D:D,C:C,RAW_File!K:K)</f>
        <v>5000</v>
      </c>
      <c r="H121" s="41">
        <f>SUMIF(RAW_File!D:D,C:C,RAW_File!M:M)</f>
        <v>0</v>
      </c>
      <c r="I121" s="40">
        <f t="shared" si="2"/>
        <v>5000</v>
      </c>
    </row>
    <row r="122" spans="1:9" hidden="1" x14ac:dyDescent="0.25">
      <c r="A122" s="36" t="s">
        <v>65</v>
      </c>
      <c r="B122" s="36" t="s">
        <v>1468</v>
      </c>
      <c r="C122" s="36" t="s">
        <v>1469</v>
      </c>
      <c r="D122" s="37">
        <f>SUMIF(RAW_File!D:D,C:C,RAW_File!F:F)</f>
        <v>10215.1699608695</v>
      </c>
      <c r="E122" s="38">
        <f>SUMIF(RAW_File!D:D,C:C,RAW_File!G:G)</f>
        <v>1010</v>
      </c>
      <c r="F122" s="39">
        <f>SUMIF(RAW_File!D:D,C:C,RAW_File!I:I)</f>
        <v>3710</v>
      </c>
      <c r="G122" s="40">
        <f>SUMIF(RAW_File!D:D,C:C,RAW_File!K:K)</f>
        <v>6000</v>
      </c>
      <c r="H122" s="41">
        <f>SUMIF(RAW_File!D:D,C:C,RAW_File!M:M)</f>
        <v>0</v>
      </c>
      <c r="I122" s="40">
        <f t="shared" si="2"/>
        <v>6000</v>
      </c>
    </row>
    <row r="123" spans="1:9" hidden="1" x14ac:dyDescent="0.25">
      <c r="A123" s="36" t="s">
        <v>65</v>
      </c>
      <c r="B123" s="36" t="s">
        <v>1474</v>
      </c>
      <c r="C123" s="36" t="s">
        <v>1475</v>
      </c>
      <c r="D123" s="37">
        <f>SUMIF(RAW_File!D:D,C:C,RAW_File!F:F)</f>
        <v>7394.2626</v>
      </c>
      <c r="E123" s="38">
        <f>SUMIF(RAW_File!D:D,C:C,RAW_File!G:G)</f>
        <v>500</v>
      </c>
      <c r="F123" s="39">
        <f>SUMIF(RAW_File!D:D,C:C,RAW_File!I:I)</f>
        <v>10300</v>
      </c>
      <c r="G123" s="40">
        <f>SUMIF(RAW_File!D:D,C:C,RAW_File!K:K)</f>
        <v>0</v>
      </c>
      <c r="H123" s="41">
        <f>SUMIF(RAW_File!D:D,C:C,RAW_File!M:M)</f>
        <v>10000</v>
      </c>
      <c r="I123" s="40">
        <f t="shared" si="2"/>
        <v>10000</v>
      </c>
    </row>
    <row r="124" spans="1:9" hidden="1" x14ac:dyDescent="0.25">
      <c r="A124" s="36" t="s">
        <v>65</v>
      </c>
      <c r="B124" s="36" t="s">
        <v>1510</v>
      </c>
      <c r="C124" s="36" t="s">
        <v>1511</v>
      </c>
      <c r="D124" s="37">
        <f>SUMIF(RAW_File!D:D,C:C,RAW_File!F:F)</f>
        <v>10139.499200005699</v>
      </c>
      <c r="E124" s="38">
        <f>SUMIF(RAW_File!D:D,C:C,RAW_File!G:G)</f>
        <v>1015</v>
      </c>
      <c r="F124" s="39">
        <f>SUMIF(RAW_File!D:D,C:C,RAW_File!I:I)</f>
        <v>2015</v>
      </c>
      <c r="G124" s="40">
        <f>SUMIF(RAW_File!D:D,C:C,RAW_File!K:K)</f>
        <v>10000</v>
      </c>
      <c r="H124" s="41">
        <f>SUMIF(RAW_File!D:D,C:C,RAW_File!M:M)</f>
        <v>0</v>
      </c>
      <c r="I124" s="40">
        <f t="shared" si="2"/>
        <v>10000</v>
      </c>
    </row>
    <row r="125" spans="1:9" hidden="1" x14ac:dyDescent="0.25">
      <c r="A125" s="36" t="s">
        <v>65</v>
      </c>
      <c r="B125" s="36" t="s">
        <v>1807</v>
      </c>
      <c r="C125" s="36" t="s">
        <v>1808</v>
      </c>
      <c r="D125" s="37">
        <f>SUMIF(RAW_File!D:D,C:C,RAW_File!F:F)</f>
        <v>55.175404998027453</v>
      </c>
      <c r="E125" s="38">
        <f>SUMIF(RAW_File!D:D,C:C,RAW_File!G:G)</f>
        <v>3634</v>
      </c>
      <c r="F125" s="39">
        <f>SUMIF(RAW_File!D:D,C:C,RAW_File!I:I)</f>
        <v>7134</v>
      </c>
      <c r="G125" s="40">
        <f>SUMIF(RAW_File!D:D,C:C,RAW_File!K:K)</f>
        <v>0</v>
      </c>
      <c r="H125" s="41">
        <f>SUMIF(RAW_File!D:D,C:C,RAW_File!M:M)</f>
        <v>14500</v>
      </c>
      <c r="I125" s="40">
        <f t="shared" si="2"/>
        <v>14500</v>
      </c>
    </row>
    <row r="126" spans="1:9" hidden="1" x14ac:dyDescent="0.25">
      <c r="A126" s="36" t="s">
        <v>65</v>
      </c>
      <c r="B126" s="36" t="s">
        <v>701</v>
      </c>
      <c r="C126" s="36" t="s">
        <v>1888</v>
      </c>
      <c r="D126" s="37">
        <f>SUMIF(RAW_File!D:D,C:C,RAW_File!F:F)</f>
        <v>22980.21626847221</v>
      </c>
      <c r="E126" s="38">
        <f>SUMIF(RAW_File!D:D,C:C,RAW_File!G:G)</f>
        <v>7025</v>
      </c>
      <c r="F126" s="39">
        <f>SUMIF(RAW_File!D:D,C:C,RAW_File!I:I)</f>
        <v>8710</v>
      </c>
      <c r="G126" s="40">
        <f>SUMIF(RAW_File!D:D,C:C,RAW_File!K:K)</f>
        <v>15000</v>
      </c>
      <c r="H126" s="41">
        <f>SUMIF(RAW_File!D:D,C:C,RAW_File!M:M)</f>
        <v>0</v>
      </c>
      <c r="I126" s="40">
        <f t="shared" si="2"/>
        <v>15000</v>
      </c>
    </row>
    <row r="127" spans="1:9" hidden="1" x14ac:dyDescent="0.25">
      <c r="A127" s="36" t="s">
        <v>65</v>
      </c>
      <c r="B127" s="36" t="s">
        <v>2083</v>
      </c>
      <c r="C127" s="36" t="s">
        <v>2084</v>
      </c>
      <c r="D127" s="37">
        <f>SUMIF(RAW_File!D:D,C:C,RAW_File!F:F)</f>
        <v>10194.062938968989</v>
      </c>
      <c r="E127" s="38">
        <f>SUMIF(RAW_File!D:D,C:C,RAW_File!G:G)</f>
        <v>28430</v>
      </c>
      <c r="F127" s="39">
        <f>SUMIF(RAW_File!D:D,C:C,RAW_File!I:I)</f>
        <v>36200</v>
      </c>
      <c r="G127" s="40">
        <f>SUMIF(RAW_File!D:D,C:C,RAW_File!K:K)</f>
        <v>10000</v>
      </c>
      <c r="H127" s="41">
        <f>SUMIF(RAW_File!D:D,C:C,RAW_File!M:M)</f>
        <v>0</v>
      </c>
      <c r="I127" s="40">
        <f t="shared" si="2"/>
        <v>10000</v>
      </c>
    </row>
    <row r="128" spans="1:9" hidden="1" x14ac:dyDescent="0.25">
      <c r="A128" s="36" t="s">
        <v>65</v>
      </c>
      <c r="B128" s="36" t="s">
        <v>2178</v>
      </c>
      <c r="C128" s="36" t="s">
        <v>2179</v>
      </c>
      <c r="D128" s="37">
        <f>SUMIF(RAW_File!D:D,C:C,RAW_File!F:F)</f>
        <v>10609.89595</v>
      </c>
      <c r="E128" s="38">
        <f>SUMIF(RAW_File!D:D,C:C,RAW_File!G:G)</f>
        <v>980</v>
      </c>
      <c r="F128" s="39">
        <f>SUMIF(RAW_File!D:D,C:C,RAW_File!I:I)</f>
        <v>1480</v>
      </c>
      <c r="G128" s="40">
        <f>SUMIF(RAW_File!D:D,C:C,RAW_File!K:K)</f>
        <v>10000</v>
      </c>
      <c r="H128" s="41">
        <f>SUMIF(RAW_File!D:D,C:C,RAW_File!M:M)</f>
        <v>0</v>
      </c>
      <c r="I128" s="40">
        <f t="shared" si="2"/>
        <v>10000</v>
      </c>
    </row>
    <row r="129" spans="1:9" hidden="1" x14ac:dyDescent="0.25">
      <c r="A129" s="36" t="s">
        <v>65</v>
      </c>
      <c r="B129" s="36" t="s">
        <v>2276</v>
      </c>
      <c r="C129" s="36" t="s">
        <v>2277</v>
      </c>
      <c r="D129" s="37">
        <f>SUMIF(RAW_File!D:D,C:C,RAW_File!F:F)</f>
        <v>4.7536965540932759</v>
      </c>
      <c r="E129" s="38">
        <f>SUMIF(RAW_File!D:D,C:C,RAW_File!G:G)</f>
        <v>0</v>
      </c>
      <c r="F129" s="39">
        <f>SUMIF(RAW_File!D:D,C:C,RAW_File!I:I)</f>
        <v>0</v>
      </c>
      <c r="G129" s="40">
        <f>SUMIF(RAW_File!D:D,C:C,RAW_File!K:K)</f>
        <v>0</v>
      </c>
      <c r="H129" s="41">
        <f>SUMIF(RAW_File!D:D,C:C,RAW_File!M:M)</f>
        <v>0</v>
      </c>
      <c r="I129" s="40">
        <f t="shared" si="2"/>
        <v>0</v>
      </c>
    </row>
    <row r="130" spans="1:9" hidden="1" x14ac:dyDescent="0.25">
      <c r="A130" s="36" t="s">
        <v>65</v>
      </c>
      <c r="B130" s="36" t="s">
        <v>2388</v>
      </c>
      <c r="C130" s="36" t="s">
        <v>2389</v>
      </c>
      <c r="D130" s="37">
        <f>SUMIF(RAW_File!D:D,C:C,RAW_File!F:F)</f>
        <v>6157.1900319977767</v>
      </c>
      <c r="E130" s="38">
        <f>SUMIF(RAW_File!D:D,C:C,RAW_File!G:G)</f>
        <v>13581</v>
      </c>
      <c r="F130" s="39">
        <f>SUMIF(RAW_File!D:D,C:C,RAW_File!I:I)</f>
        <v>18546</v>
      </c>
      <c r="G130" s="40">
        <f>SUMIF(RAW_File!D:D,C:C,RAW_File!K:K)</f>
        <v>2000</v>
      </c>
      <c r="H130" s="41">
        <f>SUMIF(RAW_File!D:D,C:C,RAW_File!M:M)</f>
        <v>17000</v>
      </c>
      <c r="I130" s="40">
        <f t="shared" si="2"/>
        <v>15000</v>
      </c>
    </row>
    <row r="131" spans="1:9" hidden="1" x14ac:dyDescent="0.25">
      <c r="A131" s="36" t="s">
        <v>65</v>
      </c>
      <c r="B131" s="36" t="s">
        <v>2445</v>
      </c>
      <c r="C131" s="36" t="s">
        <v>2446</v>
      </c>
      <c r="D131" s="37">
        <f>SUMIF(RAW_File!D:D,C:C,RAW_File!F:F)</f>
        <v>886.76990000000001</v>
      </c>
      <c r="E131" s="38">
        <f>SUMIF(RAW_File!D:D,C:C,RAW_File!G:G)</f>
        <v>22900</v>
      </c>
      <c r="F131" s="39">
        <f>SUMIF(RAW_File!D:D,C:C,RAW_File!I:I)</f>
        <v>25400</v>
      </c>
      <c r="G131" s="40">
        <f>SUMIF(RAW_File!D:D,C:C,RAW_File!K:K)</f>
        <v>10000</v>
      </c>
      <c r="H131" s="41">
        <f>SUMIF(RAW_File!D:D,C:C,RAW_File!M:M)</f>
        <v>0</v>
      </c>
      <c r="I131" s="40">
        <f t="shared" ref="I131:I194" si="3">ABS(G131-H131)</f>
        <v>10000</v>
      </c>
    </row>
    <row r="132" spans="1:9" hidden="1" x14ac:dyDescent="0.25">
      <c r="A132" s="36" t="s">
        <v>65</v>
      </c>
      <c r="B132" s="36" t="s">
        <v>2497</v>
      </c>
      <c r="C132" s="36" t="s">
        <v>2498</v>
      </c>
      <c r="D132" s="37">
        <f>SUMIF(RAW_File!D:D,C:C,RAW_File!F:F)</f>
        <v>2678.0211584992112</v>
      </c>
      <c r="E132" s="38">
        <f>SUMIF(RAW_File!D:D,C:C,RAW_File!G:G)</f>
        <v>510</v>
      </c>
      <c r="F132" s="39">
        <f>SUMIF(RAW_File!D:D,C:C,RAW_File!I:I)</f>
        <v>5100</v>
      </c>
      <c r="G132" s="40">
        <f>SUMIF(RAW_File!D:D,C:C,RAW_File!K:K)</f>
        <v>0</v>
      </c>
      <c r="H132" s="41">
        <f>SUMIF(RAW_File!D:D,C:C,RAW_File!M:M)</f>
        <v>15000</v>
      </c>
      <c r="I132" s="40">
        <f t="shared" si="3"/>
        <v>15000</v>
      </c>
    </row>
    <row r="133" spans="1:9" hidden="1" x14ac:dyDescent="0.25">
      <c r="A133" s="36" t="s">
        <v>65</v>
      </c>
      <c r="B133" s="36" t="s">
        <v>2627</v>
      </c>
      <c r="C133" s="36" t="s">
        <v>2628</v>
      </c>
      <c r="D133" s="37">
        <f>SUMIF(RAW_File!D:D,C:C,RAW_File!F:F)</f>
        <v>5083.8406999999997</v>
      </c>
      <c r="E133" s="38">
        <f>SUMIF(RAW_File!D:D,C:C,RAW_File!G:G)</f>
        <v>0</v>
      </c>
      <c r="F133" s="39">
        <f>SUMIF(RAW_File!D:D,C:C,RAW_File!I:I)</f>
        <v>0</v>
      </c>
      <c r="G133" s="40">
        <f>SUMIF(RAW_File!D:D,C:C,RAW_File!K:K)</f>
        <v>5000</v>
      </c>
      <c r="H133" s="41">
        <f>SUMIF(RAW_File!D:D,C:C,RAW_File!M:M)</f>
        <v>0</v>
      </c>
      <c r="I133" s="40">
        <f t="shared" si="3"/>
        <v>5000</v>
      </c>
    </row>
    <row r="134" spans="1:9" hidden="1" x14ac:dyDescent="0.25">
      <c r="A134" s="36" t="s">
        <v>65</v>
      </c>
      <c r="B134" s="36" t="s">
        <v>2665</v>
      </c>
      <c r="C134" s="36" t="s">
        <v>2666</v>
      </c>
      <c r="D134" s="37">
        <f>SUMIF(RAW_File!D:D,C:C,RAW_File!F:F)</f>
        <v>10807.0524</v>
      </c>
      <c r="E134" s="38">
        <f>SUMIF(RAW_File!D:D,C:C,RAW_File!G:G)</f>
        <v>3758</v>
      </c>
      <c r="F134" s="39">
        <f>SUMIF(RAW_File!D:D,C:C,RAW_File!I:I)</f>
        <v>8758</v>
      </c>
      <c r="G134" s="40">
        <f>SUMIF(RAW_File!D:D,C:C,RAW_File!K:K)</f>
        <v>0</v>
      </c>
      <c r="H134" s="41">
        <f>SUMIF(RAW_File!D:D,C:C,RAW_File!M:M)</f>
        <v>30000</v>
      </c>
      <c r="I134" s="40">
        <f t="shared" si="3"/>
        <v>30000</v>
      </c>
    </row>
    <row r="135" spans="1:9" hidden="1" x14ac:dyDescent="0.25">
      <c r="A135" s="36" t="s">
        <v>65</v>
      </c>
      <c r="B135" s="36" t="s">
        <v>2677</v>
      </c>
      <c r="C135" s="36" t="s">
        <v>2678</v>
      </c>
      <c r="D135" s="37">
        <f>SUMIF(RAW_File!D:D,C:C,RAW_File!F:F)</f>
        <v>1191.5702000000001</v>
      </c>
      <c r="E135" s="38">
        <f>SUMIF(RAW_File!D:D,C:C,RAW_File!G:G)</f>
        <v>6500</v>
      </c>
      <c r="F135" s="39">
        <f>SUMIF(RAW_File!D:D,C:C,RAW_File!I:I)</f>
        <v>6500</v>
      </c>
      <c r="G135" s="40">
        <f>SUMIF(RAW_File!D:D,C:C,RAW_File!K:K)</f>
        <v>5000</v>
      </c>
      <c r="H135" s="41">
        <f>SUMIF(RAW_File!D:D,C:C,RAW_File!M:M)</f>
        <v>0</v>
      </c>
      <c r="I135" s="40">
        <f t="shared" si="3"/>
        <v>5000</v>
      </c>
    </row>
    <row r="136" spans="1:9" hidden="1" x14ac:dyDescent="0.25">
      <c r="A136" s="36" t="s">
        <v>65</v>
      </c>
      <c r="B136" s="36" t="s">
        <v>2740</v>
      </c>
      <c r="C136" s="36" t="s">
        <v>2741</v>
      </c>
      <c r="D136" s="37">
        <f>SUMIF(RAW_File!D:D,C:C,RAW_File!F:F)</f>
        <v>120.82881811709289</v>
      </c>
      <c r="E136" s="38">
        <f>SUMIF(RAW_File!D:D,C:C,RAW_File!G:G)</f>
        <v>305</v>
      </c>
      <c r="F136" s="39">
        <f>SUMIF(RAW_File!D:D,C:C,RAW_File!I:I)</f>
        <v>305</v>
      </c>
      <c r="G136" s="40">
        <f>SUMIF(RAW_File!D:D,C:C,RAW_File!K:K)</f>
        <v>0</v>
      </c>
      <c r="H136" s="41">
        <f>SUMIF(RAW_File!D:D,C:C,RAW_File!M:M)</f>
        <v>0</v>
      </c>
      <c r="I136" s="40">
        <f t="shared" si="3"/>
        <v>0</v>
      </c>
    </row>
    <row r="137" spans="1:9" hidden="1" x14ac:dyDescent="0.25">
      <c r="A137" s="36" t="s">
        <v>65</v>
      </c>
      <c r="B137" s="36" t="s">
        <v>2770</v>
      </c>
      <c r="C137" s="36" t="s">
        <v>2771</v>
      </c>
      <c r="D137" s="37">
        <f>SUMIF(RAW_File!D:D,C:C,RAW_File!F:F)</f>
        <v>4568.5334999999995</v>
      </c>
      <c r="E137" s="38">
        <f>SUMIF(RAW_File!D:D,C:C,RAW_File!G:G)</f>
        <v>4845</v>
      </c>
      <c r="F137" s="39">
        <f>SUMIF(RAW_File!D:D,C:C,RAW_File!I:I)</f>
        <v>7385</v>
      </c>
      <c r="G137" s="40">
        <f>SUMIF(RAW_File!D:D,C:C,RAW_File!K:K)</f>
        <v>5000</v>
      </c>
      <c r="H137" s="41">
        <f>SUMIF(RAW_File!D:D,C:C,RAW_File!M:M)</f>
        <v>0</v>
      </c>
      <c r="I137" s="40">
        <f t="shared" si="3"/>
        <v>5000</v>
      </c>
    </row>
    <row r="138" spans="1:9" hidden="1" x14ac:dyDescent="0.25">
      <c r="A138" s="36" t="s">
        <v>65</v>
      </c>
      <c r="B138" s="36" t="s">
        <v>2774</v>
      </c>
      <c r="C138" s="36" t="s">
        <v>2775</v>
      </c>
      <c r="D138" s="37">
        <f>SUMIF(RAW_File!D:D,C:C,RAW_File!F:F)</f>
        <v>5074.4240943245559</v>
      </c>
      <c r="E138" s="38">
        <f>SUMIF(RAW_File!D:D,C:C,RAW_File!G:G)</f>
        <v>0</v>
      </c>
      <c r="F138" s="39">
        <f>SUMIF(RAW_File!D:D,C:C,RAW_File!I:I)</f>
        <v>0</v>
      </c>
      <c r="G138" s="40">
        <f>SUMIF(RAW_File!D:D,C:C,RAW_File!K:K)</f>
        <v>5000</v>
      </c>
      <c r="H138" s="41">
        <f>SUMIF(RAW_File!D:D,C:C,RAW_File!M:M)</f>
        <v>0</v>
      </c>
      <c r="I138" s="40">
        <f t="shared" si="3"/>
        <v>5000</v>
      </c>
    </row>
    <row r="139" spans="1:9" hidden="1" x14ac:dyDescent="0.25">
      <c r="A139" s="36" t="s">
        <v>65</v>
      </c>
      <c r="B139" s="36" t="s">
        <v>2818</v>
      </c>
      <c r="C139" s="36" t="s">
        <v>2819</v>
      </c>
      <c r="D139" s="37">
        <f>SUMIF(RAW_File!D:D,C:C,RAW_File!F:F)</f>
        <v>1137.981622680483</v>
      </c>
      <c r="E139" s="38">
        <f>SUMIF(RAW_File!D:D,C:C,RAW_File!G:G)</f>
        <v>4300</v>
      </c>
      <c r="F139" s="39">
        <f>SUMIF(RAW_File!D:D,C:C,RAW_File!I:I)</f>
        <v>5560</v>
      </c>
      <c r="G139" s="40">
        <f>SUMIF(RAW_File!D:D,C:C,RAW_File!K:K)</f>
        <v>10000</v>
      </c>
      <c r="H139" s="41">
        <f>SUMIF(RAW_File!D:D,C:C,RAW_File!M:M)</f>
        <v>5000</v>
      </c>
      <c r="I139" s="40">
        <f t="shared" si="3"/>
        <v>5000</v>
      </c>
    </row>
    <row r="140" spans="1:9" hidden="1" x14ac:dyDescent="0.25">
      <c r="A140" s="36" t="s">
        <v>65</v>
      </c>
      <c r="B140" s="36" t="s">
        <v>2853</v>
      </c>
      <c r="C140" s="36" t="s">
        <v>2854</v>
      </c>
      <c r="D140" s="37">
        <f>SUMIF(RAW_File!D:D,C:C,RAW_File!F:F)</f>
        <v>16251.659620950961</v>
      </c>
      <c r="E140" s="38">
        <f>SUMIF(RAW_File!D:D,C:C,RAW_File!G:G)</f>
        <v>400</v>
      </c>
      <c r="F140" s="39">
        <f>SUMIF(RAW_File!D:D,C:C,RAW_File!I:I)</f>
        <v>12900</v>
      </c>
      <c r="G140" s="40">
        <f>SUMIF(RAW_File!D:D,C:C,RAW_File!K:K)</f>
        <v>0</v>
      </c>
      <c r="H140" s="41">
        <f>SUMIF(RAW_File!D:D,C:C,RAW_File!M:M)</f>
        <v>20000</v>
      </c>
      <c r="I140" s="40">
        <f t="shared" si="3"/>
        <v>20000</v>
      </c>
    </row>
    <row r="141" spans="1:9" hidden="1" x14ac:dyDescent="0.25">
      <c r="A141" s="36" t="s">
        <v>65</v>
      </c>
      <c r="B141" s="36" t="s">
        <v>3155</v>
      </c>
      <c r="C141" s="36" t="s">
        <v>3156</v>
      </c>
      <c r="D141" s="37">
        <f>SUMIF(RAW_File!D:D,C:C,RAW_File!F:F)</f>
        <v>1251.8324</v>
      </c>
      <c r="E141" s="38">
        <f>SUMIF(RAW_File!D:D,C:C,RAW_File!G:G)</f>
        <v>5905</v>
      </c>
      <c r="F141" s="39">
        <f>SUMIF(RAW_File!D:D,C:C,RAW_File!I:I)</f>
        <v>10965</v>
      </c>
      <c r="G141" s="40">
        <f>SUMIF(RAW_File!D:D,C:C,RAW_File!K:K)</f>
        <v>5000</v>
      </c>
      <c r="H141" s="41">
        <f>SUMIF(RAW_File!D:D,C:C,RAW_File!M:M)</f>
        <v>0</v>
      </c>
      <c r="I141" s="40">
        <f t="shared" si="3"/>
        <v>5000</v>
      </c>
    </row>
    <row r="142" spans="1:9" hidden="1" x14ac:dyDescent="0.25">
      <c r="A142" s="36" t="s">
        <v>65</v>
      </c>
      <c r="B142" s="36" t="s">
        <v>3183</v>
      </c>
      <c r="C142" s="36" t="s">
        <v>3184</v>
      </c>
      <c r="D142" s="37">
        <f>SUMIF(RAW_File!D:D,C:C,RAW_File!F:F)</f>
        <v>3474.454092566134</v>
      </c>
      <c r="E142" s="38">
        <f>SUMIF(RAW_File!D:D,C:C,RAW_File!G:G)</f>
        <v>1000</v>
      </c>
      <c r="F142" s="39">
        <f>SUMIF(RAW_File!D:D,C:C,RAW_File!I:I)</f>
        <v>6000</v>
      </c>
      <c r="G142" s="40">
        <f>SUMIF(RAW_File!D:D,C:C,RAW_File!K:K)</f>
        <v>5000</v>
      </c>
      <c r="H142" s="41">
        <f>SUMIF(RAW_File!D:D,C:C,RAW_File!M:M)</f>
        <v>12000</v>
      </c>
      <c r="I142" s="40">
        <f t="shared" si="3"/>
        <v>7000</v>
      </c>
    </row>
    <row r="143" spans="1:9" hidden="1" x14ac:dyDescent="0.25">
      <c r="A143" s="36" t="s">
        <v>65</v>
      </c>
      <c r="B143" s="36" t="s">
        <v>3431</v>
      </c>
      <c r="C143" s="36" t="s">
        <v>3432</v>
      </c>
      <c r="D143" s="37">
        <f>SUMIF(RAW_File!D:D,C:C,RAW_File!F:F)</f>
        <v>15138.7996</v>
      </c>
      <c r="E143" s="38">
        <f>SUMIF(RAW_File!D:D,C:C,RAW_File!G:G)</f>
        <v>11800</v>
      </c>
      <c r="F143" s="39">
        <f>SUMIF(RAW_File!D:D,C:C,RAW_File!I:I)</f>
        <v>32050</v>
      </c>
      <c r="G143" s="40">
        <f>SUMIF(RAW_File!D:D,C:C,RAW_File!K:K)</f>
        <v>0</v>
      </c>
      <c r="H143" s="41">
        <f>SUMIF(RAW_File!D:D,C:C,RAW_File!M:M)</f>
        <v>10000</v>
      </c>
      <c r="I143" s="40">
        <f t="shared" si="3"/>
        <v>10000</v>
      </c>
    </row>
    <row r="144" spans="1:9" hidden="1" x14ac:dyDescent="0.25">
      <c r="A144" s="36" t="s">
        <v>65</v>
      </c>
      <c r="B144" s="36" t="s">
        <v>3445</v>
      </c>
      <c r="C144" s="36" t="s">
        <v>3446</v>
      </c>
      <c r="D144" s="37">
        <f>SUMIF(RAW_File!D:D,C:C,RAW_File!F:F)</f>
        <v>990.77080011600003</v>
      </c>
      <c r="E144" s="38">
        <f>SUMIF(RAW_File!D:D,C:C,RAW_File!G:G)</f>
        <v>7540</v>
      </c>
      <c r="F144" s="39">
        <f>SUMIF(RAW_File!D:D,C:C,RAW_File!I:I)</f>
        <v>10390</v>
      </c>
      <c r="G144" s="40">
        <f>SUMIF(RAW_File!D:D,C:C,RAW_File!K:K)</f>
        <v>5000</v>
      </c>
      <c r="H144" s="41">
        <f>SUMIF(RAW_File!D:D,C:C,RAW_File!M:M)</f>
        <v>0</v>
      </c>
      <c r="I144" s="40">
        <f t="shared" si="3"/>
        <v>5000</v>
      </c>
    </row>
    <row r="145" spans="1:9" hidden="1" x14ac:dyDescent="0.25">
      <c r="A145" s="36" t="s">
        <v>64</v>
      </c>
      <c r="B145" s="36" t="s">
        <v>318</v>
      </c>
      <c r="C145" s="36" t="s">
        <v>319</v>
      </c>
      <c r="D145" s="37">
        <f>SUMIF(RAW_File!D:D,C:C,RAW_File!F:F)</f>
        <v>0.84075</v>
      </c>
      <c r="E145" s="38">
        <f>SUMIF(RAW_File!D:D,C:C,RAW_File!G:G)</f>
        <v>0</v>
      </c>
      <c r="F145" s="39">
        <f>SUMIF(RAW_File!D:D,C:C,RAW_File!I:I)</f>
        <v>0</v>
      </c>
      <c r="G145" s="40">
        <f>SUMIF(RAW_File!D:D,C:C,RAW_File!K:K)</f>
        <v>0</v>
      </c>
      <c r="H145" s="41">
        <f>SUMIF(RAW_File!D:D,C:C,RAW_File!M:M)</f>
        <v>0</v>
      </c>
      <c r="I145" s="40">
        <f t="shared" si="3"/>
        <v>0</v>
      </c>
    </row>
    <row r="146" spans="1:9" hidden="1" x14ac:dyDescent="0.25">
      <c r="A146" s="36" t="s">
        <v>64</v>
      </c>
      <c r="B146" s="36" t="s">
        <v>336</v>
      </c>
      <c r="C146" s="36" t="s">
        <v>337</v>
      </c>
      <c r="D146" s="37">
        <f>SUMIF(RAW_File!D:D,C:C,RAW_File!F:F)</f>
        <v>13159.8033000046</v>
      </c>
      <c r="E146" s="38">
        <f>SUMIF(RAW_File!D:D,C:C,RAW_File!G:G)</f>
        <v>1100</v>
      </c>
      <c r="F146" s="39">
        <f>SUMIF(RAW_File!D:D,C:C,RAW_File!I:I)</f>
        <v>1300</v>
      </c>
      <c r="G146" s="40">
        <f>SUMIF(RAW_File!D:D,C:C,RAW_File!K:K)</f>
        <v>0</v>
      </c>
      <c r="H146" s="41">
        <f>SUMIF(RAW_File!D:D,C:C,RAW_File!M:M)</f>
        <v>0</v>
      </c>
      <c r="I146" s="40">
        <f t="shared" si="3"/>
        <v>0</v>
      </c>
    </row>
    <row r="147" spans="1:9" hidden="1" x14ac:dyDescent="0.25">
      <c r="A147" s="36" t="s">
        <v>64</v>
      </c>
      <c r="B147" s="36" t="s">
        <v>350</v>
      </c>
      <c r="C147" s="36" t="s">
        <v>351</v>
      </c>
      <c r="D147" s="37">
        <f>SUMIF(RAW_File!D:D,C:C,RAW_File!F:F)</f>
        <v>62099.875643478299</v>
      </c>
      <c r="E147" s="38">
        <f>SUMIF(RAW_File!D:D,C:C,RAW_File!G:G)</f>
        <v>88430</v>
      </c>
      <c r="F147" s="39">
        <f>SUMIF(RAW_File!D:D,C:C,RAW_File!I:I)</f>
        <v>121972</v>
      </c>
      <c r="G147" s="40">
        <f>SUMIF(RAW_File!D:D,C:C,RAW_File!K:K)</f>
        <v>58000</v>
      </c>
      <c r="H147" s="41">
        <f>SUMIF(RAW_File!D:D,C:C,RAW_File!M:M)</f>
        <v>0</v>
      </c>
      <c r="I147" s="40">
        <f t="shared" si="3"/>
        <v>58000</v>
      </c>
    </row>
    <row r="148" spans="1:9" hidden="1" x14ac:dyDescent="0.25">
      <c r="A148" s="36" t="s">
        <v>64</v>
      </c>
      <c r="B148" s="36" t="s">
        <v>147</v>
      </c>
      <c r="C148" s="36" t="s">
        <v>386</v>
      </c>
      <c r="D148" s="37">
        <f>SUMIF(RAW_File!D:D,C:C,RAW_File!F:F)</f>
        <v>3795.830607115528</v>
      </c>
      <c r="E148" s="38">
        <f>SUMIF(RAW_File!D:D,C:C,RAW_File!G:G)</f>
        <v>500</v>
      </c>
      <c r="F148" s="39">
        <f>SUMIF(RAW_File!D:D,C:C,RAW_File!I:I)</f>
        <v>700</v>
      </c>
      <c r="G148" s="40">
        <f>SUMIF(RAW_File!D:D,C:C,RAW_File!K:K)</f>
        <v>5000</v>
      </c>
      <c r="H148" s="41">
        <f>SUMIF(RAW_File!D:D,C:C,RAW_File!M:M)</f>
        <v>0</v>
      </c>
      <c r="I148" s="40">
        <f t="shared" si="3"/>
        <v>5000</v>
      </c>
    </row>
    <row r="149" spans="1:9" hidden="1" x14ac:dyDescent="0.25">
      <c r="A149" s="36" t="s">
        <v>64</v>
      </c>
      <c r="B149" s="36" t="s">
        <v>461</v>
      </c>
      <c r="C149" s="36" t="s">
        <v>462</v>
      </c>
      <c r="D149" s="37">
        <f>SUMIF(RAW_File!D:D,C:C,RAW_File!F:F)</f>
        <v>36651.982750229472</v>
      </c>
      <c r="E149" s="38">
        <f>SUMIF(RAW_File!D:D,C:C,RAW_File!G:G)</f>
        <v>0</v>
      </c>
      <c r="F149" s="39">
        <f>SUMIF(RAW_File!D:D,C:C,RAW_File!I:I)</f>
        <v>0</v>
      </c>
      <c r="G149" s="40">
        <f>SUMIF(RAW_File!D:D,C:C,RAW_File!K:K)</f>
        <v>5000</v>
      </c>
      <c r="H149" s="41">
        <f>SUMIF(RAW_File!D:D,C:C,RAW_File!M:M)</f>
        <v>0</v>
      </c>
      <c r="I149" s="40">
        <f t="shared" si="3"/>
        <v>5000</v>
      </c>
    </row>
    <row r="150" spans="1:9" hidden="1" x14ac:dyDescent="0.25">
      <c r="A150" s="36" t="s">
        <v>64</v>
      </c>
      <c r="B150" s="36" t="s">
        <v>504</v>
      </c>
      <c r="C150" s="36" t="s">
        <v>505</v>
      </c>
      <c r="D150" s="37">
        <f>SUMIF(RAW_File!D:D,C:C,RAW_File!F:F)</f>
        <v>1410.980128652647</v>
      </c>
      <c r="E150" s="38">
        <f>SUMIF(RAW_File!D:D,C:C,RAW_File!G:G)</f>
        <v>6020</v>
      </c>
      <c r="F150" s="39">
        <f>SUMIF(RAW_File!D:D,C:C,RAW_File!I:I)</f>
        <v>8490</v>
      </c>
      <c r="G150" s="40">
        <f>SUMIF(RAW_File!D:D,C:C,RAW_File!K:K)</f>
        <v>5000</v>
      </c>
      <c r="H150" s="41">
        <f>SUMIF(RAW_File!D:D,C:C,RAW_File!M:M)</f>
        <v>0</v>
      </c>
      <c r="I150" s="40">
        <f t="shared" si="3"/>
        <v>5000</v>
      </c>
    </row>
    <row r="151" spans="1:9" hidden="1" x14ac:dyDescent="0.25">
      <c r="A151" s="36" t="s">
        <v>64</v>
      </c>
      <c r="B151" s="36" t="s">
        <v>515</v>
      </c>
      <c r="C151" s="36" t="s">
        <v>516</v>
      </c>
      <c r="D151" s="37">
        <f>SUMIF(RAW_File!D:D,C:C,RAW_File!F:F)</f>
        <v>71267.8539260775</v>
      </c>
      <c r="E151" s="38">
        <f>SUMIF(RAW_File!D:D,C:C,RAW_File!G:G)</f>
        <v>88020</v>
      </c>
      <c r="F151" s="39">
        <f>SUMIF(RAW_File!D:D,C:C,RAW_File!I:I)</f>
        <v>126270</v>
      </c>
      <c r="G151" s="40">
        <f>SUMIF(RAW_File!D:D,C:C,RAW_File!K:K)</f>
        <v>100000</v>
      </c>
      <c r="H151" s="41">
        <f>SUMIF(RAW_File!D:D,C:C,RAW_File!M:M)</f>
        <v>0</v>
      </c>
      <c r="I151" s="40">
        <f t="shared" si="3"/>
        <v>100000</v>
      </c>
    </row>
    <row r="152" spans="1:9" hidden="1" x14ac:dyDescent="0.25">
      <c r="A152" s="36" t="s">
        <v>64</v>
      </c>
      <c r="B152" s="36" t="s">
        <v>539</v>
      </c>
      <c r="C152" s="36" t="s">
        <v>540</v>
      </c>
      <c r="D152" s="37">
        <f>SUMIF(RAW_File!D:D,C:C,RAW_File!F:F)</f>
        <v>402.40146777069992</v>
      </c>
      <c r="E152" s="38">
        <f>SUMIF(RAW_File!D:D,C:C,RAW_File!G:G)</f>
        <v>0</v>
      </c>
      <c r="F152" s="39">
        <f>SUMIF(RAW_File!D:D,C:C,RAW_File!I:I)</f>
        <v>0</v>
      </c>
      <c r="G152" s="40">
        <f>SUMIF(RAW_File!D:D,C:C,RAW_File!K:K)</f>
        <v>0</v>
      </c>
      <c r="H152" s="41">
        <f>SUMIF(RAW_File!D:D,C:C,RAW_File!M:M)</f>
        <v>0</v>
      </c>
      <c r="I152" s="40">
        <f t="shared" si="3"/>
        <v>0</v>
      </c>
    </row>
    <row r="153" spans="1:9" hidden="1" x14ac:dyDescent="0.25">
      <c r="A153" s="36" t="s">
        <v>64</v>
      </c>
      <c r="B153" s="36" t="s">
        <v>588</v>
      </c>
      <c r="C153" s="36" t="s">
        <v>589</v>
      </c>
      <c r="D153" s="37">
        <f>SUMIF(RAW_File!D:D,C:C,RAW_File!F:F)</f>
        <v>9607.0598498712006</v>
      </c>
      <c r="E153" s="38">
        <f>SUMIF(RAW_File!D:D,C:C,RAW_File!G:G)</f>
        <v>15320</v>
      </c>
      <c r="F153" s="39">
        <f>SUMIF(RAW_File!D:D,C:C,RAW_File!I:I)</f>
        <v>30340</v>
      </c>
      <c r="G153" s="40">
        <f>SUMIF(RAW_File!D:D,C:C,RAW_File!K:K)</f>
        <v>10000</v>
      </c>
      <c r="H153" s="41">
        <f>SUMIF(RAW_File!D:D,C:C,RAW_File!M:M)</f>
        <v>0</v>
      </c>
      <c r="I153" s="40">
        <f t="shared" si="3"/>
        <v>10000</v>
      </c>
    </row>
    <row r="154" spans="1:9" hidden="1" x14ac:dyDescent="0.25">
      <c r="A154" s="36" t="s">
        <v>64</v>
      </c>
      <c r="B154" s="36" t="s">
        <v>616</v>
      </c>
      <c r="C154" s="36" t="s">
        <v>617</v>
      </c>
      <c r="D154" s="37">
        <f>SUMIF(RAW_File!D:D,C:C,RAW_File!F:F)</f>
        <v>31033.780500000001</v>
      </c>
      <c r="E154" s="38">
        <f>SUMIF(RAW_File!D:D,C:C,RAW_File!G:G)</f>
        <v>20740</v>
      </c>
      <c r="F154" s="39">
        <f>SUMIF(RAW_File!D:D,C:C,RAW_File!I:I)</f>
        <v>37020</v>
      </c>
      <c r="G154" s="40">
        <f>SUMIF(RAW_File!D:D,C:C,RAW_File!K:K)</f>
        <v>30000</v>
      </c>
      <c r="H154" s="41">
        <f>SUMIF(RAW_File!D:D,C:C,RAW_File!M:M)</f>
        <v>0</v>
      </c>
      <c r="I154" s="40">
        <f t="shared" si="3"/>
        <v>30000</v>
      </c>
    </row>
    <row r="155" spans="1:9" hidden="1" x14ac:dyDescent="0.25">
      <c r="A155" s="36" t="s">
        <v>64</v>
      </c>
      <c r="B155" s="36" t="s">
        <v>745</v>
      </c>
      <c r="C155" s="36" t="s">
        <v>746</v>
      </c>
      <c r="D155" s="37">
        <f>SUMIF(RAW_File!D:D,C:C,RAW_File!F:F)</f>
        <v>20270.526547091162</v>
      </c>
      <c r="E155" s="38">
        <f>SUMIF(RAW_File!D:D,C:C,RAW_File!G:G)</f>
        <v>2050</v>
      </c>
      <c r="F155" s="39">
        <f>SUMIF(RAW_File!D:D,C:C,RAW_File!I:I)</f>
        <v>2560</v>
      </c>
      <c r="G155" s="40">
        <f>SUMIF(RAW_File!D:D,C:C,RAW_File!K:K)</f>
        <v>5000</v>
      </c>
      <c r="H155" s="41">
        <f>SUMIF(RAW_File!D:D,C:C,RAW_File!M:M)</f>
        <v>0</v>
      </c>
      <c r="I155" s="40">
        <f t="shared" si="3"/>
        <v>5000</v>
      </c>
    </row>
    <row r="156" spans="1:9" hidden="1" x14ac:dyDescent="0.25">
      <c r="A156" s="36" t="s">
        <v>64</v>
      </c>
      <c r="B156" s="36" t="s">
        <v>816</v>
      </c>
      <c r="C156" s="36" t="s">
        <v>817</v>
      </c>
      <c r="D156" s="37">
        <f>SUMIF(RAW_File!D:D,C:C,RAW_File!F:F)</f>
        <v>4210.8615346041161</v>
      </c>
      <c r="E156" s="38">
        <f>SUMIF(RAW_File!D:D,C:C,RAW_File!G:G)</f>
        <v>120</v>
      </c>
      <c r="F156" s="39">
        <f>SUMIF(RAW_File!D:D,C:C,RAW_File!I:I)</f>
        <v>3429</v>
      </c>
      <c r="G156" s="40">
        <f>SUMIF(RAW_File!D:D,C:C,RAW_File!K:K)</f>
        <v>0</v>
      </c>
      <c r="H156" s="41">
        <f>SUMIF(RAW_File!D:D,C:C,RAW_File!M:M)</f>
        <v>0</v>
      </c>
      <c r="I156" s="40">
        <f t="shared" si="3"/>
        <v>0</v>
      </c>
    </row>
    <row r="157" spans="1:9" hidden="1" x14ac:dyDescent="0.25">
      <c r="A157" s="36" t="s">
        <v>64</v>
      </c>
      <c r="B157" s="36" t="s">
        <v>899</v>
      </c>
      <c r="C157" s="36" t="s">
        <v>900</v>
      </c>
      <c r="D157" s="37">
        <f>SUMIF(RAW_File!D:D,C:C,RAW_File!F:F)</f>
        <v>31427.892174754419</v>
      </c>
      <c r="E157" s="38">
        <f>SUMIF(RAW_File!D:D,C:C,RAW_File!G:G)</f>
        <v>410</v>
      </c>
      <c r="F157" s="39">
        <f>SUMIF(RAW_File!D:D,C:C,RAW_File!I:I)</f>
        <v>1960</v>
      </c>
      <c r="G157" s="40">
        <f>SUMIF(RAW_File!D:D,C:C,RAW_File!K:K)</f>
        <v>5000</v>
      </c>
      <c r="H157" s="41">
        <f>SUMIF(RAW_File!D:D,C:C,RAW_File!M:M)</f>
        <v>0</v>
      </c>
      <c r="I157" s="40">
        <f t="shared" si="3"/>
        <v>5000</v>
      </c>
    </row>
    <row r="158" spans="1:9" hidden="1" x14ac:dyDescent="0.25">
      <c r="A158" s="36" t="s">
        <v>64</v>
      </c>
      <c r="B158" s="36" t="s">
        <v>1019</v>
      </c>
      <c r="C158" s="36" t="s">
        <v>1020</v>
      </c>
      <c r="D158" s="37">
        <f>SUMIF(RAW_File!D:D,C:C,RAW_File!F:F)</f>
        <v>17685.235383940038</v>
      </c>
      <c r="E158" s="38">
        <f>SUMIF(RAW_File!D:D,C:C,RAW_File!G:G)</f>
        <v>4570</v>
      </c>
      <c r="F158" s="39">
        <f>SUMIF(RAW_File!D:D,C:C,RAW_File!I:I)</f>
        <v>16660</v>
      </c>
      <c r="G158" s="40">
        <f>SUMIF(RAW_File!D:D,C:C,RAW_File!K:K)</f>
        <v>0</v>
      </c>
      <c r="H158" s="41">
        <f>SUMIF(RAW_File!D:D,C:C,RAW_File!M:M)</f>
        <v>5000</v>
      </c>
      <c r="I158" s="40">
        <f t="shared" si="3"/>
        <v>5000</v>
      </c>
    </row>
    <row r="159" spans="1:9" hidden="1" x14ac:dyDescent="0.25">
      <c r="A159" s="36" t="s">
        <v>64</v>
      </c>
      <c r="B159" s="36" t="s">
        <v>1077</v>
      </c>
      <c r="C159" s="36" t="s">
        <v>1078</v>
      </c>
      <c r="D159" s="37">
        <f>SUMIF(RAW_File!D:D,C:C,RAW_File!F:F)</f>
        <v>22995.23481419955</v>
      </c>
      <c r="E159" s="38">
        <f>SUMIF(RAW_File!D:D,C:C,RAW_File!G:G)</f>
        <v>0</v>
      </c>
      <c r="F159" s="39">
        <f>SUMIF(RAW_File!D:D,C:C,RAW_File!I:I)</f>
        <v>0</v>
      </c>
      <c r="G159" s="40">
        <f>SUMIF(RAW_File!D:D,C:C,RAW_File!K:K)</f>
        <v>6000</v>
      </c>
      <c r="H159" s="41">
        <f>SUMIF(RAW_File!D:D,C:C,RAW_File!M:M)</f>
        <v>0</v>
      </c>
      <c r="I159" s="40">
        <f t="shared" si="3"/>
        <v>6000</v>
      </c>
    </row>
    <row r="160" spans="1:9" hidden="1" x14ac:dyDescent="0.25">
      <c r="A160" s="36" t="s">
        <v>64</v>
      </c>
      <c r="B160" s="36" t="s">
        <v>1089</v>
      </c>
      <c r="C160" s="36" t="s">
        <v>1090</v>
      </c>
      <c r="D160" s="37">
        <f>SUMIF(RAW_File!D:D,C:C,RAW_File!F:F)</f>
        <v>5955.6178495682243</v>
      </c>
      <c r="E160" s="38">
        <f>SUMIF(RAW_File!D:D,C:C,RAW_File!G:G)</f>
        <v>18605</v>
      </c>
      <c r="F160" s="39">
        <f>SUMIF(RAW_File!D:D,C:C,RAW_File!I:I)</f>
        <v>81005</v>
      </c>
      <c r="G160" s="40">
        <f>SUMIF(RAW_File!D:D,C:C,RAW_File!K:K)</f>
        <v>20000</v>
      </c>
      <c r="H160" s="41">
        <f>SUMIF(RAW_File!D:D,C:C,RAW_File!M:M)</f>
        <v>60000</v>
      </c>
      <c r="I160" s="40">
        <f t="shared" si="3"/>
        <v>40000</v>
      </c>
    </row>
    <row r="161" spans="1:9" hidden="1" x14ac:dyDescent="0.25">
      <c r="A161" s="36" t="s">
        <v>64</v>
      </c>
      <c r="B161" s="36" t="s">
        <v>1147</v>
      </c>
      <c r="C161" s="36" t="s">
        <v>1148</v>
      </c>
      <c r="D161" s="37">
        <f>SUMIF(RAW_File!D:D,C:C,RAW_File!F:F)</f>
        <v>46038.753254406802</v>
      </c>
      <c r="E161" s="38">
        <f>SUMIF(RAW_File!D:D,C:C,RAW_File!G:G)</f>
        <v>1515</v>
      </c>
      <c r="F161" s="39">
        <f>SUMIF(RAW_File!D:D,C:C,RAW_File!I:I)</f>
        <v>8215</v>
      </c>
      <c r="G161" s="40">
        <f>SUMIF(RAW_File!D:D,C:C,RAW_File!K:K)</f>
        <v>12000</v>
      </c>
      <c r="H161" s="41">
        <f>SUMIF(RAW_File!D:D,C:C,RAW_File!M:M)</f>
        <v>0</v>
      </c>
      <c r="I161" s="40">
        <f t="shared" si="3"/>
        <v>12000</v>
      </c>
    </row>
    <row r="162" spans="1:9" hidden="1" x14ac:dyDescent="0.25">
      <c r="A162" s="36" t="s">
        <v>64</v>
      </c>
      <c r="B162" s="36" t="s">
        <v>1388</v>
      </c>
      <c r="C162" s="36" t="s">
        <v>1389</v>
      </c>
      <c r="D162" s="37">
        <f>SUMIF(RAW_File!D:D,C:C,RAW_File!F:F)</f>
        <v>1.8130999999999999</v>
      </c>
      <c r="E162" s="38">
        <f>SUMIF(RAW_File!D:D,C:C,RAW_File!G:G)</f>
        <v>0</v>
      </c>
      <c r="F162" s="39">
        <f>SUMIF(RAW_File!D:D,C:C,RAW_File!I:I)</f>
        <v>0</v>
      </c>
      <c r="G162" s="40">
        <f>SUMIF(RAW_File!D:D,C:C,RAW_File!K:K)</f>
        <v>0</v>
      </c>
      <c r="H162" s="41">
        <f>SUMIF(RAW_File!D:D,C:C,RAW_File!M:M)</f>
        <v>0</v>
      </c>
      <c r="I162" s="40">
        <f t="shared" si="3"/>
        <v>0</v>
      </c>
    </row>
    <row r="163" spans="1:9" hidden="1" x14ac:dyDescent="0.25">
      <c r="A163" s="36" t="s">
        <v>64</v>
      </c>
      <c r="B163" s="36" t="s">
        <v>1558</v>
      </c>
      <c r="C163" s="36" t="s">
        <v>1559</v>
      </c>
      <c r="D163" s="37">
        <f>SUMIF(RAW_File!D:D,C:C,RAW_File!F:F)</f>
        <v>44694.127976349388</v>
      </c>
      <c r="E163" s="38">
        <f>SUMIF(RAW_File!D:D,C:C,RAW_File!G:G)</f>
        <v>64257</v>
      </c>
      <c r="F163" s="39">
        <f>SUMIF(RAW_File!D:D,C:C,RAW_File!I:I)</f>
        <v>65447</v>
      </c>
      <c r="G163" s="40">
        <f>SUMIF(RAW_File!D:D,C:C,RAW_File!K:K)</f>
        <v>75000</v>
      </c>
      <c r="H163" s="41">
        <f>SUMIF(RAW_File!D:D,C:C,RAW_File!M:M)</f>
        <v>0</v>
      </c>
      <c r="I163" s="40">
        <f t="shared" si="3"/>
        <v>75000</v>
      </c>
    </row>
    <row r="164" spans="1:9" hidden="1" x14ac:dyDescent="0.25">
      <c r="A164" s="36" t="s">
        <v>64</v>
      </c>
      <c r="B164" s="36" t="s">
        <v>1582</v>
      </c>
      <c r="C164" s="36" t="s">
        <v>1583</v>
      </c>
      <c r="D164" s="37">
        <f>SUMIF(RAW_File!D:D,C:C,RAW_File!F:F)</f>
        <v>7035.7402291251474</v>
      </c>
      <c r="E164" s="38">
        <f>SUMIF(RAW_File!D:D,C:C,RAW_File!G:G)</f>
        <v>0</v>
      </c>
      <c r="F164" s="39">
        <f>SUMIF(RAW_File!D:D,C:C,RAW_File!I:I)</f>
        <v>1495</v>
      </c>
      <c r="G164" s="40">
        <f>SUMIF(RAW_File!D:D,C:C,RAW_File!K:K)</f>
        <v>5000</v>
      </c>
      <c r="H164" s="41">
        <f>SUMIF(RAW_File!D:D,C:C,RAW_File!M:M)</f>
        <v>0</v>
      </c>
      <c r="I164" s="40">
        <f t="shared" si="3"/>
        <v>5000</v>
      </c>
    </row>
    <row r="165" spans="1:9" hidden="1" x14ac:dyDescent="0.25">
      <c r="A165" s="36" t="s">
        <v>64</v>
      </c>
      <c r="B165" s="36" t="s">
        <v>1611</v>
      </c>
      <c r="C165" s="36" t="s">
        <v>1612</v>
      </c>
      <c r="D165" s="37">
        <f>SUMIF(RAW_File!D:D,C:C,RAW_File!F:F)</f>
        <v>13616.5581</v>
      </c>
      <c r="E165" s="38">
        <f>SUMIF(RAW_File!D:D,C:C,RAW_File!G:G)</f>
        <v>9778</v>
      </c>
      <c r="F165" s="39">
        <f>SUMIF(RAW_File!D:D,C:C,RAW_File!I:I)</f>
        <v>14588</v>
      </c>
      <c r="G165" s="40">
        <f>SUMIF(RAW_File!D:D,C:C,RAW_File!K:K)</f>
        <v>5000</v>
      </c>
      <c r="H165" s="41">
        <f>SUMIF(RAW_File!D:D,C:C,RAW_File!M:M)</f>
        <v>0</v>
      </c>
      <c r="I165" s="40">
        <f t="shared" si="3"/>
        <v>5000</v>
      </c>
    </row>
    <row r="166" spans="1:9" hidden="1" x14ac:dyDescent="0.25">
      <c r="A166" s="36" t="s">
        <v>64</v>
      </c>
      <c r="B166" s="36" t="s">
        <v>1706</v>
      </c>
      <c r="C166" s="36" t="s">
        <v>1707</v>
      </c>
      <c r="D166" s="37">
        <f>SUMIF(RAW_File!D:D,C:C,RAW_File!F:F)</f>
        <v>12302.5084000723</v>
      </c>
      <c r="E166" s="38">
        <f>SUMIF(RAW_File!D:D,C:C,RAW_File!G:G)</f>
        <v>28830</v>
      </c>
      <c r="F166" s="39">
        <f>SUMIF(RAW_File!D:D,C:C,RAW_File!I:I)</f>
        <v>68660</v>
      </c>
      <c r="G166" s="40">
        <f>SUMIF(RAW_File!D:D,C:C,RAW_File!K:K)</f>
        <v>18000</v>
      </c>
      <c r="H166" s="41">
        <f>SUMIF(RAW_File!D:D,C:C,RAW_File!M:M)</f>
        <v>40000</v>
      </c>
      <c r="I166" s="40">
        <f t="shared" si="3"/>
        <v>22000</v>
      </c>
    </row>
    <row r="167" spans="1:9" hidden="1" x14ac:dyDescent="0.25">
      <c r="A167" s="36" t="s">
        <v>64</v>
      </c>
      <c r="B167" s="36" t="s">
        <v>1724</v>
      </c>
      <c r="C167" s="36" t="s">
        <v>1725</v>
      </c>
      <c r="D167" s="37">
        <f>SUMIF(RAW_File!D:D,C:C,RAW_File!F:F)</f>
        <v>4678.1722</v>
      </c>
      <c r="E167" s="38">
        <f>SUMIF(RAW_File!D:D,C:C,RAW_File!G:G)</f>
        <v>250</v>
      </c>
      <c r="F167" s="39">
        <f>SUMIF(RAW_File!D:D,C:C,RAW_File!I:I)</f>
        <v>250</v>
      </c>
      <c r="G167" s="40">
        <f>SUMIF(RAW_File!D:D,C:C,RAW_File!K:K)</f>
        <v>0</v>
      </c>
      <c r="H167" s="41">
        <f>SUMIF(RAW_File!D:D,C:C,RAW_File!M:M)</f>
        <v>5000</v>
      </c>
      <c r="I167" s="40">
        <f t="shared" si="3"/>
        <v>5000</v>
      </c>
    </row>
    <row r="168" spans="1:9" hidden="1" x14ac:dyDescent="0.25">
      <c r="A168" s="36" t="s">
        <v>64</v>
      </c>
      <c r="B168" s="36" t="s">
        <v>1876</v>
      </c>
      <c r="C168" s="36" t="s">
        <v>1877</v>
      </c>
      <c r="D168" s="37">
        <f>SUMIF(RAW_File!D:D,C:C,RAW_File!F:F)</f>
        <v>38511.038099999998</v>
      </c>
      <c r="E168" s="38">
        <f>SUMIF(RAW_File!D:D,C:C,RAW_File!G:G)</f>
        <v>410</v>
      </c>
      <c r="F168" s="39">
        <f>SUMIF(RAW_File!D:D,C:C,RAW_File!I:I)</f>
        <v>1210</v>
      </c>
      <c r="G168" s="40">
        <f>SUMIF(RAW_File!D:D,C:C,RAW_File!K:K)</f>
        <v>6000</v>
      </c>
      <c r="H168" s="41">
        <f>SUMIF(RAW_File!D:D,C:C,RAW_File!M:M)</f>
        <v>0</v>
      </c>
      <c r="I168" s="40">
        <f t="shared" si="3"/>
        <v>6000</v>
      </c>
    </row>
    <row r="169" spans="1:9" hidden="1" x14ac:dyDescent="0.25">
      <c r="A169" s="36" t="s">
        <v>64</v>
      </c>
      <c r="B169" s="36" t="s">
        <v>1923</v>
      </c>
      <c r="C169" s="36" t="s">
        <v>1924</v>
      </c>
      <c r="D169" s="37">
        <f>SUMIF(RAW_File!D:D,C:C,RAW_File!F:F)</f>
        <v>8454.0044999999991</v>
      </c>
      <c r="E169" s="38">
        <f>SUMIF(RAW_File!D:D,C:C,RAW_File!G:G)</f>
        <v>11630</v>
      </c>
      <c r="F169" s="39">
        <f>SUMIF(RAW_File!D:D,C:C,RAW_File!I:I)</f>
        <v>74410</v>
      </c>
      <c r="G169" s="40">
        <f>SUMIF(RAW_File!D:D,C:C,RAW_File!K:K)</f>
        <v>0</v>
      </c>
      <c r="H169" s="41">
        <f>SUMIF(RAW_File!D:D,C:C,RAW_File!M:M)</f>
        <v>110000</v>
      </c>
      <c r="I169" s="40">
        <f t="shared" si="3"/>
        <v>110000</v>
      </c>
    </row>
    <row r="170" spans="1:9" hidden="1" x14ac:dyDescent="0.25">
      <c r="A170" s="36" t="s">
        <v>64</v>
      </c>
      <c r="B170" s="36" t="s">
        <v>1972</v>
      </c>
      <c r="C170" s="36" t="s">
        <v>1973</v>
      </c>
      <c r="D170" s="37">
        <f>SUMIF(RAW_File!D:D,C:C,RAW_File!F:F)</f>
        <v>979.03443534358075</v>
      </c>
      <c r="E170" s="38">
        <f>SUMIF(RAW_File!D:D,C:C,RAW_File!G:G)</f>
        <v>4065</v>
      </c>
      <c r="F170" s="39">
        <f>SUMIF(RAW_File!D:D,C:C,RAW_File!I:I)</f>
        <v>4065</v>
      </c>
      <c r="G170" s="40">
        <f>SUMIF(RAW_File!D:D,C:C,RAW_File!K:K)</f>
        <v>5000</v>
      </c>
      <c r="H170" s="41">
        <f>SUMIF(RAW_File!D:D,C:C,RAW_File!M:M)</f>
        <v>0</v>
      </c>
      <c r="I170" s="40">
        <f t="shared" si="3"/>
        <v>5000</v>
      </c>
    </row>
    <row r="171" spans="1:9" hidden="1" x14ac:dyDescent="0.25">
      <c r="A171" s="36" t="s">
        <v>64</v>
      </c>
      <c r="B171" s="36" t="s">
        <v>2053</v>
      </c>
      <c r="C171" s="36" t="s">
        <v>2054</v>
      </c>
      <c r="D171" s="37">
        <f>SUMIF(RAW_File!D:D,C:C,RAW_File!F:F)</f>
        <v>21007.507676908699</v>
      </c>
      <c r="E171" s="38">
        <f>SUMIF(RAW_File!D:D,C:C,RAW_File!G:G)</f>
        <v>0</v>
      </c>
      <c r="F171" s="39">
        <f>SUMIF(RAW_File!D:D,C:C,RAW_File!I:I)</f>
        <v>500</v>
      </c>
      <c r="G171" s="40">
        <f>SUMIF(RAW_File!D:D,C:C,RAW_File!K:K)</f>
        <v>0</v>
      </c>
      <c r="H171" s="41">
        <f>SUMIF(RAW_File!D:D,C:C,RAW_File!M:M)</f>
        <v>5000</v>
      </c>
      <c r="I171" s="40">
        <f t="shared" si="3"/>
        <v>5000</v>
      </c>
    </row>
    <row r="172" spans="1:9" hidden="1" x14ac:dyDescent="0.25">
      <c r="A172" s="36" t="s">
        <v>64</v>
      </c>
      <c r="B172" s="36" t="s">
        <v>2087</v>
      </c>
      <c r="C172" s="36" t="s">
        <v>2088</v>
      </c>
      <c r="D172" s="37">
        <f>SUMIF(RAW_File!D:D,C:C,RAW_File!F:F)</f>
        <v>10036.29733448257</v>
      </c>
      <c r="E172" s="38">
        <f>SUMIF(RAW_File!D:D,C:C,RAW_File!G:G)</f>
        <v>0</v>
      </c>
      <c r="F172" s="39">
        <f>SUMIF(RAW_File!D:D,C:C,RAW_File!I:I)</f>
        <v>0</v>
      </c>
      <c r="G172" s="40">
        <f>SUMIF(RAW_File!D:D,C:C,RAW_File!K:K)</f>
        <v>6000</v>
      </c>
      <c r="H172" s="41">
        <f>SUMIF(RAW_File!D:D,C:C,RAW_File!M:M)</f>
        <v>0</v>
      </c>
      <c r="I172" s="40">
        <f t="shared" si="3"/>
        <v>6000</v>
      </c>
    </row>
    <row r="173" spans="1:9" hidden="1" x14ac:dyDescent="0.25">
      <c r="A173" s="36" t="s">
        <v>64</v>
      </c>
      <c r="B173" s="36" t="s">
        <v>2159</v>
      </c>
      <c r="C173" s="36" t="s">
        <v>2160</v>
      </c>
      <c r="D173" s="37">
        <f>SUMIF(RAW_File!D:D,C:C,RAW_File!F:F)</f>
        <v>2598.8114500000001</v>
      </c>
      <c r="E173" s="38">
        <f>SUMIF(RAW_File!D:D,C:C,RAW_File!G:G)</f>
        <v>9685</v>
      </c>
      <c r="F173" s="39">
        <f>SUMIF(RAW_File!D:D,C:C,RAW_File!I:I)</f>
        <v>12185</v>
      </c>
      <c r="G173" s="40">
        <f>SUMIF(RAW_File!D:D,C:C,RAW_File!K:K)</f>
        <v>6000</v>
      </c>
      <c r="H173" s="41">
        <f>SUMIF(RAW_File!D:D,C:C,RAW_File!M:M)</f>
        <v>0</v>
      </c>
      <c r="I173" s="40">
        <f t="shared" si="3"/>
        <v>6000</v>
      </c>
    </row>
    <row r="174" spans="1:9" hidden="1" x14ac:dyDescent="0.25">
      <c r="A174" s="36" t="s">
        <v>64</v>
      </c>
      <c r="B174" s="36" t="s">
        <v>2582</v>
      </c>
      <c r="C174" s="36" t="s">
        <v>2583</v>
      </c>
      <c r="D174" s="37">
        <f>SUMIF(RAW_File!D:D,C:C,RAW_File!F:F)</f>
        <v>11880.870692385901</v>
      </c>
      <c r="E174" s="38">
        <f>SUMIF(RAW_File!D:D,C:C,RAW_File!G:G)</f>
        <v>1260</v>
      </c>
      <c r="F174" s="39">
        <f>SUMIF(RAW_File!D:D,C:C,RAW_File!I:I)</f>
        <v>1260</v>
      </c>
      <c r="G174" s="40">
        <f>SUMIF(RAW_File!D:D,C:C,RAW_File!K:K)</f>
        <v>5000</v>
      </c>
      <c r="H174" s="41">
        <f>SUMIF(RAW_File!D:D,C:C,RAW_File!M:M)</f>
        <v>0</v>
      </c>
      <c r="I174" s="40">
        <f t="shared" si="3"/>
        <v>5000</v>
      </c>
    </row>
    <row r="175" spans="1:9" hidden="1" x14ac:dyDescent="0.25">
      <c r="A175" s="36" t="s">
        <v>64</v>
      </c>
      <c r="B175" s="36" t="s">
        <v>2598</v>
      </c>
      <c r="C175" s="36" t="s">
        <v>2599</v>
      </c>
      <c r="D175" s="37">
        <f>SUMIF(RAW_File!D:D,C:C,RAW_File!F:F)</f>
        <v>9.0450320442024079</v>
      </c>
      <c r="E175" s="38">
        <f>SUMIF(RAW_File!D:D,C:C,RAW_File!G:G)</f>
        <v>0</v>
      </c>
      <c r="F175" s="39">
        <f>SUMIF(RAW_File!D:D,C:C,RAW_File!I:I)</f>
        <v>0</v>
      </c>
      <c r="G175" s="40">
        <f>SUMIF(RAW_File!D:D,C:C,RAW_File!K:K)</f>
        <v>0</v>
      </c>
      <c r="H175" s="41">
        <f>SUMIF(RAW_File!D:D,C:C,RAW_File!M:M)</f>
        <v>0</v>
      </c>
      <c r="I175" s="40">
        <f t="shared" si="3"/>
        <v>0</v>
      </c>
    </row>
    <row r="176" spans="1:9" hidden="1" x14ac:dyDescent="0.25">
      <c r="A176" s="36" t="s">
        <v>64</v>
      </c>
      <c r="B176" s="36" t="s">
        <v>147</v>
      </c>
      <c r="C176" s="36" t="s">
        <v>2635</v>
      </c>
      <c r="D176" s="37">
        <f>SUMIF(RAW_File!D:D,C:C,RAW_File!F:F)</f>
        <v>22.531199999999998</v>
      </c>
      <c r="E176" s="38">
        <f>SUMIF(RAW_File!D:D,C:C,RAW_File!G:G)</f>
        <v>5020</v>
      </c>
      <c r="F176" s="39">
        <f>SUMIF(RAW_File!D:D,C:C,RAW_File!I:I)</f>
        <v>5020</v>
      </c>
      <c r="G176" s="40">
        <f>SUMIF(RAW_File!D:D,C:C,RAW_File!K:K)</f>
        <v>5000</v>
      </c>
      <c r="H176" s="41">
        <f>SUMIF(RAW_File!D:D,C:C,RAW_File!M:M)</f>
        <v>0</v>
      </c>
      <c r="I176" s="40">
        <f t="shared" si="3"/>
        <v>5000</v>
      </c>
    </row>
    <row r="177" spans="1:9" hidden="1" x14ac:dyDescent="0.25">
      <c r="A177" s="36" t="s">
        <v>64</v>
      </c>
      <c r="B177" s="36" t="s">
        <v>2732</v>
      </c>
      <c r="C177" s="36" t="s">
        <v>2733</v>
      </c>
      <c r="D177" s="37">
        <f>SUMIF(RAW_File!D:D,C:C,RAW_File!F:F)</f>
        <v>1493.236821314164</v>
      </c>
      <c r="E177" s="38">
        <f>SUMIF(RAW_File!D:D,C:C,RAW_File!G:G)</f>
        <v>15500</v>
      </c>
      <c r="F177" s="39">
        <f>SUMIF(RAW_File!D:D,C:C,RAW_File!I:I)</f>
        <v>27700</v>
      </c>
      <c r="G177" s="40">
        <f>SUMIF(RAW_File!D:D,C:C,RAW_File!K:K)</f>
        <v>6000</v>
      </c>
      <c r="H177" s="41">
        <f>SUMIF(RAW_File!D:D,C:C,RAW_File!M:M)</f>
        <v>0</v>
      </c>
      <c r="I177" s="40">
        <f t="shared" si="3"/>
        <v>6000</v>
      </c>
    </row>
    <row r="178" spans="1:9" hidden="1" x14ac:dyDescent="0.25">
      <c r="A178" s="36" t="s">
        <v>64</v>
      </c>
      <c r="B178" s="36" t="s">
        <v>2849</v>
      </c>
      <c r="C178" s="36" t="s">
        <v>2850</v>
      </c>
      <c r="D178" s="37">
        <f>SUMIF(RAW_File!D:D,C:C,RAW_File!F:F)</f>
        <v>6726.5727263007648</v>
      </c>
      <c r="E178" s="38">
        <f>SUMIF(RAW_File!D:D,C:C,RAW_File!G:G)</f>
        <v>16630</v>
      </c>
      <c r="F178" s="39">
        <f>SUMIF(RAW_File!D:D,C:C,RAW_File!I:I)</f>
        <v>25960</v>
      </c>
      <c r="G178" s="40">
        <f>SUMIF(RAW_File!D:D,C:C,RAW_File!K:K)</f>
        <v>10000</v>
      </c>
      <c r="H178" s="41">
        <f>SUMIF(RAW_File!D:D,C:C,RAW_File!M:M)</f>
        <v>0</v>
      </c>
      <c r="I178" s="40">
        <f t="shared" si="3"/>
        <v>10000</v>
      </c>
    </row>
    <row r="179" spans="1:9" hidden="1" x14ac:dyDescent="0.25">
      <c r="A179" s="36" t="s">
        <v>64</v>
      </c>
      <c r="B179" s="36" t="s">
        <v>2932</v>
      </c>
      <c r="C179" s="36" t="s">
        <v>2933</v>
      </c>
      <c r="D179" s="37">
        <f>SUMIF(RAW_File!D:D,C:C,RAW_File!F:F)</f>
        <v>16985.12615390998</v>
      </c>
      <c r="E179" s="38">
        <f>SUMIF(RAW_File!D:D,C:C,RAW_File!G:G)</f>
        <v>5050</v>
      </c>
      <c r="F179" s="39">
        <f>SUMIF(RAW_File!D:D,C:C,RAW_File!I:I)</f>
        <v>13678</v>
      </c>
      <c r="G179" s="40">
        <f>SUMIF(RAW_File!D:D,C:C,RAW_File!K:K)</f>
        <v>0</v>
      </c>
      <c r="H179" s="41">
        <f>SUMIF(RAW_File!D:D,C:C,RAW_File!M:M)</f>
        <v>5000</v>
      </c>
      <c r="I179" s="40">
        <f t="shared" si="3"/>
        <v>5000</v>
      </c>
    </row>
    <row r="180" spans="1:9" hidden="1" x14ac:dyDescent="0.25">
      <c r="A180" s="36" t="s">
        <v>64</v>
      </c>
      <c r="B180" s="36" t="s">
        <v>2973</v>
      </c>
      <c r="C180" s="36" t="s">
        <v>2974</v>
      </c>
      <c r="D180" s="37">
        <f>SUMIF(RAW_File!D:D,C:C,RAW_File!F:F)</f>
        <v>16529.027772554258</v>
      </c>
      <c r="E180" s="38">
        <f>SUMIF(RAW_File!D:D,C:C,RAW_File!G:G)</f>
        <v>19840</v>
      </c>
      <c r="F180" s="39">
        <f>SUMIF(RAW_File!D:D,C:C,RAW_File!I:I)</f>
        <v>30260</v>
      </c>
      <c r="G180" s="40">
        <f>SUMIF(RAW_File!D:D,C:C,RAW_File!K:K)</f>
        <v>5000</v>
      </c>
      <c r="H180" s="41">
        <f>SUMIF(RAW_File!D:D,C:C,RAW_File!M:M)</f>
        <v>0</v>
      </c>
      <c r="I180" s="40">
        <f t="shared" si="3"/>
        <v>5000</v>
      </c>
    </row>
    <row r="181" spans="1:9" hidden="1" x14ac:dyDescent="0.25">
      <c r="A181" s="36" t="s">
        <v>64</v>
      </c>
      <c r="B181" s="36" t="s">
        <v>3052</v>
      </c>
      <c r="C181" s="36" t="s">
        <v>3053</v>
      </c>
      <c r="D181" s="37">
        <f>SUMIF(RAW_File!D:D,C:C,RAW_File!F:F)</f>
        <v>1218.9431183650479</v>
      </c>
      <c r="E181" s="38">
        <f>SUMIF(RAW_File!D:D,C:C,RAW_File!G:G)</f>
        <v>9705</v>
      </c>
      <c r="F181" s="39">
        <f>SUMIF(RAW_File!D:D,C:C,RAW_File!I:I)</f>
        <v>30515</v>
      </c>
      <c r="G181" s="40">
        <f>SUMIF(RAW_File!D:D,C:C,RAW_File!K:K)</f>
        <v>0</v>
      </c>
      <c r="H181" s="41">
        <f>SUMIF(RAW_File!D:D,C:C,RAW_File!M:M)</f>
        <v>45000</v>
      </c>
      <c r="I181" s="40">
        <f t="shared" si="3"/>
        <v>45000</v>
      </c>
    </row>
    <row r="182" spans="1:9" hidden="1" x14ac:dyDescent="0.25">
      <c r="A182" s="36" t="s">
        <v>64</v>
      </c>
      <c r="B182" s="36" t="s">
        <v>3060</v>
      </c>
      <c r="C182" s="36" t="s">
        <v>3061</v>
      </c>
      <c r="D182" s="37">
        <f>SUMIF(RAW_File!D:D,C:C,RAW_File!F:F)</f>
        <v>6553.8729072982051</v>
      </c>
      <c r="E182" s="38">
        <f>SUMIF(RAW_File!D:D,C:C,RAW_File!G:G)</f>
        <v>420</v>
      </c>
      <c r="F182" s="39">
        <f>SUMIF(RAW_File!D:D,C:C,RAW_File!I:I)</f>
        <v>1650</v>
      </c>
      <c r="G182" s="40">
        <f>SUMIF(RAW_File!D:D,C:C,RAW_File!K:K)</f>
        <v>0</v>
      </c>
      <c r="H182" s="41">
        <f>SUMIF(RAW_File!D:D,C:C,RAW_File!M:M)</f>
        <v>6000</v>
      </c>
      <c r="I182" s="40">
        <f t="shared" si="3"/>
        <v>6000</v>
      </c>
    </row>
    <row r="183" spans="1:9" hidden="1" x14ac:dyDescent="0.25">
      <c r="A183" s="36" t="s">
        <v>64</v>
      </c>
      <c r="B183" s="36" t="s">
        <v>3068</v>
      </c>
      <c r="C183" s="36" t="s">
        <v>3069</v>
      </c>
      <c r="D183" s="37">
        <f>SUMIF(RAW_File!D:D,C:C,RAW_File!F:F)</f>
        <v>2984.808001862019</v>
      </c>
      <c r="E183" s="38">
        <f>SUMIF(RAW_File!D:D,C:C,RAW_File!G:G)</f>
        <v>21910</v>
      </c>
      <c r="F183" s="39">
        <f>SUMIF(RAW_File!D:D,C:C,RAW_File!I:I)</f>
        <v>31710</v>
      </c>
      <c r="G183" s="40">
        <f>SUMIF(RAW_File!D:D,C:C,RAW_File!K:K)</f>
        <v>5000</v>
      </c>
      <c r="H183" s="41">
        <f>SUMIF(RAW_File!D:D,C:C,RAW_File!M:M)</f>
        <v>0</v>
      </c>
      <c r="I183" s="40">
        <f t="shared" si="3"/>
        <v>5000</v>
      </c>
    </row>
    <row r="184" spans="1:9" hidden="1" x14ac:dyDescent="0.25">
      <c r="A184" s="36" t="s">
        <v>64</v>
      </c>
      <c r="B184" s="36" t="s">
        <v>3095</v>
      </c>
      <c r="C184" s="36" t="s">
        <v>3096</v>
      </c>
      <c r="D184" s="37">
        <f>SUMIF(RAW_File!D:D,C:C,RAW_File!F:F)</f>
        <v>4655.4073590492226</v>
      </c>
      <c r="E184" s="38">
        <f>SUMIF(RAW_File!D:D,C:C,RAW_File!G:G)</f>
        <v>26300</v>
      </c>
      <c r="F184" s="39">
        <f>SUMIF(RAW_File!D:D,C:C,RAW_File!I:I)</f>
        <v>31195</v>
      </c>
      <c r="G184" s="40">
        <f>SUMIF(RAW_File!D:D,C:C,RAW_File!K:K)</f>
        <v>15000</v>
      </c>
      <c r="H184" s="41">
        <f>SUMIF(RAW_File!D:D,C:C,RAW_File!M:M)</f>
        <v>0</v>
      </c>
      <c r="I184" s="40">
        <f t="shared" si="3"/>
        <v>15000</v>
      </c>
    </row>
    <row r="185" spans="1:9" hidden="1" x14ac:dyDescent="0.25">
      <c r="A185" s="36" t="s">
        <v>64</v>
      </c>
      <c r="B185" s="36" t="s">
        <v>3258</v>
      </c>
      <c r="C185" s="36" t="s">
        <v>3259</v>
      </c>
      <c r="D185" s="37">
        <f>SUMIF(RAW_File!D:D,C:C,RAW_File!F:F)</f>
        <v>8433.563559557535</v>
      </c>
      <c r="E185" s="38">
        <f>SUMIF(RAW_File!D:D,C:C,RAW_File!G:G)</f>
        <v>5185</v>
      </c>
      <c r="F185" s="39">
        <f>SUMIF(RAW_File!D:D,C:C,RAW_File!I:I)</f>
        <v>8075</v>
      </c>
      <c r="G185" s="40">
        <f>SUMIF(RAW_File!D:D,C:C,RAW_File!K:K)</f>
        <v>0</v>
      </c>
      <c r="H185" s="41">
        <f>SUMIF(RAW_File!D:D,C:C,RAW_File!M:M)</f>
        <v>6000</v>
      </c>
      <c r="I185" s="40">
        <f t="shared" si="3"/>
        <v>6000</v>
      </c>
    </row>
    <row r="186" spans="1:9" hidden="1" x14ac:dyDescent="0.25">
      <c r="A186" s="36" t="s">
        <v>64</v>
      </c>
      <c r="B186" s="36" t="s">
        <v>3344</v>
      </c>
      <c r="C186" s="36" t="s">
        <v>3345</v>
      </c>
      <c r="D186" s="37">
        <f>SUMIF(RAW_File!D:D,C:C,RAW_File!F:F)</f>
        <v>7111.6093609116842</v>
      </c>
      <c r="E186" s="38">
        <f>SUMIF(RAW_File!D:D,C:C,RAW_File!G:G)</f>
        <v>0</v>
      </c>
      <c r="F186" s="39">
        <f>SUMIF(RAW_File!D:D,C:C,RAW_File!I:I)</f>
        <v>515</v>
      </c>
      <c r="G186" s="40">
        <f>SUMIF(RAW_File!D:D,C:C,RAW_File!K:K)</f>
        <v>5000</v>
      </c>
      <c r="H186" s="41">
        <f>SUMIF(RAW_File!D:D,C:C,RAW_File!M:M)</f>
        <v>0</v>
      </c>
      <c r="I186" s="40">
        <f t="shared" si="3"/>
        <v>5000</v>
      </c>
    </row>
    <row r="187" spans="1:9" hidden="1" x14ac:dyDescent="0.25">
      <c r="A187" s="36" t="s">
        <v>82</v>
      </c>
      <c r="B187" s="36" t="s">
        <v>328</v>
      </c>
      <c r="C187" s="36" t="s">
        <v>329</v>
      </c>
      <c r="D187" s="37">
        <f>SUMIF(RAW_File!D:D,C:C,RAW_File!F:F)</f>
        <v>5235.224760246595</v>
      </c>
      <c r="E187" s="38">
        <f>SUMIF(RAW_File!D:D,C:C,RAW_File!G:G)</f>
        <v>9020</v>
      </c>
      <c r="F187" s="39">
        <f>SUMIF(RAW_File!D:D,C:C,RAW_File!I:I)</f>
        <v>12320</v>
      </c>
      <c r="G187" s="40">
        <f>SUMIF(RAW_File!D:D,C:C,RAW_File!K:K)</f>
        <v>10000</v>
      </c>
      <c r="H187" s="41">
        <f>SUMIF(RAW_File!D:D,C:C,RAW_File!M:M)</f>
        <v>0</v>
      </c>
      <c r="I187" s="40">
        <f t="shared" si="3"/>
        <v>10000</v>
      </c>
    </row>
    <row r="188" spans="1:9" hidden="1" x14ac:dyDescent="0.25">
      <c r="A188" s="36" t="s">
        <v>82</v>
      </c>
      <c r="B188" s="36" t="s">
        <v>431</v>
      </c>
      <c r="C188" s="36" t="s">
        <v>432</v>
      </c>
      <c r="D188" s="37">
        <f>SUMIF(RAW_File!D:D,C:C,RAW_File!F:F)</f>
        <v>8484.9003053037886</v>
      </c>
      <c r="E188" s="38">
        <f>SUMIF(RAW_File!D:D,C:C,RAW_File!G:G)</f>
        <v>4420</v>
      </c>
      <c r="F188" s="39">
        <f>SUMIF(RAW_File!D:D,C:C,RAW_File!I:I)</f>
        <v>11340</v>
      </c>
      <c r="G188" s="40">
        <f>SUMIF(RAW_File!D:D,C:C,RAW_File!K:K)</f>
        <v>0</v>
      </c>
      <c r="H188" s="41">
        <f>SUMIF(RAW_File!D:D,C:C,RAW_File!M:M)</f>
        <v>5000</v>
      </c>
      <c r="I188" s="40">
        <f t="shared" si="3"/>
        <v>5000</v>
      </c>
    </row>
    <row r="189" spans="1:9" hidden="1" x14ac:dyDescent="0.25">
      <c r="A189" s="36" t="s">
        <v>82</v>
      </c>
      <c r="B189" s="36" t="s">
        <v>435</v>
      </c>
      <c r="C189" s="36" t="s">
        <v>436</v>
      </c>
      <c r="D189" s="37">
        <f>SUMIF(RAW_File!D:D,C:C,RAW_File!F:F)</f>
        <v>12491.60041831136</v>
      </c>
      <c r="E189" s="38">
        <f>SUMIF(RAW_File!D:D,C:C,RAW_File!G:G)</f>
        <v>3710</v>
      </c>
      <c r="F189" s="39">
        <f>SUMIF(RAW_File!D:D,C:C,RAW_File!I:I)</f>
        <v>10990</v>
      </c>
      <c r="G189" s="40">
        <f>SUMIF(RAW_File!D:D,C:C,RAW_File!K:K)</f>
        <v>5000</v>
      </c>
      <c r="H189" s="41">
        <f>SUMIF(RAW_File!D:D,C:C,RAW_File!M:M)</f>
        <v>0</v>
      </c>
      <c r="I189" s="40">
        <f t="shared" si="3"/>
        <v>5000</v>
      </c>
    </row>
    <row r="190" spans="1:9" hidden="1" x14ac:dyDescent="0.25">
      <c r="A190" s="36" t="s">
        <v>82</v>
      </c>
      <c r="B190" s="36" t="s">
        <v>478</v>
      </c>
      <c r="C190" s="36" t="s">
        <v>479</v>
      </c>
      <c r="D190" s="37">
        <f>SUMIF(RAW_File!D:D,C:C,RAW_File!F:F)</f>
        <v>843.19518600000004</v>
      </c>
      <c r="E190" s="38">
        <f>SUMIF(RAW_File!D:D,C:C,RAW_File!G:G)</f>
        <v>0</v>
      </c>
      <c r="F190" s="39">
        <f>SUMIF(RAW_File!D:D,C:C,RAW_File!I:I)</f>
        <v>5024</v>
      </c>
      <c r="G190" s="40">
        <f>SUMIF(RAW_File!D:D,C:C,RAW_File!K:K)</f>
        <v>0</v>
      </c>
      <c r="H190" s="41">
        <f>SUMIF(RAW_File!D:D,C:C,RAW_File!M:M)</f>
        <v>5000</v>
      </c>
      <c r="I190" s="40">
        <f t="shared" si="3"/>
        <v>5000</v>
      </c>
    </row>
    <row r="191" spans="1:9" hidden="1" x14ac:dyDescent="0.25">
      <c r="A191" s="36" t="s">
        <v>82</v>
      </c>
      <c r="B191" s="36" t="s">
        <v>494</v>
      </c>
      <c r="C191" s="36" t="s">
        <v>495</v>
      </c>
      <c r="D191" s="37">
        <f>SUMIF(RAW_File!D:D,C:C,RAW_File!F:F)</f>
        <v>19572.345529433631</v>
      </c>
      <c r="E191" s="38">
        <f>SUMIF(RAW_File!D:D,C:C,RAW_File!G:G)</f>
        <v>1310</v>
      </c>
      <c r="F191" s="39">
        <f>SUMIF(RAW_File!D:D,C:C,RAW_File!I:I)</f>
        <v>17810</v>
      </c>
      <c r="G191" s="40">
        <f>SUMIF(RAW_File!D:D,C:C,RAW_File!K:K)</f>
        <v>0</v>
      </c>
      <c r="H191" s="41">
        <f>SUMIF(RAW_File!D:D,C:C,RAW_File!M:M)</f>
        <v>5000</v>
      </c>
      <c r="I191" s="40">
        <f t="shared" si="3"/>
        <v>5000</v>
      </c>
    </row>
    <row r="192" spans="1:9" hidden="1" x14ac:dyDescent="0.25">
      <c r="A192" s="36" t="s">
        <v>82</v>
      </c>
      <c r="B192" s="36" t="s">
        <v>393</v>
      </c>
      <c r="C192" s="36" t="s">
        <v>561</v>
      </c>
      <c r="D192" s="37">
        <f>SUMIF(RAW_File!D:D,C:C,RAW_File!F:F)</f>
        <v>13674.938778424301</v>
      </c>
      <c r="E192" s="38">
        <f>SUMIF(RAW_File!D:D,C:C,RAW_File!G:G)</f>
        <v>22511</v>
      </c>
      <c r="F192" s="39">
        <f>SUMIF(RAW_File!D:D,C:C,RAW_File!I:I)</f>
        <v>44841</v>
      </c>
      <c r="G192" s="40">
        <f>SUMIF(RAW_File!D:D,C:C,RAW_File!K:K)</f>
        <v>0</v>
      </c>
      <c r="H192" s="41">
        <f>SUMIF(RAW_File!D:D,C:C,RAW_File!M:M)</f>
        <v>10000</v>
      </c>
      <c r="I192" s="40">
        <f t="shared" si="3"/>
        <v>10000</v>
      </c>
    </row>
    <row r="193" spans="1:9" hidden="1" x14ac:dyDescent="0.25">
      <c r="A193" s="36" t="s">
        <v>82</v>
      </c>
      <c r="B193" s="36" t="s">
        <v>721</v>
      </c>
      <c r="C193" s="36" t="s">
        <v>722</v>
      </c>
      <c r="D193" s="37">
        <f>SUMIF(RAW_File!D:D,C:C,RAW_File!F:F)</f>
        <v>6247.6071000000002</v>
      </c>
      <c r="E193" s="38">
        <f>SUMIF(RAW_File!D:D,C:C,RAW_File!G:G)</f>
        <v>6810</v>
      </c>
      <c r="F193" s="39">
        <f>SUMIF(RAW_File!D:D,C:C,RAW_File!I:I)</f>
        <v>22340</v>
      </c>
      <c r="G193" s="40">
        <f>SUMIF(RAW_File!D:D,C:C,RAW_File!K:K)</f>
        <v>5000</v>
      </c>
      <c r="H193" s="41">
        <f>SUMIF(RAW_File!D:D,C:C,RAW_File!M:M)</f>
        <v>31000</v>
      </c>
      <c r="I193" s="40">
        <f t="shared" si="3"/>
        <v>26000</v>
      </c>
    </row>
    <row r="194" spans="1:9" hidden="1" x14ac:dyDescent="0.25">
      <c r="A194" s="36" t="s">
        <v>82</v>
      </c>
      <c r="B194" s="36" t="s">
        <v>769</v>
      </c>
      <c r="C194" s="36" t="s">
        <v>770</v>
      </c>
      <c r="D194" s="37">
        <f>SUMIF(RAW_File!D:D,C:C,RAW_File!F:F)</f>
        <v>20.61222558137862</v>
      </c>
      <c r="E194" s="38">
        <f>SUMIF(RAW_File!D:D,C:C,RAW_File!G:G)</f>
        <v>0</v>
      </c>
      <c r="F194" s="39">
        <f>SUMIF(RAW_File!D:D,C:C,RAW_File!I:I)</f>
        <v>0</v>
      </c>
      <c r="G194" s="40">
        <f>SUMIF(RAW_File!D:D,C:C,RAW_File!K:K)</f>
        <v>0</v>
      </c>
      <c r="H194" s="41">
        <f>SUMIF(RAW_File!D:D,C:C,RAW_File!M:M)</f>
        <v>0</v>
      </c>
      <c r="I194" s="40">
        <f t="shared" si="3"/>
        <v>0</v>
      </c>
    </row>
    <row r="195" spans="1:9" hidden="1" x14ac:dyDescent="0.25">
      <c r="A195" s="36" t="s">
        <v>82</v>
      </c>
      <c r="B195" s="36" t="s">
        <v>862</v>
      </c>
      <c r="C195" s="36" t="s">
        <v>863</v>
      </c>
      <c r="D195" s="37">
        <f>SUMIF(RAW_File!D:D,C:C,RAW_File!F:F)</f>
        <v>59.888900004299998</v>
      </c>
      <c r="E195" s="38">
        <f>SUMIF(RAW_File!D:D,C:C,RAW_File!G:G)</f>
        <v>0</v>
      </c>
      <c r="F195" s="39">
        <f>SUMIF(RAW_File!D:D,C:C,RAW_File!I:I)</f>
        <v>0</v>
      </c>
      <c r="G195" s="40">
        <f>SUMIF(RAW_File!D:D,C:C,RAW_File!K:K)</f>
        <v>0</v>
      </c>
      <c r="H195" s="41">
        <f>SUMIF(RAW_File!D:D,C:C,RAW_File!M:M)</f>
        <v>0</v>
      </c>
      <c r="I195" s="40">
        <f t="shared" ref="I195:I258" si="4">ABS(G195-H195)</f>
        <v>0</v>
      </c>
    </row>
    <row r="196" spans="1:9" hidden="1" x14ac:dyDescent="0.25">
      <c r="A196" s="36" t="s">
        <v>82</v>
      </c>
      <c r="B196" s="36" t="s">
        <v>1061</v>
      </c>
      <c r="C196" s="36" t="s">
        <v>1062</v>
      </c>
      <c r="D196" s="37">
        <f>SUMIF(RAW_File!D:D,C:C,RAW_File!F:F)</f>
        <v>6149.1709499999997</v>
      </c>
      <c r="E196" s="38">
        <f>SUMIF(RAW_File!D:D,C:C,RAW_File!G:G)</f>
        <v>0</v>
      </c>
      <c r="F196" s="39">
        <f>SUMIF(RAW_File!D:D,C:C,RAW_File!I:I)</f>
        <v>0</v>
      </c>
      <c r="G196" s="40">
        <f>SUMIF(RAW_File!D:D,C:C,RAW_File!K:K)</f>
        <v>6000</v>
      </c>
      <c r="H196" s="41">
        <f>SUMIF(RAW_File!D:D,C:C,RAW_File!M:M)</f>
        <v>0</v>
      </c>
      <c r="I196" s="40">
        <f t="shared" si="4"/>
        <v>6000</v>
      </c>
    </row>
    <row r="197" spans="1:9" hidden="1" x14ac:dyDescent="0.25">
      <c r="A197" s="36" t="s">
        <v>82</v>
      </c>
      <c r="B197" s="36" t="s">
        <v>1073</v>
      </c>
      <c r="C197" s="36" t="s">
        <v>1074</v>
      </c>
      <c r="D197" s="37">
        <f>SUMIF(RAW_File!D:D,C:C,RAW_File!F:F)</f>
        <v>11.0679</v>
      </c>
      <c r="E197" s="38">
        <f>SUMIF(RAW_File!D:D,C:C,RAW_File!G:G)</f>
        <v>6600</v>
      </c>
      <c r="F197" s="39">
        <f>SUMIF(RAW_File!D:D,C:C,RAW_File!I:I)</f>
        <v>27090</v>
      </c>
      <c r="G197" s="40">
        <f>SUMIF(RAW_File!D:D,C:C,RAW_File!K:K)</f>
        <v>5000</v>
      </c>
      <c r="H197" s="41">
        <f>SUMIF(RAW_File!D:D,C:C,RAW_File!M:M)</f>
        <v>38000</v>
      </c>
      <c r="I197" s="40">
        <f t="shared" si="4"/>
        <v>33000</v>
      </c>
    </row>
    <row r="198" spans="1:9" hidden="1" x14ac:dyDescent="0.25">
      <c r="A198" s="36" t="s">
        <v>82</v>
      </c>
      <c r="B198" s="36" t="s">
        <v>1162</v>
      </c>
      <c r="C198" s="36" t="s">
        <v>1163</v>
      </c>
      <c r="D198" s="37">
        <f>SUMIF(RAW_File!D:D,C:C,RAW_File!F:F)</f>
        <v>1.566329843371294</v>
      </c>
      <c r="E198" s="38">
        <f>SUMIF(RAW_File!D:D,C:C,RAW_File!G:G)</f>
        <v>0</v>
      </c>
      <c r="F198" s="39">
        <f>SUMIF(RAW_File!D:D,C:C,RAW_File!I:I)</f>
        <v>0</v>
      </c>
      <c r="G198" s="40">
        <f>SUMIF(RAW_File!D:D,C:C,RAW_File!K:K)</f>
        <v>0</v>
      </c>
      <c r="H198" s="41">
        <f>SUMIF(RAW_File!D:D,C:C,RAW_File!M:M)</f>
        <v>0</v>
      </c>
      <c r="I198" s="40">
        <f t="shared" si="4"/>
        <v>0</v>
      </c>
    </row>
    <row r="199" spans="1:9" hidden="1" x14ac:dyDescent="0.25">
      <c r="A199" s="36" t="s">
        <v>82</v>
      </c>
      <c r="B199" s="36" t="s">
        <v>1243</v>
      </c>
      <c r="C199" s="36" t="s">
        <v>1244</v>
      </c>
      <c r="D199" s="37">
        <f>SUMIF(RAW_File!D:D,C:C,RAW_File!F:F)</f>
        <v>10029.814441957231</v>
      </c>
      <c r="E199" s="38">
        <f>SUMIF(RAW_File!D:D,C:C,RAW_File!G:G)</f>
        <v>2000</v>
      </c>
      <c r="F199" s="39">
        <f>SUMIF(RAW_File!D:D,C:C,RAW_File!I:I)</f>
        <v>2000</v>
      </c>
      <c r="G199" s="40">
        <f>SUMIF(RAW_File!D:D,C:C,RAW_File!K:K)</f>
        <v>6000</v>
      </c>
      <c r="H199" s="41">
        <f>SUMIF(RAW_File!D:D,C:C,RAW_File!M:M)</f>
        <v>0</v>
      </c>
      <c r="I199" s="40">
        <f t="shared" si="4"/>
        <v>6000</v>
      </c>
    </row>
    <row r="200" spans="1:9" hidden="1" x14ac:dyDescent="0.25">
      <c r="A200" s="36" t="s">
        <v>82</v>
      </c>
      <c r="B200" s="36" t="s">
        <v>1495</v>
      </c>
      <c r="C200" s="36" t="s">
        <v>1496</v>
      </c>
      <c r="D200" s="37">
        <f>SUMIF(RAW_File!D:D,C:C,RAW_File!F:F)</f>
        <v>5877.31309028338</v>
      </c>
      <c r="E200" s="38">
        <f>SUMIF(RAW_File!D:D,C:C,RAW_File!G:G)</f>
        <v>3360</v>
      </c>
      <c r="F200" s="39">
        <f>SUMIF(RAW_File!D:D,C:C,RAW_File!I:I)</f>
        <v>9710</v>
      </c>
      <c r="G200" s="40">
        <f>SUMIF(RAW_File!D:D,C:C,RAW_File!K:K)</f>
        <v>0</v>
      </c>
      <c r="H200" s="41">
        <f>SUMIF(RAW_File!D:D,C:C,RAW_File!M:M)</f>
        <v>10000</v>
      </c>
      <c r="I200" s="40">
        <f t="shared" si="4"/>
        <v>10000</v>
      </c>
    </row>
    <row r="201" spans="1:9" hidden="1" x14ac:dyDescent="0.25">
      <c r="A201" s="36" t="s">
        <v>82</v>
      </c>
      <c r="B201" s="36" t="s">
        <v>1499</v>
      </c>
      <c r="C201" s="36" t="s">
        <v>1500</v>
      </c>
      <c r="D201" s="37">
        <f>SUMIF(RAW_File!D:D,C:C,RAW_File!F:F)</f>
        <v>40.193803391300001</v>
      </c>
      <c r="E201" s="38">
        <f>SUMIF(RAW_File!D:D,C:C,RAW_File!G:G)</f>
        <v>0</v>
      </c>
      <c r="F201" s="39">
        <f>SUMIF(RAW_File!D:D,C:C,RAW_File!I:I)</f>
        <v>1500</v>
      </c>
      <c r="G201" s="40">
        <f>SUMIF(RAW_File!D:D,C:C,RAW_File!K:K)</f>
        <v>0</v>
      </c>
      <c r="H201" s="41">
        <f>SUMIF(RAW_File!D:D,C:C,RAW_File!M:M)</f>
        <v>5000</v>
      </c>
      <c r="I201" s="40">
        <f t="shared" si="4"/>
        <v>5000</v>
      </c>
    </row>
    <row r="202" spans="1:9" hidden="1" x14ac:dyDescent="0.25">
      <c r="A202" s="36" t="s">
        <v>82</v>
      </c>
      <c r="B202" s="36" t="s">
        <v>1508</v>
      </c>
      <c r="C202" s="36" t="s">
        <v>1509</v>
      </c>
      <c r="D202" s="37">
        <f>SUMIF(RAW_File!D:D,C:C,RAW_File!F:F)</f>
        <v>23692.252022653651</v>
      </c>
      <c r="E202" s="38">
        <f>SUMIF(RAW_File!D:D,C:C,RAW_File!G:G)</f>
        <v>42660</v>
      </c>
      <c r="F202" s="39">
        <f>SUMIF(RAW_File!D:D,C:C,RAW_File!I:I)</f>
        <v>97360</v>
      </c>
      <c r="G202" s="40">
        <f>SUMIF(RAW_File!D:D,C:C,RAW_File!K:K)</f>
        <v>10000</v>
      </c>
      <c r="H202" s="41">
        <f>SUMIF(RAW_File!D:D,C:C,RAW_File!M:M)</f>
        <v>0</v>
      </c>
      <c r="I202" s="40">
        <f t="shared" si="4"/>
        <v>10000</v>
      </c>
    </row>
    <row r="203" spans="1:9" hidden="1" x14ac:dyDescent="0.25">
      <c r="A203" s="36" t="s">
        <v>82</v>
      </c>
      <c r="B203" s="36" t="s">
        <v>1556</v>
      </c>
      <c r="C203" s="36" t="s">
        <v>1557</v>
      </c>
      <c r="D203" s="37">
        <f>SUMIF(RAW_File!D:D,C:C,RAW_File!F:F)</f>
        <v>306.23817162287139</v>
      </c>
      <c r="E203" s="38">
        <f>SUMIF(RAW_File!D:D,C:C,RAW_File!G:G)</f>
        <v>710</v>
      </c>
      <c r="F203" s="39">
        <f>SUMIF(RAW_File!D:D,C:C,RAW_File!I:I)</f>
        <v>6210</v>
      </c>
      <c r="G203" s="40">
        <f>SUMIF(RAW_File!D:D,C:C,RAW_File!K:K)</f>
        <v>0</v>
      </c>
      <c r="H203" s="41">
        <f>SUMIF(RAW_File!D:D,C:C,RAW_File!M:M)</f>
        <v>6000</v>
      </c>
      <c r="I203" s="40">
        <f t="shared" si="4"/>
        <v>6000</v>
      </c>
    </row>
    <row r="204" spans="1:9" hidden="1" x14ac:dyDescent="0.25">
      <c r="A204" s="36" t="s">
        <v>82</v>
      </c>
      <c r="B204" s="36" t="s">
        <v>1574</v>
      </c>
      <c r="C204" s="36" t="s">
        <v>1575</v>
      </c>
      <c r="D204" s="37">
        <f>SUMIF(RAW_File!D:D,C:C,RAW_File!F:F)</f>
        <v>99.204400000000007</v>
      </c>
      <c r="E204" s="38">
        <f>SUMIF(RAW_File!D:D,C:C,RAW_File!G:G)</f>
        <v>16384</v>
      </c>
      <c r="F204" s="39">
        <f>SUMIF(RAW_File!D:D,C:C,RAW_File!I:I)</f>
        <v>17784</v>
      </c>
      <c r="G204" s="40">
        <f>SUMIF(RAW_File!D:D,C:C,RAW_File!K:K)</f>
        <v>15000</v>
      </c>
      <c r="H204" s="41">
        <f>SUMIF(RAW_File!D:D,C:C,RAW_File!M:M)</f>
        <v>0</v>
      </c>
      <c r="I204" s="40">
        <f t="shared" si="4"/>
        <v>15000</v>
      </c>
    </row>
    <row r="205" spans="1:9" hidden="1" x14ac:dyDescent="0.25">
      <c r="A205" s="36" t="s">
        <v>82</v>
      </c>
      <c r="B205" s="36" t="s">
        <v>1578</v>
      </c>
      <c r="C205" s="36" t="s">
        <v>1579</v>
      </c>
      <c r="D205" s="37">
        <f>SUMIF(RAW_File!D:D,C:C,RAW_File!F:F)</f>
        <v>79.939599999999999</v>
      </c>
      <c r="E205" s="38">
        <f>SUMIF(RAW_File!D:D,C:C,RAW_File!G:G)</f>
        <v>0</v>
      </c>
      <c r="F205" s="39">
        <f>SUMIF(RAW_File!D:D,C:C,RAW_File!I:I)</f>
        <v>0</v>
      </c>
      <c r="G205" s="40">
        <f>SUMIF(RAW_File!D:D,C:C,RAW_File!K:K)</f>
        <v>0</v>
      </c>
      <c r="H205" s="41">
        <f>SUMIF(RAW_File!D:D,C:C,RAW_File!M:M)</f>
        <v>0</v>
      </c>
      <c r="I205" s="40">
        <f t="shared" si="4"/>
        <v>0</v>
      </c>
    </row>
    <row r="206" spans="1:9" hidden="1" x14ac:dyDescent="0.25">
      <c r="A206" s="36" t="s">
        <v>82</v>
      </c>
      <c r="B206" s="36" t="s">
        <v>1631</v>
      </c>
      <c r="C206" s="36" t="s">
        <v>1632</v>
      </c>
      <c r="D206" s="37">
        <f>SUMIF(RAW_File!D:D,C:C,RAW_File!F:F)</f>
        <v>46131.449737355288</v>
      </c>
      <c r="E206" s="38">
        <f>SUMIF(RAW_File!D:D,C:C,RAW_File!G:G)</f>
        <v>24935</v>
      </c>
      <c r="F206" s="39">
        <f>SUMIF(RAW_File!D:D,C:C,RAW_File!I:I)</f>
        <v>133015</v>
      </c>
      <c r="G206" s="40">
        <f>SUMIF(RAW_File!D:D,C:C,RAW_File!K:K)</f>
        <v>0</v>
      </c>
      <c r="H206" s="41">
        <f>SUMIF(RAW_File!D:D,C:C,RAW_File!M:M)</f>
        <v>100000</v>
      </c>
      <c r="I206" s="40">
        <f t="shared" si="4"/>
        <v>100000</v>
      </c>
    </row>
    <row r="207" spans="1:9" hidden="1" x14ac:dyDescent="0.25">
      <c r="A207" s="36" t="s">
        <v>82</v>
      </c>
      <c r="B207" s="36" t="s">
        <v>1686</v>
      </c>
      <c r="C207" s="36" t="s">
        <v>1687</v>
      </c>
      <c r="D207" s="37">
        <f>SUMIF(RAW_File!D:D,C:C,RAW_File!F:F)</f>
        <v>2.3279999999999998</v>
      </c>
      <c r="E207" s="38">
        <f>SUMIF(RAW_File!D:D,C:C,RAW_File!G:G)</f>
        <v>2459</v>
      </c>
      <c r="F207" s="39">
        <f>SUMIF(RAW_File!D:D,C:C,RAW_File!I:I)</f>
        <v>4459</v>
      </c>
      <c r="G207" s="40">
        <f>SUMIF(RAW_File!D:D,C:C,RAW_File!K:K)</f>
        <v>0</v>
      </c>
      <c r="H207" s="41">
        <f>SUMIF(RAW_File!D:D,C:C,RAW_File!M:M)</f>
        <v>4000</v>
      </c>
      <c r="I207" s="40">
        <f t="shared" si="4"/>
        <v>4000</v>
      </c>
    </row>
    <row r="208" spans="1:9" hidden="1" x14ac:dyDescent="0.25">
      <c r="A208" s="36" t="s">
        <v>82</v>
      </c>
      <c r="B208" s="36" t="s">
        <v>1901</v>
      </c>
      <c r="C208" s="36" t="s">
        <v>1902</v>
      </c>
      <c r="D208" s="37">
        <f>SUMIF(RAW_File!D:D,C:C,RAW_File!F:F)</f>
        <v>4514.8328000000001</v>
      </c>
      <c r="E208" s="38">
        <f>SUMIF(RAW_File!D:D,C:C,RAW_File!G:G)</f>
        <v>2400</v>
      </c>
      <c r="F208" s="39">
        <f>SUMIF(RAW_File!D:D,C:C,RAW_File!I:I)</f>
        <v>5990</v>
      </c>
      <c r="G208" s="40">
        <f>SUMIF(RAW_File!D:D,C:C,RAW_File!K:K)</f>
        <v>5000</v>
      </c>
      <c r="H208" s="41">
        <f>SUMIF(RAW_File!D:D,C:C,RAW_File!M:M)</f>
        <v>0</v>
      </c>
      <c r="I208" s="40">
        <f t="shared" si="4"/>
        <v>5000</v>
      </c>
    </row>
    <row r="209" spans="1:9" hidden="1" x14ac:dyDescent="0.25">
      <c r="A209" s="36" t="s">
        <v>82</v>
      </c>
      <c r="B209" s="36" t="s">
        <v>2037</v>
      </c>
      <c r="C209" s="36" t="s">
        <v>2038</v>
      </c>
      <c r="D209" s="37">
        <f>SUMIF(RAW_File!D:D,C:C,RAW_File!F:F)</f>
        <v>510.07234999999997</v>
      </c>
      <c r="E209" s="38">
        <f>SUMIF(RAW_File!D:D,C:C,RAW_File!G:G)</f>
        <v>0</v>
      </c>
      <c r="F209" s="39">
        <f>SUMIF(RAW_File!D:D,C:C,RAW_File!I:I)</f>
        <v>0</v>
      </c>
      <c r="G209" s="40">
        <f>SUMIF(RAW_File!D:D,C:C,RAW_File!K:K)</f>
        <v>0</v>
      </c>
      <c r="H209" s="41">
        <f>SUMIF(RAW_File!D:D,C:C,RAW_File!M:M)</f>
        <v>9000</v>
      </c>
      <c r="I209" s="40">
        <f t="shared" si="4"/>
        <v>9000</v>
      </c>
    </row>
    <row r="210" spans="1:9" hidden="1" x14ac:dyDescent="0.25">
      <c r="A210" s="36" t="s">
        <v>82</v>
      </c>
      <c r="B210" s="36" t="s">
        <v>2039</v>
      </c>
      <c r="C210" s="36" t="s">
        <v>2040</v>
      </c>
      <c r="D210" s="37">
        <f>SUMIF(RAW_File!D:D,C:C,RAW_File!F:F)</f>
        <v>5078.3864999999996</v>
      </c>
      <c r="E210" s="38">
        <f>SUMIF(RAW_File!D:D,C:C,RAW_File!G:G)</f>
        <v>0</v>
      </c>
      <c r="F210" s="39">
        <f>SUMIF(RAW_File!D:D,C:C,RAW_File!I:I)</f>
        <v>0</v>
      </c>
      <c r="G210" s="40">
        <f>SUMIF(RAW_File!D:D,C:C,RAW_File!K:K)</f>
        <v>5000</v>
      </c>
      <c r="H210" s="41">
        <f>SUMIF(RAW_File!D:D,C:C,RAW_File!M:M)</f>
        <v>0</v>
      </c>
      <c r="I210" s="40">
        <f t="shared" si="4"/>
        <v>5000</v>
      </c>
    </row>
    <row r="211" spans="1:9" hidden="1" x14ac:dyDescent="0.25">
      <c r="A211" s="36" t="s">
        <v>82</v>
      </c>
      <c r="B211" s="36" t="s">
        <v>2043</v>
      </c>
      <c r="C211" s="36" t="s">
        <v>2044</v>
      </c>
      <c r="D211" s="37">
        <f>SUMIF(RAW_File!D:D,C:C,RAW_File!F:F)</f>
        <v>309.13434336770962</v>
      </c>
      <c r="E211" s="38">
        <f>SUMIF(RAW_File!D:D,C:C,RAW_File!G:G)</f>
        <v>47140</v>
      </c>
      <c r="F211" s="39">
        <f>SUMIF(RAW_File!D:D,C:C,RAW_File!I:I)</f>
        <v>47440</v>
      </c>
      <c r="G211" s="40">
        <f>SUMIF(RAW_File!D:D,C:C,RAW_File!K:K)</f>
        <v>42000</v>
      </c>
      <c r="H211" s="41">
        <f>SUMIF(RAW_File!D:D,C:C,RAW_File!M:M)</f>
        <v>0</v>
      </c>
      <c r="I211" s="40">
        <f t="shared" si="4"/>
        <v>42000</v>
      </c>
    </row>
    <row r="212" spans="1:9" hidden="1" x14ac:dyDescent="0.25">
      <c r="A212" s="36" t="s">
        <v>82</v>
      </c>
      <c r="B212" s="36" t="s">
        <v>2085</v>
      </c>
      <c r="C212" s="36" t="s">
        <v>2086</v>
      </c>
      <c r="D212" s="37">
        <f>SUMIF(RAW_File!D:D,C:C,RAW_File!F:F)</f>
        <v>3428.9032499999998</v>
      </c>
      <c r="E212" s="38">
        <f>SUMIF(RAW_File!D:D,C:C,RAW_File!G:G)</f>
        <v>0</v>
      </c>
      <c r="F212" s="39">
        <f>SUMIF(RAW_File!D:D,C:C,RAW_File!I:I)</f>
        <v>0</v>
      </c>
      <c r="G212" s="40">
        <f>SUMIF(RAW_File!D:D,C:C,RAW_File!K:K)</f>
        <v>0</v>
      </c>
      <c r="H212" s="41">
        <f>SUMIF(RAW_File!D:D,C:C,RAW_File!M:M)</f>
        <v>0</v>
      </c>
      <c r="I212" s="40">
        <f t="shared" si="4"/>
        <v>0</v>
      </c>
    </row>
    <row r="213" spans="1:9" hidden="1" x14ac:dyDescent="0.25">
      <c r="A213" s="36" t="s">
        <v>82</v>
      </c>
      <c r="B213" s="36" t="s">
        <v>2097</v>
      </c>
      <c r="C213" s="36" t="s">
        <v>2098</v>
      </c>
      <c r="D213" s="37">
        <f>SUMIF(RAW_File!D:D,C:C,RAW_File!F:F)</f>
        <v>370.01384999999999</v>
      </c>
      <c r="E213" s="38">
        <f>SUMIF(RAW_File!D:D,C:C,RAW_File!G:G)</f>
        <v>17800</v>
      </c>
      <c r="F213" s="39">
        <f>SUMIF(RAW_File!D:D,C:C,RAW_File!I:I)</f>
        <v>33500</v>
      </c>
      <c r="G213" s="40">
        <f>SUMIF(RAW_File!D:D,C:C,RAW_File!K:K)</f>
        <v>5000</v>
      </c>
      <c r="H213" s="41">
        <f>SUMIF(RAW_File!D:D,C:C,RAW_File!M:M)</f>
        <v>10000</v>
      </c>
      <c r="I213" s="40">
        <f t="shared" si="4"/>
        <v>5000</v>
      </c>
    </row>
    <row r="214" spans="1:9" hidden="1" x14ac:dyDescent="0.25">
      <c r="A214" s="36" t="s">
        <v>82</v>
      </c>
      <c r="B214" s="36" t="s">
        <v>2157</v>
      </c>
      <c r="C214" s="36" t="s">
        <v>2158</v>
      </c>
      <c r="D214" s="37">
        <f>SUMIF(RAW_File!D:D,C:C,RAW_File!F:F)</f>
        <v>11464.094131326059</v>
      </c>
      <c r="E214" s="38">
        <f>SUMIF(RAW_File!D:D,C:C,RAW_File!G:G)</f>
        <v>9585</v>
      </c>
      <c r="F214" s="39">
        <f>SUMIF(RAW_File!D:D,C:C,RAW_File!I:I)</f>
        <v>32530</v>
      </c>
      <c r="G214" s="40">
        <f>SUMIF(RAW_File!D:D,C:C,RAW_File!K:K)</f>
        <v>0</v>
      </c>
      <c r="H214" s="41">
        <f>SUMIF(RAW_File!D:D,C:C,RAW_File!M:M)</f>
        <v>10000</v>
      </c>
      <c r="I214" s="40">
        <f t="shared" si="4"/>
        <v>10000</v>
      </c>
    </row>
    <row r="215" spans="1:9" hidden="1" x14ac:dyDescent="0.25">
      <c r="A215" s="36" t="s">
        <v>82</v>
      </c>
      <c r="B215" s="36" t="s">
        <v>2191</v>
      </c>
      <c r="C215" s="36" t="s">
        <v>2192</v>
      </c>
      <c r="D215" s="37">
        <f>SUMIF(RAW_File!D:D,C:C,RAW_File!F:F)</f>
        <v>95.186280749999995</v>
      </c>
      <c r="E215" s="38">
        <f>SUMIF(RAW_File!D:D,C:C,RAW_File!G:G)</f>
        <v>103</v>
      </c>
      <c r="F215" s="39">
        <f>SUMIF(RAW_File!D:D,C:C,RAW_File!I:I)</f>
        <v>24173</v>
      </c>
      <c r="G215" s="40">
        <f>SUMIF(RAW_File!D:D,C:C,RAW_File!K:K)</f>
        <v>0</v>
      </c>
      <c r="H215" s="41">
        <f>SUMIF(RAW_File!D:D,C:C,RAW_File!M:M)</f>
        <v>24000</v>
      </c>
      <c r="I215" s="40">
        <f t="shared" si="4"/>
        <v>24000</v>
      </c>
    </row>
    <row r="216" spans="1:9" hidden="1" x14ac:dyDescent="0.25">
      <c r="A216" s="36" t="s">
        <v>82</v>
      </c>
      <c r="B216" s="36" t="s">
        <v>2207</v>
      </c>
      <c r="C216" s="36" t="s">
        <v>2208</v>
      </c>
      <c r="D216" s="37">
        <f>SUMIF(RAW_File!D:D,C:C,RAW_File!F:F)</f>
        <v>7036.6044499999998</v>
      </c>
      <c r="E216" s="38">
        <f>SUMIF(RAW_File!D:D,C:C,RAW_File!G:G)</f>
        <v>2700</v>
      </c>
      <c r="F216" s="39">
        <f>SUMIF(RAW_File!D:D,C:C,RAW_File!I:I)</f>
        <v>5990</v>
      </c>
      <c r="G216" s="40">
        <f>SUMIF(RAW_File!D:D,C:C,RAW_File!K:K)</f>
        <v>5000</v>
      </c>
      <c r="H216" s="41">
        <f>SUMIF(RAW_File!D:D,C:C,RAW_File!M:M)</f>
        <v>0</v>
      </c>
      <c r="I216" s="40">
        <f t="shared" si="4"/>
        <v>5000</v>
      </c>
    </row>
    <row r="217" spans="1:9" hidden="1" x14ac:dyDescent="0.25">
      <c r="A217" s="36" t="s">
        <v>82</v>
      </c>
      <c r="B217" s="36" t="s">
        <v>2307</v>
      </c>
      <c r="C217" s="36" t="s">
        <v>2308</v>
      </c>
      <c r="D217" s="37">
        <f>SUMIF(RAW_File!D:D,C:C,RAW_File!F:F)</f>
        <v>5171.9579000000003</v>
      </c>
      <c r="E217" s="38">
        <f>SUMIF(RAW_File!D:D,C:C,RAW_File!G:G)</f>
        <v>3840</v>
      </c>
      <c r="F217" s="39">
        <f>SUMIF(RAW_File!D:D,C:C,RAW_File!I:I)</f>
        <v>8725</v>
      </c>
      <c r="G217" s="40">
        <f>SUMIF(RAW_File!D:D,C:C,RAW_File!K:K)</f>
        <v>0</v>
      </c>
      <c r="H217" s="41">
        <f>SUMIF(RAW_File!D:D,C:C,RAW_File!M:M)</f>
        <v>35000</v>
      </c>
      <c r="I217" s="40">
        <f t="shared" si="4"/>
        <v>35000</v>
      </c>
    </row>
    <row r="218" spans="1:9" hidden="1" x14ac:dyDescent="0.25">
      <c r="A218" s="36" t="s">
        <v>82</v>
      </c>
      <c r="B218" s="36" t="s">
        <v>2320</v>
      </c>
      <c r="C218" s="36" t="s">
        <v>2321</v>
      </c>
      <c r="D218" s="37">
        <f>SUMIF(RAW_File!D:D,C:C,RAW_File!F:F)</f>
        <v>11850.26585335526</v>
      </c>
      <c r="E218" s="38">
        <f>SUMIF(RAW_File!D:D,C:C,RAW_File!G:G)</f>
        <v>110</v>
      </c>
      <c r="F218" s="39">
        <f>SUMIF(RAW_File!D:D,C:C,RAW_File!I:I)</f>
        <v>110</v>
      </c>
      <c r="G218" s="40">
        <f>SUMIF(RAW_File!D:D,C:C,RAW_File!K:K)</f>
        <v>5000</v>
      </c>
      <c r="H218" s="41">
        <f>SUMIF(RAW_File!D:D,C:C,RAW_File!M:M)</f>
        <v>0</v>
      </c>
      <c r="I218" s="40">
        <f t="shared" si="4"/>
        <v>5000</v>
      </c>
    </row>
    <row r="219" spans="1:9" hidden="1" x14ac:dyDescent="0.25">
      <c r="A219" s="36" t="s">
        <v>82</v>
      </c>
      <c r="B219" s="36" t="s">
        <v>2327</v>
      </c>
      <c r="C219" s="36" t="s">
        <v>2328</v>
      </c>
      <c r="D219" s="37">
        <f>SUMIF(RAW_File!D:D,C:C,RAW_File!F:F)</f>
        <v>7499.3678</v>
      </c>
      <c r="E219" s="38">
        <f>SUMIF(RAW_File!D:D,C:C,RAW_File!G:G)</f>
        <v>17190</v>
      </c>
      <c r="F219" s="39">
        <f>SUMIF(RAW_File!D:D,C:C,RAW_File!I:I)</f>
        <v>20970</v>
      </c>
      <c r="G219" s="40">
        <f>SUMIF(RAW_File!D:D,C:C,RAW_File!K:K)</f>
        <v>5000</v>
      </c>
      <c r="H219" s="41">
        <f>SUMIF(RAW_File!D:D,C:C,RAW_File!M:M)</f>
        <v>0</v>
      </c>
      <c r="I219" s="40">
        <f t="shared" si="4"/>
        <v>5000</v>
      </c>
    </row>
    <row r="220" spans="1:9" hidden="1" x14ac:dyDescent="0.25">
      <c r="A220" s="36" t="s">
        <v>82</v>
      </c>
      <c r="B220" s="36" t="s">
        <v>2333</v>
      </c>
      <c r="C220" s="36" t="s">
        <v>2334</v>
      </c>
      <c r="D220" s="37">
        <f>SUMIF(RAW_File!D:D,C:C,RAW_File!F:F)</f>
        <v>10.053704069061739</v>
      </c>
      <c r="E220" s="38">
        <f>SUMIF(RAW_File!D:D,C:C,RAW_File!G:G)</f>
        <v>0</v>
      </c>
      <c r="F220" s="39">
        <f>SUMIF(RAW_File!D:D,C:C,RAW_File!I:I)</f>
        <v>13925</v>
      </c>
      <c r="G220" s="40">
        <f>SUMIF(RAW_File!D:D,C:C,RAW_File!K:K)</f>
        <v>0</v>
      </c>
      <c r="H220" s="41">
        <f>SUMIF(RAW_File!D:D,C:C,RAW_File!M:M)</f>
        <v>14000</v>
      </c>
      <c r="I220" s="40">
        <f t="shared" si="4"/>
        <v>14000</v>
      </c>
    </row>
    <row r="221" spans="1:9" hidden="1" x14ac:dyDescent="0.25">
      <c r="A221" s="36" t="s">
        <v>82</v>
      </c>
      <c r="B221" s="36" t="s">
        <v>2359</v>
      </c>
      <c r="C221" s="36" t="s">
        <v>2360</v>
      </c>
      <c r="D221" s="37">
        <f>SUMIF(RAW_File!D:D,C:C,RAW_File!F:F)</f>
        <v>44829.262469118337</v>
      </c>
      <c r="E221" s="38">
        <f>SUMIF(RAW_File!D:D,C:C,RAW_File!G:G)</f>
        <v>520</v>
      </c>
      <c r="F221" s="39">
        <f>SUMIF(RAW_File!D:D,C:C,RAW_File!I:I)</f>
        <v>6120</v>
      </c>
      <c r="G221" s="40">
        <f>SUMIF(RAW_File!D:D,C:C,RAW_File!K:K)</f>
        <v>7000</v>
      </c>
      <c r="H221" s="41">
        <f>SUMIF(RAW_File!D:D,C:C,RAW_File!M:M)</f>
        <v>0</v>
      </c>
      <c r="I221" s="40">
        <f t="shared" si="4"/>
        <v>7000</v>
      </c>
    </row>
    <row r="222" spans="1:9" hidden="1" x14ac:dyDescent="0.25">
      <c r="A222" s="36" t="s">
        <v>82</v>
      </c>
      <c r="B222" s="36" t="s">
        <v>1269</v>
      </c>
      <c r="C222" s="36" t="s">
        <v>2440</v>
      </c>
      <c r="D222" s="37">
        <f>SUMIF(RAW_File!D:D,C:C,RAW_File!F:F)</f>
        <v>1738.6151</v>
      </c>
      <c r="E222" s="38">
        <f>SUMIF(RAW_File!D:D,C:C,RAW_File!G:G)</f>
        <v>0</v>
      </c>
      <c r="F222" s="39">
        <f>SUMIF(RAW_File!D:D,C:C,RAW_File!I:I)</f>
        <v>0</v>
      </c>
      <c r="G222" s="40">
        <f>SUMIF(RAW_File!D:D,C:C,RAW_File!K:K)</f>
        <v>0</v>
      </c>
      <c r="H222" s="41">
        <f>SUMIF(RAW_File!D:D,C:C,RAW_File!M:M)</f>
        <v>0</v>
      </c>
      <c r="I222" s="40">
        <f t="shared" si="4"/>
        <v>0</v>
      </c>
    </row>
    <row r="223" spans="1:9" hidden="1" x14ac:dyDescent="0.25">
      <c r="A223" s="36" t="s">
        <v>82</v>
      </c>
      <c r="B223" s="36" t="s">
        <v>2453</v>
      </c>
      <c r="C223" s="36" t="s">
        <v>2454</v>
      </c>
      <c r="D223" s="37">
        <f>SUMIF(RAW_File!D:D,C:C,RAW_File!F:F)</f>
        <v>26.3065</v>
      </c>
      <c r="E223" s="38">
        <f>SUMIF(RAW_File!D:D,C:C,RAW_File!G:G)</f>
        <v>210</v>
      </c>
      <c r="F223" s="39">
        <f>SUMIF(RAW_File!D:D,C:C,RAW_File!I:I)</f>
        <v>3210</v>
      </c>
      <c r="G223" s="40">
        <f>SUMIF(RAW_File!D:D,C:C,RAW_File!K:K)</f>
        <v>0</v>
      </c>
      <c r="H223" s="41">
        <f>SUMIF(RAW_File!D:D,C:C,RAW_File!M:M)</f>
        <v>7000</v>
      </c>
      <c r="I223" s="40">
        <f t="shared" si="4"/>
        <v>7000</v>
      </c>
    </row>
    <row r="224" spans="1:9" hidden="1" x14ac:dyDescent="0.25">
      <c r="A224" s="36" t="s">
        <v>82</v>
      </c>
      <c r="B224" s="36" t="s">
        <v>959</v>
      </c>
      <c r="C224" s="36" t="s">
        <v>2512</v>
      </c>
      <c r="D224" s="37">
        <f>SUMIF(RAW_File!D:D,C:C,RAW_File!F:F)</f>
        <v>18.131867606242981</v>
      </c>
      <c r="E224" s="38">
        <f>SUMIF(RAW_File!D:D,C:C,RAW_File!G:G)</f>
        <v>0</v>
      </c>
      <c r="F224" s="39">
        <f>SUMIF(RAW_File!D:D,C:C,RAW_File!I:I)</f>
        <v>0</v>
      </c>
      <c r="G224" s="40">
        <f>SUMIF(RAW_File!D:D,C:C,RAW_File!K:K)</f>
        <v>0</v>
      </c>
      <c r="H224" s="41">
        <f>SUMIF(RAW_File!D:D,C:C,RAW_File!M:M)</f>
        <v>0</v>
      </c>
      <c r="I224" s="40">
        <f t="shared" si="4"/>
        <v>0</v>
      </c>
    </row>
    <row r="225" spans="1:9" hidden="1" x14ac:dyDescent="0.25">
      <c r="A225" s="36" t="s">
        <v>82</v>
      </c>
      <c r="B225" s="36" t="s">
        <v>2541</v>
      </c>
      <c r="C225" s="36" t="s">
        <v>2542</v>
      </c>
      <c r="D225" s="37">
        <f>SUMIF(RAW_File!D:D,C:C,RAW_File!F:F)</f>
        <v>3303.9378000000002</v>
      </c>
      <c r="E225" s="38">
        <f>SUMIF(RAW_File!D:D,C:C,RAW_File!G:G)</f>
        <v>0</v>
      </c>
      <c r="F225" s="39">
        <f>SUMIF(RAW_File!D:D,C:C,RAW_File!I:I)</f>
        <v>0</v>
      </c>
      <c r="G225" s="40">
        <f>SUMIF(RAW_File!D:D,C:C,RAW_File!K:K)</f>
        <v>0</v>
      </c>
      <c r="H225" s="41">
        <f>SUMIF(RAW_File!D:D,C:C,RAW_File!M:M)</f>
        <v>6000</v>
      </c>
      <c r="I225" s="40">
        <f t="shared" si="4"/>
        <v>6000</v>
      </c>
    </row>
    <row r="226" spans="1:9" hidden="1" x14ac:dyDescent="0.25">
      <c r="A226" s="36" t="s">
        <v>82</v>
      </c>
      <c r="B226" s="36" t="s">
        <v>2590</v>
      </c>
      <c r="C226" s="36" t="s">
        <v>2591</v>
      </c>
      <c r="D226" s="37">
        <f>SUMIF(RAW_File!D:D,C:C,RAW_File!F:F)</f>
        <v>96.492007999999998</v>
      </c>
      <c r="E226" s="38">
        <f>SUMIF(RAW_File!D:D,C:C,RAW_File!G:G)</f>
        <v>0</v>
      </c>
      <c r="F226" s="39">
        <f>SUMIF(RAW_File!D:D,C:C,RAW_File!I:I)</f>
        <v>0</v>
      </c>
      <c r="G226" s="40">
        <f>SUMIF(RAW_File!D:D,C:C,RAW_File!K:K)</f>
        <v>0</v>
      </c>
      <c r="H226" s="41">
        <f>SUMIF(RAW_File!D:D,C:C,RAW_File!M:M)</f>
        <v>0</v>
      </c>
      <c r="I226" s="40">
        <f t="shared" si="4"/>
        <v>0</v>
      </c>
    </row>
    <row r="227" spans="1:9" hidden="1" x14ac:dyDescent="0.25">
      <c r="A227" s="36" t="s">
        <v>82</v>
      </c>
      <c r="B227" s="36" t="s">
        <v>2069</v>
      </c>
      <c r="C227" s="36" t="s">
        <v>2713</v>
      </c>
      <c r="D227" s="37">
        <f>SUMIF(RAW_File!D:D,C:C,RAW_File!F:F)</f>
        <v>5875.3133610634586</v>
      </c>
      <c r="E227" s="38">
        <f>SUMIF(RAW_File!D:D,C:C,RAW_File!G:G)</f>
        <v>4850</v>
      </c>
      <c r="F227" s="39">
        <f>SUMIF(RAW_File!D:D,C:C,RAW_File!I:I)</f>
        <v>9360</v>
      </c>
      <c r="G227" s="40">
        <f>SUMIF(RAW_File!D:D,C:C,RAW_File!K:K)</f>
        <v>0</v>
      </c>
      <c r="H227" s="41">
        <f>SUMIF(RAW_File!D:D,C:C,RAW_File!M:M)</f>
        <v>25000</v>
      </c>
      <c r="I227" s="40">
        <f t="shared" si="4"/>
        <v>25000</v>
      </c>
    </row>
    <row r="228" spans="1:9" hidden="1" x14ac:dyDescent="0.25">
      <c r="A228" s="36" t="s">
        <v>82</v>
      </c>
      <c r="B228" s="36" t="s">
        <v>2796</v>
      </c>
      <c r="C228" s="36" t="s">
        <v>2797</v>
      </c>
      <c r="D228" s="37">
        <f>SUMIF(RAW_File!D:D,C:C,RAW_File!F:F)</f>
        <v>9960.7551000000003</v>
      </c>
      <c r="E228" s="38">
        <f>SUMIF(RAW_File!D:D,C:C,RAW_File!G:G)</f>
        <v>9100</v>
      </c>
      <c r="F228" s="39">
        <f>SUMIF(RAW_File!D:D,C:C,RAW_File!I:I)</f>
        <v>44050</v>
      </c>
      <c r="G228" s="40">
        <f>SUMIF(RAW_File!D:D,C:C,RAW_File!K:K)</f>
        <v>0</v>
      </c>
      <c r="H228" s="41">
        <f>SUMIF(RAW_File!D:D,C:C,RAW_File!M:M)</f>
        <v>60500</v>
      </c>
      <c r="I228" s="40">
        <f t="shared" si="4"/>
        <v>60500</v>
      </c>
    </row>
    <row r="229" spans="1:9" hidden="1" x14ac:dyDescent="0.25">
      <c r="A229" s="36" t="s">
        <v>82</v>
      </c>
      <c r="B229" s="36" t="s">
        <v>2947</v>
      </c>
      <c r="C229" s="36" t="s">
        <v>2948</v>
      </c>
      <c r="D229" s="37">
        <f>SUMIF(RAW_File!D:D,C:C,RAW_File!F:F)</f>
        <v>4312.5240631229099</v>
      </c>
      <c r="E229" s="38">
        <f>SUMIF(RAW_File!D:D,C:C,RAW_File!G:G)</f>
        <v>4900</v>
      </c>
      <c r="F229" s="39">
        <f>SUMIF(RAW_File!D:D,C:C,RAW_File!I:I)</f>
        <v>4900</v>
      </c>
      <c r="G229" s="40">
        <f>SUMIF(RAW_File!D:D,C:C,RAW_File!K:K)</f>
        <v>6000</v>
      </c>
      <c r="H229" s="41">
        <f>SUMIF(RAW_File!D:D,C:C,RAW_File!M:M)</f>
        <v>0</v>
      </c>
      <c r="I229" s="40">
        <f t="shared" si="4"/>
        <v>6000</v>
      </c>
    </row>
    <row r="230" spans="1:9" hidden="1" x14ac:dyDescent="0.25">
      <c r="A230" s="36" t="s">
        <v>82</v>
      </c>
      <c r="B230" s="36" t="s">
        <v>3087</v>
      </c>
      <c r="C230" s="36" t="s">
        <v>3088</v>
      </c>
      <c r="D230" s="37">
        <f>SUMIF(RAW_File!D:D,C:C,RAW_File!F:F)</f>
        <v>2256.216875293534</v>
      </c>
      <c r="E230" s="38">
        <f>SUMIF(RAW_File!D:D,C:C,RAW_File!G:G)</f>
        <v>3040</v>
      </c>
      <c r="F230" s="39">
        <f>SUMIF(RAW_File!D:D,C:C,RAW_File!I:I)</f>
        <v>29590</v>
      </c>
      <c r="G230" s="40">
        <f>SUMIF(RAW_File!D:D,C:C,RAW_File!K:K)</f>
        <v>0</v>
      </c>
      <c r="H230" s="41">
        <f>SUMIF(RAW_File!D:D,C:C,RAW_File!M:M)</f>
        <v>31500</v>
      </c>
      <c r="I230" s="40">
        <f t="shared" si="4"/>
        <v>31500</v>
      </c>
    </row>
    <row r="231" spans="1:9" hidden="1" x14ac:dyDescent="0.25">
      <c r="A231" s="36" t="s">
        <v>82</v>
      </c>
      <c r="B231" s="36" t="s">
        <v>3099</v>
      </c>
      <c r="C231" s="36" t="s">
        <v>3100</v>
      </c>
      <c r="D231" s="37">
        <f>SUMIF(RAW_File!D:D,C:C,RAW_File!F:F)</f>
        <v>4865.1828188279014</v>
      </c>
      <c r="E231" s="38">
        <f>SUMIF(RAW_File!D:D,C:C,RAW_File!G:G)</f>
        <v>11500</v>
      </c>
      <c r="F231" s="39">
        <f>SUMIF(RAW_File!D:D,C:C,RAW_File!I:I)</f>
        <v>11500</v>
      </c>
      <c r="G231" s="40">
        <f>SUMIF(RAW_File!D:D,C:C,RAW_File!K:K)</f>
        <v>10000</v>
      </c>
      <c r="H231" s="41">
        <f>SUMIF(RAW_File!D:D,C:C,RAW_File!M:M)</f>
        <v>0</v>
      </c>
      <c r="I231" s="40">
        <f t="shared" si="4"/>
        <v>10000</v>
      </c>
    </row>
    <row r="232" spans="1:9" hidden="1" x14ac:dyDescent="0.25">
      <c r="A232" s="36" t="s">
        <v>82</v>
      </c>
      <c r="B232" s="36" t="s">
        <v>3157</v>
      </c>
      <c r="C232" s="36" t="s">
        <v>3158</v>
      </c>
      <c r="D232" s="37">
        <f>SUMIF(RAW_File!D:D,C:C,RAW_File!F:F)</f>
        <v>17.51751379352034</v>
      </c>
      <c r="E232" s="38">
        <f>SUMIF(RAW_File!D:D,C:C,RAW_File!G:G)</f>
        <v>0</v>
      </c>
      <c r="F232" s="39">
        <f>SUMIF(RAW_File!D:D,C:C,RAW_File!I:I)</f>
        <v>0</v>
      </c>
      <c r="G232" s="40">
        <f>SUMIF(RAW_File!D:D,C:C,RAW_File!K:K)</f>
        <v>0</v>
      </c>
      <c r="H232" s="41">
        <f>SUMIF(RAW_File!D:D,C:C,RAW_File!M:M)</f>
        <v>0</v>
      </c>
      <c r="I232" s="40">
        <f t="shared" si="4"/>
        <v>0</v>
      </c>
    </row>
    <row r="233" spans="1:9" hidden="1" x14ac:dyDescent="0.25">
      <c r="A233" s="36" t="s">
        <v>82</v>
      </c>
      <c r="B233" s="36" t="s">
        <v>3163</v>
      </c>
      <c r="C233" s="36" t="s">
        <v>3164</v>
      </c>
      <c r="D233" s="37">
        <f>SUMIF(RAW_File!D:D,C:C,RAW_File!F:F)</f>
        <v>14959.308849999999</v>
      </c>
      <c r="E233" s="38">
        <f>SUMIF(RAW_File!D:D,C:C,RAW_File!G:G)</f>
        <v>2140</v>
      </c>
      <c r="F233" s="39">
        <f>SUMIF(RAW_File!D:D,C:C,RAW_File!I:I)</f>
        <v>5760</v>
      </c>
      <c r="G233" s="40">
        <f>SUMIF(RAW_File!D:D,C:C,RAW_File!K:K)</f>
        <v>5000</v>
      </c>
      <c r="H233" s="41">
        <f>SUMIF(RAW_File!D:D,C:C,RAW_File!M:M)</f>
        <v>0</v>
      </c>
      <c r="I233" s="40">
        <f t="shared" si="4"/>
        <v>5000</v>
      </c>
    </row>
    <row r="234" spans="1:9" hidden="1" x14ac:dyDescent="0.25">
      <c r="A234" s="36" t="s">
        <v>82</v>
      </c>
      <c r="B234" s="36" t="s">
        <v>3167</v>
      </c>
      <c r="C234" s="36" t="s">
        <v>3168</v>
      </c>
      <c r="D234" s="37">
        <f>SUMIF(RAW_File!D:D,C:C,RAW_File!F:F)</f>
        <v>48269.844100000002</v>
      </c>
      <c r="E234" s="38">
        <f>SUMIF(RAW_File!D:D,C:C,RAW_File!G:G)</f>
        <v>24730</v>
      </c>
      <c r="F234" s="39">
        <f>SUMIF(RAW_File!D:D,C:C,RAW_File!I:I)</f>
        <v>51750</v>
      </c>
      <c r="G234" s="40">
        <f>SUMIF(RAW_File!D:D,C:C,RAW_File!K:K)</f>
        <v>15000</v>
      </c>
      <c r="H234" s="41">
        <f>SUMIF(RAW_File!D:D,C:C,RAW_File!M:M)</f>
        <v>0</v>
      </c>
      <c r="I234" s="40">
        <f t="shared" si="4"/>
        <v>15000</v>
      </c>
    </row>
    <row r="235" spans="1:9" hidden="1" x14ac:dyDescent="0.25">
      <c r="A235" s="36" t="s">
        <v>82</v>
      </c>
      <c r="B235" s="36" t="s">
        <v>3189</v>
      </c>
      <c r="C235" s="36" t="s">
        <v>3190</v>
      </c>
      <c r="D235" s="37">
        <f>SUMIF(RAW_File!D:D,C:C,RAW_File!F:F)</f>
        <v>1620.1167618978191</v>
      </c>
      <c r="E235" s="38">
        <f>SUMIF(RAW_File!D:D,C:C,RAW_File!G:G)</f>
        <v>0</v>
      </c>
      <c r="F235" s="39">
        <f>SUMIF(RAW_File!D:D,C:C,RAW_File!I:I)</f>
        <v>5550</v>
      </c>
      <c r="G235" s="40">
        <f>SUMIF(RAW_File!D:D,C:C,RAW_File!K:K)</f>
        <v>0</v>
      </c>
      <c r="H235" s="41">
        <f>SUMIF(RAW_File!D:D,C:C,RAW_File!M:M)</f>
        <v>5500</v>
      </c>
      <c r="I235" s="40">
        <f t="shared" si="4"/>
        <v>5500</v>
      </c>
    </row>
    <row r="236" spans="1:9" hidden="1" x14ac:dyDescent="0.25">
      <c r="A236" s="36" t="s">
        <v>82</v>
      </c>
      <c r="B236" s="36" t="s">
        <v>3191</v>
      </c>
      <c r="C236" s="36" t="s">
        <v>3192</v>
      </c>
      <c r="D236" s="37">
        <f>SUMIF(RAW_File!D:D,C:C,RAW_File!F:F)</f>
        <v>260.0573</v>
      </c>
      <c r="E236" s="38">
        <f>SUMIF(RAW_File!D:D,C:C,RAW_File!G:G)</f>
        <v>10200</v>
      </c>
      <c r="F236" s="39">
        <f>SUMIF(RAW_File!D:D,C:C,RAW_File!I:I)</f>
        <v>20300</v>
      </c>
      <c r="G236" s="40">
        <f>SUMIF(RAW_File!D:D,C:C,RAW_File!K:K)</f>
        <v>5000</v>
      </c>
      <c r="H236" s="41">
        <f>SUMIF(RAW_File!D:D,C:C,RAW_File!M:M)</f>
        <v>5000</v>
      </c>
      <c r="I236" s="40">
        <f t="shared" si="4"/>
        <v>0</v>
      </c>
    </row>
    <row r="237" spans="1:9" hidden="1" x14ac:dyDescent="0.25">
      <c r="A237" s="36" t="s">
        <v>82</v>
      </c>
      <c r="B237" s="36" t="s">
        <v>3315</v>
      </c>
      <c r="C237" s="36" t="s">
        <v>3316</v>
      </c>
      <c r="D237" s="37">
        <f>SUMIF(RAW_File!D:D,C:C,RAW_File!F:F)</f>
        <v>943.87546618744193</v>
      </c>
      <c r="E237" s="38">
        <f>SUMIF(RAW_File!D:D,C:C,RAW_File!G:G)</f>
        <v>0</v>
      </c>
      <c r="F237" s="39">
        <f>SUMIF(RAW_File!D:D,C:C,RAW_File!I:I)</f>
        <v>7445</v>
      </c>
      <c r="G237" s="40">
        <f>SUMIF(RAW_File!D:D,C:C,RAW_File!K:K)</f>
        <v>0</v>
      </c>
      <c r="H237" s="41">
        <f>SUMIF(RAW_File!D:D,C:C,RAW_File!M:M)</f>
        <v>0</v>
      </c>
      <c r="I237" s="40">
        <f t="shared" si="4"/>
        <v>0</v>
      </c>
    </row>
    <row r="238" spans="1:9" hidden="1" x14ac:dyDescent="0.25">
      <c r="A238" s="36" t="s">
        <v>82</v>
      </c>
      <c r="B238" s="36" t="s">
        <v>3435</v>
      </c>
      <c r="C238" s="36" t="s">
        <v>3436</v>
      </c>
      <c r="D238" s="37">
        <f>SUMIF(RAW_File!D:D,C:C,RAW_File!F:F)</f>
        <v>17257.540499999999</v>
      </c>
      <c r="E238" s="38">
        <f>SUMIF(RAW_File!D:D,C:C,RAW_File!G:G)</f>
        <v>1860</v>
      </c>
      <c r="F238" s="39">
        <f>SUMIF(RAW_File!D:D,C:C,RAW_File!I:I)</f>
        <v>7030</v>
      </c>
      <c r="G238" s="40">
        <f>SUMIF(RAW_File!D:D,C:C,RAW_File!K:K)</f>
        <v>5000</v>
      </c>
      <c r="H238" s="41">
        <f>SUMIF(RAW_File!D:D,C:C,RAW_File!M:M)</f>
        <v>0</v>
      </c>
      <c r="I238" s="40">
        <f t="shared" si="4"/>
        <v>5000</v>
      </c>
    </row>
    <row r="239" spans="1:9" hidden="1" x14ac:dyDescent="0.25">
      <c r="A239" s="36" t="s">
        <v>82</v>
      </c>
      <c r="B239" s="36" t="s">
        <v>3486</v>
      </c>
      <c r="C239" s="36" t="s">
        <v>3487</v>
      </c>
      <c r="D239" s="37">
        <f>SUMIF(RAW_File!D:D,C:C,RAW_File!F:F)</f>
        <v>9782.1936000000005</v>
      </c>
      <c r="E239" s="38">
        <f>SUMIF(RAW_File!D:D,C:C,RAW_File!G:G)</f>
        <v>2710</v>
      </c>
      <c r="F239" s="39">
        <f>SUMIF(RAW_File!D:D,C:C,RAW_File!I:I)</f>
        <v>16860</v>
      </c>
      <c r="G239" s="40">
        <f>SUMIF(RAW_File!D:D,C:C,RAW_File!K:K)</f>
        <v>0</v>
      </c>
      <c r="H239" s="41">
        <f>SUMIF(RAW_File!D:D,C:C,RAW_File!M:M)</f>
        <v>18000</v>
      </c>
      <c r="I239" s="40">
        <f t="shared" si="4"/>
        <v>18000</v>
      </c>
    </row>
    <row r="240" spans="1:9" hidden="1" x14ac:dyDescent="0.25">
      <c r="A240" s="36" t="s">
        <v>82</v>
      </c>
      <c r="B240" s="36" t="s">
        <v>3547</v>
      </c>
      <c r="C240" s="36" t="s">
        <v>3548</v>
      </c>
      <c r="D240" s="37">
        <f>SUMIF(RAW_File!D:D,C:C,RAW_File!F:F)</f>
        <v>191.63811000000001</v>
      </c>
      <c r="E240" s="38">
        <f>SUMIF(RAW_File!D:D,C:C,RAW_File!G:G)</f>
        <v>505</v>
      </c>
      <c r="F240" s="39">
        <f>SUMIF(RAW_File!D:D,C:C,RAW_File!I:I)</f>
        <v>505</v>
      </c>
      <c r="G240" s="40">
        <f>SUMIF(RAW_File!D:D,C:C,RAW_File!K:K)</f>
        <v>0</v>
      </c>
      <c r="H240" s="41">
        <f>SUMIF(RAW_File!D:D,C:C,RAW_File!M:M)</f>
        <v>0</v>
      </c>
      <c r="I240" s="40">
        <f t="shared" si="4"/>
        <v>0</v>
      </c>
    </row>
    <row r="241" spans="1:9" hidden="1" x14ac:dyDescent="0.25">
      <c r="A241" s="36" t="s">
        <v>77</v>
      </c>
      <c r="B241" s="36" t="s">
        <v>411</v>
      </c>
      <c r="C241" s="36" t="s">
        <v>412</v>
      </c>
      <c r="D241" s="37">
        <f>SUMIF(RAW_File!D:D,C:C,RAW_File!F:F)</f>
        <v>5364.1338999999998</v>
      </c>
      <c r="E241" s="38">
        <f>SUMIF(RAW_File!D:D,C:C,RAW_File!G:G)</f>
        <v>0</v>
      </c>
      <c r="F241" s="39">
        <f>SUMIF(RAW_File!D:D,C:C,RAW_File!I:I)</f>
        <v>0</v>
      </c>
      <c r="G241" s="40">
        <f>SUMIF(RAW_File!D:D,C:C,RAW_File!K:K)</f>
        <v>0</v>
      </c>
      <c r="H241" s="41">
        <f>SUMIF(RAW_File!D:D,C:C,RAW_File!M:M)</f>
        <v>0</v>
      </c>
      <c r="I241" s="40">
        <f t="shared" si="4"/>
        <v>0</v>
      </c>
    </row>
    <row r="242" spans="1:9" hidden="1" x14ac:dyDescent="0.25">
      <c r="A242" s="36" t="s">
        <v>77</v>
      </c>
      <c r="B242" s="36" t="s">
        <v>413</v>
      </c>
      <c r="C242" s="36" t="s">
        <v>414</v>
      </c>
      <c r="D242" s="37">
        <f>SUMIF(RAW_File!D:D,C:C,RAW_File!F:F)</f>
        <v>3757.9192602355938</v>
      </c>
      <c r="E242" s="38">
        <f>SUMIF(RAW_File!D:D,C:C,RAW_File!G:G)</f>
        <v>21100</v>
      </c>
      <c r="F242" s="39">
        <f>SUMIF(RAW_File!D:D,C:C,RAW_File!I:I)</f>
        <v>27640</v>
      </c>
      <c r="G242" s="40">
        <f>SUMIF(RAW_File!D:D,C:C,RAW_File!K:K)</f>
        <v>0</v>
      </c>
      <c r="H242" s="41">
        <f>SUMIF(RAW_File!D:D,C:C,RAW_File!M:M)</f>
        <v>40000</v>
      </c>
      <c r="I242" s="40">
        <f t="shared" si="4"/>
        <v>40000</v>
      </c>
    </row>
    <row r="243" spans="1:9" hidden="1" x14ac:dyDescent="0.25">
      <c r="A243" s="36" t="s">
        <v>77</v>
      </c>
      <c r="B243" s="36" t="s">
        <v>525</v>
      </c>
      <c r="C243" s="36" t="s">
        <v>526</v>
      </c>
      <c r="D243" s="37">
        <f>SUMIF(RAW_File!D:D,C:C,RAW_File!F:F)</f>
        <v>216.81313208177789</v>
      </c>
      <c r="E243" s="38">
        <f>SUMIF(RAW_File!D:D,C:C,RAW_File!G:G)</f>
        <v>0</v>
      </c>
      <c r="F243" s="39">
        <f>SUMIF(RAW_File!D:D,C:C,RAW_File!I:I)</f>
        <v>0</v>
      </c>
      <c r="G243" s="40">
        <f>SUMIF(RAW_File!D:D,C:C,RAW_File!K:K)</f>
        <v>0</v>
      </c>
      <c r="H243" s="41">
        <f>SUMIF(RAW_File!D:D,C:C,RAW_File!M:M)</f>
        <v>15000</v>
      </c>
      <c r="I243" s="40">
        <f t="shared" si="4"/>
        <v>15000</v>
      </c>
    </row>
    <row r="244" spans="1:9" hidden="1" x14ac:dyDescent="0.25">
      <c r="A244" s="36" t="s">
        <v>77</v>
      </c>
      <c r="B244" s="36" t="s">
        <v>822</v>
      </c>
      <c r="C244" s="36" t="s">
        <v>823</v>
      </c>
      <c r="D244" s="37">
        <f>SUMIF(RAW_File!D:D,C:C,RAW_File!F:F)</f>
        <v>23781.602475</v>
      </c>
      <c r="E244" s="38">
        <f>SUMIF(RAW_File!D:D,C:C,RAW_File!G:G)</f>
        <v>19000</v>
      </c>
      <c r="F244" s="39">
        <f>SUMIF(RAW_File!D:D,C:C,RAW_File!I:I)</f>
        <v>20100</v>
      </c>
      <c r="G244" s="40">
        <f>SUMIF(RAW_File!D:D,C:C,RAW_File!K:K)</f>
        <v>0</v>
      </c>
      <c r="H244" s="41">
        <f>SUMIF(RAW_File!D:D,C:C,RAW_File!M:M)</f>
        <v>20000</v>
      </c>
      <c r="I244" s="40">
        <f t="shared" si="4"/>
        <v>20000</v>
      </c>
    </row>
    <row r="245" spans="1:9" hidden="1" x14ac:dyDescent="0.25">
      <c r="A245" s="36" t="s">
        <v>77</v>
      </c>
      <c r="B245" s="36" t="s">
        <v>874</v>
      </c>
      <c r="C245" s="36" t="s">
        <v>875</v>
      </c>
      <c r="D245" s="37">
        <f>SUMIF(RAW_File!D:D,C:C,RAW_File!F:F)</f>
        <v>26056.523830150942</v>
      </c>
      <c r="E245" s="38">
        <f>SUMIF(RAW_File!D:D,C:C,RAW_File!G:G)</f>
        <v>2265</v>
      </c>
      <c r="F245" s="39">
        <f>SUMIF(RAW_File!D:D,C:C,RAW_File!I:I)</f>
        <v>8000</v>
      </c>
      <c r="G245" s="40">
        <f>SUMIF(RAW_File!D:D,C:C,RAW_File!K:K)</f>
        <v>0</v>
      </c>
      <c r="H245" s="41">
        <f>SUMIF(RAW_File!D:D,C:C,RAW_File!M:M)</f>
        <v>20000</v>
      </c>
      <c r="I245" s="40">
        <f t="shared" si="4"/>
        <v>20000</v>
      </c>
    </row>
    <row r="246" spans="1:9" hidden="1" x14ac:dyDescent="0.25">
      <c r="A246" s="36" t="s">
        <v>77</v>
      </c>
      <c r="B246" s="36" t="s">
        <v>919</v>
      </c>
      <c r="C246" s="36" t="s">
        <v>920</v>
      </c>
      <c r="D246" s="37">
        <f>SUMIF(RAW_File!D:D,C:C,RAW_File!F:F)</f>
        <v>309.13637216516639</v>
      </c>
      <c r="E246" s="38">
        <f>SUMIF(RAW_File!D:D,C:C,RAW_File!G:G)</f>
        <v>0</v>
      </c>
      <c r="F246" s="39">
        <f>SUMIF(RAW_File!D:D,C:C,RAW_File!I:I)</f>
        <v>0</v>
      </c>
      <c r="G246" s="40">
        <f>SUMIF(RAW_File!D:D,C:C,RAW_File!K:K)</f>
        <v>0</v>
      </c>
      <c r="H246" s="41">
        <f>SUMIF(RAW_File!D:D,C:C,RAW_File!M:M)</f>
        <v>20000</v>
      </c>
      <c r="I246" s="40">
        <f t="shared" si="4"/>
        <v>20000</v>
      </c>
    </row>
    <row r="247" spans="1:9" hidden="1" x14ac:dyDescent="0.25">
      <c r="A247" s="36" t="s">
        <v>77</v>
      </c>
      <c r="B247" s="36" t="s">
        <v>933</v>
      </c>
      <c r="C247" s="36" t="s">
        <v>934</v>
      </c>
      <c r="D247" s="37">
        <f>SUMIF(RAW_File!D:D,C:C,RAW_File!F:F)</f>
        <v>5460.7209000000003</v>
      </c>
      <c r="E247" s="38">
        <f>SUMIF(RAW_File!D:D,C:C,RAW_File!G:G)</f>
        <v>7525</v>
      </c>
      <c r="F247" s="39">
        <f>SUMIF(RAW_File!D:D,C:C,RAW_File!I:I)</f>
        <v>18800</v>
      </c>
      <c r="G247" s="40">
        <f>SUMIF(RAW_File!D:D,C:C,RAW_File!K:K)</f>
        <v>0</v>
      </c>
      <c r="H247" s="41">
        <f>SUMIF(RAW_File!D:D,C:C,RAW_File!M:M)</f>
        <v>10000</v>
      </c>
      <c r="I247" s="40">
        <f t="shared" si="4"/>
        <v>10000</v>
      </c>
    </row>
    <row r="248" spans="1:9" hidden="1" x14ac:dyDescent="0.25">
      <c r="A248" s="36" t="s">
        <v>77</v>
      </c>
      <c r="B248" s="36" t="s">
        <v>973</v>
      </c>
      <c r="C248" s="36" t="s">
        <v>974</v>
      </c>
      <c r="D248" s="37">
        <f>SUMIF(RAW_File!D:D,C:C,RAW_File!F:F)</f>
        <v>2830.2226999999998</v>
      </c>
      <c r="E248" s="38">
        <f>SUMIF(RAW_File!D:D,C:C,RAW_File!G:G)</f>
        <v>15050</v>
      </c>
      <c r="F248" s="39">
        <f>SUMIF(RAW_File!D:D,C:C,RAW_File!I:I)</f>
        <v>23340</v>
      </c>
      <c r="G248" s="40">
        <f>SUMIF(RAW_File!D:D,C:C,RAW_File!K:K)</f>
        <v>5000</v>
      </c>
      <c r="H248" s="41">
        <f>SUMIF(RAW_File!D:D,C:C,RAW_File!M:M)</f>
        <v>0</v>
      </c>
      <c r="I248" s="40">
        <f t="shared" si="4"/>
        <v>5000</v>
      </c>
    </row>
    <row r="249" spans="1:9" hidden="1" x14ac:dyDescent="0.25">
      <c r="A249" s="36" t="s">
        <v>77</v>
      </c>
      <c r="B249" s="36" t="s">
        <v>1116</v>
      </c>
      <c r="C249" s="36" t="s">
        <v>1117</v>
      </c>
      <c r="D249" s="37">
        <f>SUMIF(RAW_File!D:D,C:C,RAW_File!F:F)</f>
        <v>25.11443488337855</v>
      </c>
      <c r="E249" s="38">
        <f>SUMIF(RAW_File!D:D,C:C,RAW_File!G:G)</f>
        <v>30005</v>
      </c>
      <c r="F249" s="39">
        <f>SUMIF(RAW_File!D:D,C:C,RAW_File!I:I)</f>
        <v>41805</v>
      </c>
      <c r="G249" s="40">
        <f>SUMIF(RAW_File!D:D,C:C,RAW_File!K:K)</f>
        <v>0</v>
      </c>
      <c r="H249" s="41">
        <f>SUMIF(RAW_File!D:D,C:C,RAW_File!M:M)</f>
        <v>100000</v>
      </c>
      <c r="I249" s="40">
        <f t="shared" si="4"/>
        <v>100000</v>
      </c>
    </row>
    <row r="250" spans="1:9" hidden="1" x14ac:dyDescent="0.25">
      <c r="A250" s="36" t="s">
        <v>77</v>
      </c>
      <c r="B250" s="36" t="s">
        <v>1213</v>
      </c>
      <c r="C250" s="36" t="s">
        <v>1214</v>
      </c>
      <c r="D250" s="37">
        <f>SUMIF(RAW_File!D:D,C:C,RAW_File!F:F)</f>
        <v>9835.8598864148225</v>
      </c>
      <c r="E250" s="38">
        <f>SUMIF(RAW_File!D:D,C:C,RAW_File!G:G)</f>
        <v>1000</v>
      </c>
      <c r="F250" s="39">
        <f>SUMIF(RAW_File!D:D,C:C,RAW_File!I:I)</f>
        <v>3950</v>
      </c>
      <c r="G250" s="40">
        <f>SUMIF(RAW_File!D:D,C:C,RAW_File!K:K)</f>
        <v>5000</v>
      </c>
      <c r="H250" s="41">
        <f>SUMIF(RAW_File!D:D,C:C,RAW_File!M:M)</f>
        <v>0</v>
      </c>
      <c r="I250" s="40">
        <f t="shared" si="4"/>
        <v>5000</v>
      </c>
    </row>
    <row r="251" spans="1:9" hidden="1" x14ac:dyDescent="0.25">
      <c r="A251" s="36" t="s">
        <v>77</v>
      </c>
      <c r="B251" s="36" t="s">
        <v>1245</v>
      </c>
      <c r="C251" s="36" t="s">
        <v>1246</v>
      </c>
      <c r="D251" s="37">
        <f>SUMIF(RAW_File!D:D,C:C,RAW_File!F:F)</f>
        <v>37064.381517595437</v>
      </c>
      <c r="E251" s="38">
        <f>SUMIF(RAW_File!D:D,C:C,RAW_File!G:G)</f>
        <v>0</v>
      </c>
      <c r="F251" s="39">
        <f>SUMIF(RAW_File!D:D,C:C,RAW_File!I:I)</f>
        <v>10000</v>
      </c>
      <c r="G251" s="40">
        <f>SUMIF(RAW_File!D:D,C:C,RAW_File!K:K)</f>
        <v>0</v>
      </c>
      <c r="H251" s="41">
        <f>SUMIF(RAW_File!D:D,C:C,RAW_File!M:M)</f>
        <v>0</v>
      </c>
      <c r="I251" s="40">
        <f t="shared" si="4"/>
        <v>0</v>
      </c>
    </row>
    <row r="252" spans="1:9" hidden="1" x14ac:dyDescent="0.25">
      <c r="A252" s="36" t="s">
        <v>77</v>
      </c>
      <c r="B252" s="36" t="s">
        <v>1249</v>
      </c>
      <c r="C252" s="36" t="s">
        <v>1250</v>
      </c>
      <c r="D252" s="37">
        <f>SUMIF(RAW_File!D:D,C:C,RAW_File!F:F)</f>
        <v>67.940296165026012</v>
      </c>
      <c r="E252" s="38">
        <f>SUMIF(RAW_File!D:D,C:C,RAW_File!G:G)</f>
        <v>0</v>
      </c>
      <c r="F252" s="39">
        <f>SUMIF(RAW_File!D:D,C:C,RAW_File!I:I)</f>
        <v>0</v>
      </c>
      <c r="G252" s="40">
        <f>SUMIF(RAW_File!D:D,C:C,RAW_File!K:K)</f>
        <v>0</v>
      </c>
      <c r="H252" s="41">
        <f>SUMIF(RAW_File!D:D,C:C,RAW_File!M:M)</f>
        <v>0</v>
      </c>
      <c r="I252" s="40">
        <f t="shared" si="4"/>
        <v>0</v>
      </c>
    </row>
    <row r="253" spans="1:9" hidden="1" x14ac:dyDescent="0.25">
      <c r="A253" s="36" t="s">
        <v>77</v>
      </c>
      <c r="B253" s="36" t="s">
        <v>1259</v>
      </c>
      <c r="C253" s="36" t="s">
        <v>1260</v>
      </c>
      <c r="D253" s="37">
        <f>SUMIF(RAW_File!D:D,C:C,RAW_File!F:F)</f>
        <v>6698.1616999999997</v>
      </c>
      <c r="E253" s="38">
        <f>SUMIF(RAW_File!D:D,C:C,RAW_File!G:G)</f>
        <v>59310</v>
      </c>
      <c r="F253" s="39">
        <f>SUMIF(RAW_File!D:D,C:C,RAW_File!I:I)</f>
        <v>65615</v>
      </c>
      <c r="G253" s="40">
        <f>SUMIF(RAW_File!D:D,C:C,RAW_File!K:K)</f>
        <v>0</v>
      </c>
      <c r="H253" s="41">
        <f>SUMIF(RAW_File!D:D,C:C,RAW_File!M:M)</f>
        <v>70000</v>
      </c>
      <c r="I253" s="40">
        <f t="shared" si="4"/>
        <v>70000</v>
      </c>
    </row>
    <row r="254" spans="1:9" hidden="1" x14ac:dyDescent="0.25">
      <c r="A254" s="36" t="s">
        <v>77</v>
      </c>
      <c r="B254" s="36" t="s">
        <v>1281</v>
      </c>
      <c r="C254" s="36" t="s">
        <v>1282</v>
      </c>
      <c r="D254" s="37">
        <f>SUMIF(RAW_File!D:D,C:C,RAW_File!F:F)</f>
        <v>21032.9473</v>
      </c>
      <c r="E254" s="38">
        <f>SUMIF(RAW_File!D:D,C:C,RAW_File!G:G)</f>
        <v>500</v>
      </c>
      <c r="F254" s="39">
        <f>SUMIF(RAW_File!D:D,C:C,RAW_File!I:I)</f>
        <v>13400</v>
      </c>
      <c r="G254" s="40">
        <f>SUMIF(RAW_File!D:D,C:C,RAW_File!K:K)</f>
        <v>5000</v>
      </c>
      <c r="H254" s="41">
        <f>SUMIF(RAW_File!D:D,C:C,RAW_File!M:M)</f>
        <v>0</v>
      </c>
      <c r="I254" s="40">
        <f t="shared" si="4"/>
        <v>5000</v>
      </c>
    </row>
    <row r="255" spans="1:9" hidden="1" x14ac:dyDescent="0.25">
      <c r="A255" s="36" t="s">
        <v>77</v>
      </c>
      <c r="B255" s="36" t="s">
        <v>1309</v>
      </c>
      <c r="C255" s="36" t="s">
        <v>1310</v>
      </c>
      <c r="D255" s="37">
        <f>SUMIF(RAW_File!D:D,C:C,RAW_File!F:F)</f>
        <v>12698.063147999999</v>
      </c>
      <c r="E255" s="38">
        <f>SUMIF(RAW_File!D:D,C:C,RAW_File!G:G)</f>
        <v>5350</v>
      </c>
      <c r="F255" s="39">
        <f>SUMIF(RAW_File!D:D,C:C,RAW_File!I:I)</f>
        <v>24230</v>
      </c>
      <c r="G255" s="40">
        <f>SUMIF(RAW_File!D:D,C:C,RAW_File!K:K)</f>
        <v>0</v>
      </c>
      <c r="H255" s="41">
        <f>SUMIF(RAW_File!D:D,C:C,RAW_File!M:M)</f>
        <v>33500</v>
      </c>
      <c r="I255" s="40">
        <f t="shared" si="4"/>
        <v>33500</v>
      </c>
    </row>
    <row r="256" spans="1:9" hidden="1" x14ac:dyDescent="0.25">
      <c r="A256" s="36" t="s">
        <v>77</v>
      </c>
      <c r="B256" s="36" t="s">
        <v>1407</v>
      </c>
      <c r="C256" s="36" t="s">
        <v>1408</v>
      </c>
      <c r="D256" s="37">
        <f>SUMIF(RAW_File!D:D,C:C,RAW_File!F:F)</f>
        <v>22007.813600000001</v>
      </c>
      <c r="E256" s="38">
        <f>SUMIF(RAW_File!D:D,C:C,RAW_File!G:G)</f>
        <v>2190</v>
      </c>
      <c r="F256" s="39">
        <f>SUMIF(RAW_File!D:D,C:C,RAW_File!I:I)</f>
        <v>3840</v>
      </c>
      <c r="G256" s="40">
        <f>SUMIF(RAW_File!D:D,C:C,RAW_File!K:K)</f>
        <v>6000</v>
      </c>
      <c r="H256" s="41">
        <f>SUMIF(RAW_File!D:D,C:C,RAW_File!M:M)</f>
        <v>0</v>
      </c>
      <c r="I256" s="40">
        <f t="shared" si="4"/>
        <v>6000</v>
      </c>
    </row>
    <row r="257" spans="1:9" hidden="1" x14ac:dyDescent="0.25">
      <c r="A257" s="36" t="s">
        <v>77</v>
      </c>
      <c r="B257" s="36" t="s">
        <v>1493</v>
      </c>
      <c r="C257" s="36" t="s">
        <v>1494</v>
      </c>
      <c r="D257" s="37">
        <f>SUMIF(RAW_File!D:D,C:C,RAW_File!F:F)</f>
        <v>2024.1940589999999</v>
      </c>
      <c r="E257" s="38">
        <f>SUMIF(RAW_File!D:D,C:C,RAW_File!G:G)</f>
        <v>9264</v>
      </c>
      <c r="F257" s="39">
        <f>SUMIF(RAW_File!D:D,C:C,RAW_File!I:I)</f>
        <v>14494</v>
      </c>
      <c r="G257" s="40">
        <f>SUMIF(RAW_File!D:D,C:C,RAW_File!K:K)</f>
        <v>0</v>
      </c>
      <c r="H257" s="41">
        <f>SUMIF(RAW_File!D:D,C:C,RAW_File!M:M)</f>
        <v>50000</v>
      </c>
      <c r="I257" s="40">
        <f t="shared" si="4"/>
        <v>50000</v>
      </c>
    </row>
    <row r="258" spans="1:9" hidden="1" x14ac:dyDescent="0.25">
      <c r="A258" s="36" t="s">
        <v>77</v>
      </c>
      <c r="B258" s="36" t="s">
        <v>1587</v>
      </c>
      <c r="C258" s="36" t="s">
        <v>1588</v>
      </c>
      <c r="D258" s="37">
        <f>SUMIF(RAW_File!D:D,C:C,RAW_File!F:F)</f>
        <v>69.826627999999999</v>
      </c>
      <c r="E258" s="38">
        <f>SUMIF(RAW_File!D:D,C:C,RAW_File!G:G)</f>
        <v>10000</v>
      </c>
      <c r="F258" s="39">
        <f>SUMIF(RAW_File!D:D,C:C,RAW_File!I:I)</f>
        <v>10000</v>
      </c>
      <c r="G258" s="40">
        <f>SUMIF(RAW_File!D:D,C:C,RAW_File!K:K)</f>
        <v>10000</v>
      </c>
      <c r="H258" s="41">
        <f>SUMIF(RAW_File!D:D,C:C,RAW_File!M:M)</f>
        <v>0</v>
      </c>
      <c r="I258" s="40">
        <f t="shared" si="4"/>
        <v>10000</v>
      </c>
    </row>
    <row r="259" spans="1:9" hidden="1" x14ac:dyDescent="0.25">
      <c r="A259" s="36" t="s">
        <v>77</v>
      </c>
      <c r="B259" s="36" t="s">
        <v>1882</v>
      </c>
      <c r="C259" s="36" t="s">
        <v>1883</v>
      </c>
      <c r="D259" s="37">
        <f>SUMIF(RAW_File!D:D,C:C,RAW_File!F:F)</f>
        <v>5302.136148951784</v>
      </c>
      <c r="E259" s="38">
        <f>SUMIF(RAW_File!D:D,C:C,RAW_File!G:G)</f>
        <v>14705</v>
      </c>
      <c r="F259" s="39">
        <f>SUMIF(RAW_File!D:D,C:C,RAW_File!I:I)</f>
        <v>25265</v>
      </c>
      <c r="G259" s="40">
        <f>SUMIF(RAW_File!D:D,C:C,RAW_File!K:K)</f>
        <v>5000</v>
      </c>
      <c r="H259" s="41">
        <f>SUMIF(RAW_File!D:D,C:C,RAW_File!M:M)</f>
        <v>0</v>
      </c>
      <c r="I259" s="40">
        <f t="shared" ref="I259:I322" si="5">ABS(G259-H259)</f>
        <v>5000</v>
      </c>
    </row>
    <row r="260" spans="1:9" hidden="1" x14ac:dyDescent="0.25">
      <c r="A260" s="36" t="s">
        <v>77</v>
      </c>
      <c r="B260" s="36" t="s">
        <v>1925</v>
      </c>
      <c r="C260" s="36" t="s">
        <v>1926</v>
      </c>
      <c r="D260" s="37">
        <f>SUMIF(RAW_File!D:D,C:C,RAW_File!F:F)</f>
        <v>407.22579999999999</v>
      </c>
      <c r="E260" s="38">
        <f>SUMIF(RAW_File!D:D,C:C,RAW_File!G:G)</f>
        <v>7830</v>
      </c>
      <c r="F260" s="39">
        <f>SUMIF(RAW_File!D:D,C:C,RAW_File!I:I)</f>
        <v>10160</v>
      </c>
      <c r="G260" s="40">
        <f>SUMIF(RAW_File!D:D,C:C,RAW_File!K:K)</f>
        <v>5000</v>
      </c>
      <c r="H260" s="41">
        <f>SUMIF(RAW_File!D:D,C:C,RAW_File!M:M)</f>
        <v>0</v>
      </c>
      <c r="I260" s="40">
        <f t="shared" si="5"/>
        <v>5000</v>
      </c>
    </row>
    <row r="261" spans="1:9" hidden="1" x14ac:dyDescent="0.25">
      <c r="A261" s="36" t="s">
        <v>77</v>
      </c>
      <c r="B261" s="36" t="s">
        <v>1978</v>
      </c>
      <c r="C261" s="36" t="s">
        <v>1979</v>
      </c>
      <c r="D261" s="37">
        <f>SUMIF(RAW_File!D:D,C:C,RAW_File!F:F)</f>
        <v>742.81535518343355</v>
      </c>
      <c r="E261" s="38">
        <f>SUMIF(RAW_File!D:D,C:C,RAW_File!G:G)</f>
        <v>300</v>
      </c>
      <c r="F261" s="39">
        <f>SUMIF(RAW_File!D:D,C:C,RAW_File!I:I)</f>
        <v>7000</v>
      </c>
      <c r="G261" s="40">
        <f>SUMIF(RAW_File!D:D,C:C,RAW_File!K:K)</f>
        <v>5000</v>
      </c>
      <c r="H261" s="41">
        <f>SUMIF(RAW_File!D:D,C:C,RAW_File!M:M)</f>
        <v>10000</v>
      </c>
      <c r="I261" s="40">
        <f t="shared" si="5"/>
        <v>5000</v>
      </c>
    </row>
    <row r="262" spans="1:9" hidden="1" x14ac:dyDescent="0.25">
      <c r="A262" s="36" t="s">
        <v>77</v>
      </c>
      <c r="B262" s="36" t="s">
        <v>2061</v>
      </c>
      <c r="C262" s="36" t="s">
        <v>2062</v>
      </c>
      <c r="D262" s="37">
        <f>SUMIF(RAW_File!D:D,C:C,RAW_File!F:F)</f>
        <v>2395.9108013528571</v>
      </c>
      <c r="E262" s="38">
        <f>SUMIF(RAW_File!D:D,C:C,RAW_File!G:G)</f>
        <v>2400</v>
      </c>
      <c r="F262" s="39">
        <f>SUMIF(RAW_File!D:D,C:C,RAW_File!I:I)</f>
        <v>8900</v>
      </c>
      <c r="G262" s="40">
        <f>SUMIF(RAW_File!D:D,C:C,RAW_File!K:K)</f>
        <v>0</v>
      </c>
      <c r="H262" s="41">
        <f>SUMIF(RAW_File!D:D,C:C,RAW_File!M:M)</f>
        <v>5000</v>
      </c>
      <c r="I262" s="40">
        <f t="shared" si="5"/>
        <v>5000</v>
      </c>
    </row>
    <row r="263" spans="1:9" hidden="1" x14ac:dyDescent="0.25">
      <c r="A263" s="36" t="s">
        <v>77</v>
      </c>
      <c r="B263" s="36" t="s">
        <v>2099</v>
      </c>
      <c r="C263" s="36" t="s">
        <v>2100</v>
      </c>
      <c r="D263" s="37">
        <f>SUMIF(RAW_File!D:D,C:C,RAW_File!F:F)</f>
        <v>3741.1676499999999</v>
      </c>
      <c r="E263" s="38">
        <f>SUMIF(RAW_File!D:D,C:C,RAW_File!G:G)</f>
        <v>0</v>
      </c>
      <c r="F263" s="39">
        <f>SUMIF(RAW_File!D:D,C:C,RAW_File!I:I)</f>
        <v>4100</v>
      </c>
      <c r="G263" s="40">
        <f>SUMIF(RAW_File!D:D,C:C,RAW_File!K:K)</f>
        <v>0</v>
      </c>
      <c r="H263" s="41">
        <f>SUMIF(RAW_File!D:D,C:C,RAW_File!M:M)</f>
        <v>5000</v>
      </c>
      <c r="I263" s="40">
        <f t="shared" si="5"/>
        <v>5000</v>
      </c>
    </row>
    <row r="264" spans="1:9" hidden="1" x14ac:dyDescent="0.25">
      <c r="A264" s="36" t="s">
        <v>77</v>
      </c>
      <c r="B264" s="36" t="s">
        <v>2147</v>
      </c>
      <c r="C264" s="36" t="s">
        <v>2148</v>
      </c>
      <c r="D264" s="37">
        <f>SUMIF(RAW_File!D:D,C:C,RAW_File!F:F)</f>
        <v>225.13791363552511</v>
      </c>
      <c r="E264" s="38">
        <f>SUMIF(RAW_File!D:D,C:C,RAW_File!G:G)</f>
        <v>7500</v>
      </c>
      <c r="F264" s="39">
        <f>SUMIF(RAW_File!D:D,C:C,RAW_File!I:I)</f>
        <v>7700</v>
      </c>
      <c r="G264" s="40">
        <f>SUMIF(RAW_File!D:D,C:C,RAW_File!K:K)</f>
        <v>0</v>
      </c>
      <c r="H264" s="41">
        <f>SUMIF(RAW_File!D:D,C:C,RAW_File!M:M)</f>
        <v>30000</v>
      </c>
      <c r="I264" s="40">
        <f t="shared" si="5"/>
        <v>30000</v>
      </c>
    </row>
    <row r="265" spans="1:9" hidden="1" x14ac:dyDescent="0.25">
      <c r="A265" s="36" t="s">
        <v>77</v>
      </c>
      <c r="B265" s="36" t="s">
        <v>2241</v>
      </c>
      <c r="C265" s="36" t="s">
        <v>2242</v>
      </c>
      <c r="D265" s="37">
        <f>SUMIF(RAW_File!D:D,C:C,RAW_File!F:F)</f>
        <v>0.87924999999999998</v>
      </c>
      <c r="E265" s="38">
        <f>SUMIF(RAW_File!D:D,C:C,RAW_File!G:G)</f>
        <v>0</v>
      </c>
      <c r="F265" s="39">
        <f>SUMIF(RAW_File!D:D,C:C,RAW_File!I:I)</f>
        <v>0</v>
      </c>
      <c r="G265" s="40">
        <f>SUMIF(RAW_File!D:D,C:C,RAW_File!K:K)</f>
        <v>0</v>
      </c>
      <c r="H265" s="41">
        <f>SUMIF(RAW_File!D:D,C:C,RAW_File!M:M)</f>
        <v>0</v>
      </c>
      <c r="I265" s="40">
        <f t="shared" si="5"/>
        <v>0</v>
      </c>
    </row>
    <row r="266" spans="1:9" hidden="1" x14ac:dyDescent="0.25">
      <c r="A266" s="36" t="s">
        <v>77</v>
      </c>
      <c r="B266" s="36" t="s">
        <v>2254</v>
      </c>
      <c r="C266" s="36" t="s">
        <v>2255</v>
      </c>
      <c r="D266" s="37">
        <f>SUMIF(RAW_File!D:D,C:C,RAW_File!F:F)</f>
        <v>23484.90748455685</v>
      </c>
      <c r="E266" s="38">
        <f>SUMIF(RAW_File!D:D,C:C,RAW_File!G:G)</f>
        <v>805</v>
      </c>
      <c r="F266" s="39">
        <f>SUMIF(RAW_File!D:D,C:C,RAW_File!I:I)</f>
        <v>2340</v>
      </c>
      <c r="G266" s="40">
        <f>SUMIF(RAW_File!D:D,C:C,RAW_File!K:K)</f>
        <v>5000</v>
      </c>
      <c r="H266" s="41">
        <f>SUMIF(RAW_File!D:D,C:C,RAW_File!M:M)</f>
        <v>0</v>
      </c>
      <c r="I266" s="40">
        <f t="shared" si="5"/>
        <v>5000</v>
      </c>
    </row>
    <row r="267" spans="1:9" hidden="1" x14ac:dyDescent="0.25">
      <c r="A267" s="36" t="s">
        <v>77</v>
      </c>
      <c r="B267" s="36" t="s">
        <v>2311</v>
      </c>
      <c r="C267" s="36" t="s">
        <v>2312</v>
      </c>
      <c r="D267" s="37">
        <f>SUMIF(RAW_File!D:D,C:C,RAW_File!F:F)</f>
        <v>27738.620756</v>
      </c>
      <c r="E267" s="38">
        <f>SUMIF(RAW_File!D:D,C:C,RAW_File!G:G)</f>
        <v>0</v>
      </c>
      <c r="F267" s="39">
        <f>SUMIF(RAW_File!D:D,C:C,RAW_File!I:I)</f>
        <v>0</v>
      </c>
      <c r="G267" s="40">
        <f>SUMIF(RAW_File!D:D,C:C,RAW_File!K:K)</f>
        <v>0</v>
      </c>
      <c r="H267" s="41">
        <f>SUMIF(RAW_File!D:D,C:C,RAW_File!M:M)</f>
        <v>0</v>
      </c>
      <c r="I267" s="40">
        <f t="shared" si="5"/>
        <v>0</v>
      </c>
    </row>
    <row r="268" spans="1:9" hidden="1" x14ac:dyDescent="0.25">
      <c r="A268" s="36" t="s">
        <v>77</v>
      </c>
      <c r="B268" s="36" t="s">
        <v>2353</v>
      </c>
      <c r="C268" s="36" t="s">
        <v>2354</v>
      </c>
      <c r="D268" s="37">
        <f>SUMIF(RAW_File!D:D,C:C,RAW_File!F:F)</f>
        <v>630.23825068530721</v>
      </c>
      <c r="E268" s="38">
        <f>SUMIF(RAW_File!D:D,C:C,RAW_File!G:G)</f>
        <v>1560</v>
      </c>
      <c r="F268" s="39">
        <f>SUMIF(RAW_File!D:D,C:C,RAW_File!I:I)</f>
        <v>6620</v>
      </c>
      <c r="G268" s="40">
        <f>SUMIF(RAW_File!D:D,C:C,RAW_File!K:K)</f>
        <v>7000</v>
      </c>
      <c r="H268" s="41">
        <f>SUMIF(RAW_File!D:D,C:C,RAW_File!M:M)</f>
        <v>10000</v>
      </c>
      <c r="I268" s="40">
        <f t="shared" si="5"/>
        <v>3000</v>
      </c>
    </row>
    <row r="269" spans="1:9" hidden="1" x14ac:dyDescent="0.25">
      <c r="A269" s="36" t="s">
        <v>77</v>
      </c>
      <c r="B269" s="36" t="s">
        <v>2407</v>
      </c>
      <c r="C269" s="36" t="s">
        <v>2408</v>
      </c>
      <c r="D269" s="37">
        <f>SUMIF(RAW_File!D:D,C:C,RAW_File!F:F)</f>
        <v>42948.06193805136</v>
      </c>
      <c r="E269" s="38">
        <f>SUMIF(RAW_File!D:D,C:C,RAW_File!G:G)</f>
        <v>2410</v>
      </c>
      <c r="F269" s="39">
        <f>SUMIF(RAW_File!D:D,C:C,RAW_File!I:I)</f>
        <v>13310</v>
      </c>
      <c r="G269" s="40">
        <f>SUMIF(RAW_File!D:D,C:C,RAW_File!K:K)</f>
        <v>0</v>
      </c>
      <c r="H269" s="41">
        <f>SUMIF(RAW_File!D:D,C:C,RAW_File!M:M)</f>
        <v>55000</v>
      </c>
      <c r="I269" s="40">
        <f t="shared" si="5"/>
        <v>55000</v>
      </c>
    </row>
    <row r="270" spans="1:9" hidden="1" x14ac:dyDescent="0.25">
      <c r="A270" s="36" t="s">
        <v>77</v>
      </c>
      <c r="B270" s="36" t="s">
        <v>2459</v>
      </c>
      <c r="C270" s="36" t="s">
        <v>2460</v>
      </c>
      <c r="D270" s="37">
        <f>SUMIF(RAW_File!D:D,C:C,RAW_File!F:F)</f>
        <v>15199.316800000001</v>
      </c>
      <c r="E270" s="38">
        <f>SUMIF(RAW_File!D:D,C:C,RAW_File!G:G)</f>
        <v>1056</v>
      </c>
      <c r="F270" s="39">
        <f>SUMIF(RAW_File!D:D,C:C,RAW_File!I:I)</f>
        <v>1906</v>
      </c>
      <c r="G270" s="40">
        <f>SUMIF(RAW_File!D:D,C:C,RAW_File!K:K)</f>
        <v>5000</v>
      </c>
      <c r="H270" s="41">
        <f>SUMIF(RAW_File!D:D,C:C,RAW_File!M:M)</f>
        <v>0</v>
      </c>
      <c r="I270" s="40">
        <f t="shared" si="5"/>
        <v>5000</v>
      </c>
    </row>
    <row r="271" spans="1:9" hidden="1" x14ac:dyDescent="0.25">
      <c r="A271" s="36" t="s">
        <v>77</v>
      </c>
      <c r="B271" s="36" t="s">
        <v>2519</v>
      </c>
      <c r="C271" s="36" t="s">
        <v>2520</v>
      </c>
      <c r="D271" s="37">
        <f>SUMIF(RAW_File!D:D,C:C,RAW_File!F:F)</f>
        <v>10109.869000000001</v>
      </c>
      <c r="E271" s="38">
        <f>SUMIF(RAW_File!D:D,C:C,RAW_File!G:G)</f>
        <v>0</v>
      </c>
      <c r="F271" s="39">
        <f>SUMIF(RAW_File!D:D,C:C,RAW_File!I:I)</f>
        <v>0</v>
      </c>
      <c r="G271" s="40">
        <f>SUMIF(RAW_File!D:D,C:C,RAW_File!K:K)</f>
        <v>5000</v>
      </c>
      <c r="H271" s="41">
        <f>SUMIF(RAW_File!D:D,C:C,RAW_File!M:M)</f>
        <v>0</v>
      </c>
      <c r="I271" s="40">
        <f t="shared" si="5"/>
        <v>5000</v>
      </c>
    </row>
    <row r="272" spans="1:9" hidden="1" x14ac:dyDescent="0.25">
      <c r="A272" s="36" t="s">
        <v>77</v>
      </c>
      <c r="B272" s="36" t="s">
        <v>2563</v>
      </c>
      <c r="C272" s="36" t="s">
        <v>2564</v>
      </c>
      <c r="D272" s="37">
        <f>SUMIF(RAW_File!D:D,C:C,RAW_File!F:F)</f>
        <v>6.8886500000000002</v>
      </c>
      <c r="E272" s="38">
        <f>SUMIF(RAW_File!D:D,C:C,RAW_File!G:G)</f>
        <v>1410</v>
      </c>
      <c r="F272" s="39">
        <f>SUMIF(RAW_File!D:D,C:C,RAW_File!I:I)</f>
        <v>8125</v>
      </c>
      <c r="G272" s="40">
        <f>SUMIF(RAW_File!D:D,C:C,RAW_File!K:K)</f>
        <v>0</v>
      </c>
      <c r="H272" s="41">
        <f>SUMIF(RAW_File!D:D,C:C,RAW_File!M:M)</f>
        <v>8500</v>
      </c>
      <c r="I272" s="40">
        <f t="shared" si="5"/>
        <v>8500</v>
      </c>
    </row>
    <row r="273" spans="1:9" hidden="1" x14ac:dyDescent="0.25">
      <c r="A273" s="36" t="s">
        <v>77</v>
      </c>
      <c r="B273" s="36" t="s">
        <v>2681</v>
      </c>
      <c r="C273" s="36" t="s">
        <v>2682</v>
      </c>
      <c r="D273" s="37">
        <f>SUMIF(RAW_File!D:D,C:C,RAW_File!F:F)</f>
        <v>78.698999999999998</v>
      </c>
      <c r="E273" s="38">
        <f>SUMIF(RAW_File!D:D,C:C,RAW_File!G:G)</f>
        <v>10000</v>
      </c>
      <c r="F273" s="39">
        <f>SUMIF(RAW_File!D:D,C:C,RAW_File!I:I)</f>
        <v>10000</v>
      </c>
      <c r="G273" s="40">
        <f>SUMIF(RAW_File!D:D,C:C,RAW_File!K:K)</f>
        <v>10000</v>
      </c>
      <c r="H273" s="41">
        <f>SUMIF(RAW_File!D:D,C:C,RAW_File!M:M)</f>
        <v>0</v>
      </c>
      <c r="I273" s="40">
        <f t="shared" si="5"/>
        <v>10000</v>
      </c>
    </row>
    <row r="274" spans="1:9" hidden="1" x14ac:dyDescent="0.25">
      <c r="A274" s="36" t="s">
        <v>77</v>
      </c>
      <c r="B274" s="36" t="s">
        <v>2810</v>
      </c>
      <c r="C274" s="36" t="s">
        <v>2811</v>
      </c>
      <c r="D274" s="37">
        <f>SUMIF(RAW_File!D:D,C:C,RAW_File!F:F)</f>
        <v>15.521100001400001</v>
      </c>
      <c r="E274" s="38">
        <f>SUMIF(RAW_File!D:D,C:C,RAW_File!G:G)</f>
        <v>0</v>
      </c>
      <c r="F274" s="39">
        <f>SUMIF(RAW_File!D:D,C:C,RAW_File!I:I)</f>
        <v>0</v>
      </c>
      <c r="G274" s="40">
        <f>SUMIF(RAW_File!D:D,C:C,RAW_File!K:K)</f>
        <v>0</v>
      </c>
      <c r="H274" s="41">
        <f>SUMIF(RAW_File!D:D,C:C,RAW_File!M:M)</f>
        <v>0</v>
      </c>
      <c r="I274" s="40">
        <f t="shared" si="5"/>
        <v>0</v>
      </c>
    </row>
    <row r="275" spans="1:9" hidden="1" x14ac:dyDescent="0.25">
      <c r="A275" s="36" t="s">
        <v>77</v>
      </c>
      <c r="B275" s="36" t="s">
        <v>2910</v>
      </c>
      <c r="C275" s="36" t="s">
        <v>2911</v>
      </c>
      <c r="D275" s="37">
        <f>SUMIF(RAW_File!D:D,C:C,RAW_File!F:F)</f>
        <v>61.762320000000003</v>
      </c>
      <c r="E275" s="38">
        <f>SUMIF(RAW_File!D:D,C:C,RAW_File!G:G)</f>
        <v>0</v>
      </c>
      <c r="F275" s="39">
        <f>SUMIF(RAW_File!D:D,C:C,RAW_File!I:I)</f>
        <v>0</v>
      </c>
      <c r="G275" s="40">
        <f>SUMIF(RAW_File!D:D,C:C,RAW_File!K:K)</f>
        <v>0</v>
      </c>
      <c r="H275" s="41">
        <f>SUMIF(RAW_File!D:D,C:C,RAW_File!M:M)</f>
        <v>0</v>
      </c>
      <c r="I275" s="40">
        <f t="shared" si="5"/>
        <v>0</v>
      </c>
    </row>
    <row r="276" spans="1:9" hidden="1" x14ac:dyDescent="0.25">
      <c r="A276" s="36" t="s">
        <v>77</v>
      </c>
      <c r="B276" s="36" t="s">
        <v>2989</v>
      </c>
      <c r="C276" s="36" t="s">
        <v>2990</v>
      </c>
      <c r="D276" s="37">
        <f>SUMIF(RAW_File!D:D,C:C,RAW_File!F:F)</f>
        <v>303.27409150600249</v>
      </c>
      <c r="E276" s="38">
        <f>SUMIF(RAW_File!D:D,C:C,RAW_File!G:G)</f>
        <v>300</v>
      </c>
      <c r="F276" s="39">
        <f>SUMIF(RAW_File!D:D,C:C,RAW_File!I:I)</f>
        <v>11290</v>
      </c>
      <c r="G276" s="40">
        <f>SUMIF(RAW_File!D:D,C:C,RAW_File!K:K)</f>
        <v>0</v>
      </c>
      <c r="H276" s="41">
        <f>SUMIF(RAW_File!D:D,C:C,RAW_File!M:M)</f>
        <v>12000</v>
      </c>
      <c r="I276" s="40">
        <f t="shared" si="5"/>
        <v>12000</v>
      </c>
    </row>
    <row r="277" spans="1:9" hidden="1" x14ac:dyDescent="0.25">
      <c r="A277" s="36" t="s">
        <v>77</v>
      </c>
      <c r="B277" s="36" t="s">
        <v>3014</v>
      </c>
      <c r="C277" s="36" t="s">
        <v>3015</v>
      </c>
      <c r="D277" s="37">
        <f>SUMIF(RAW_File!D:D,C:C,RAW_File!F:F)</f>
        <v>9774.7839077420667</v>
      </c>
      <c r="E277" s="38">
        <f>SUMIF(RAW_File!D:D,C:C,RAW_File!G:G)</f>
        <v>0</v>
      </c>
      <c r="F277" s="39">
        <f>SUMIF(RAW_File!D:D,C:C,RAW_File!I:I)</f>
        <v>2000</v>
      </c>
      <c r="G277" s="40">
        <f>SUMIF(RAW_File!D:D,C:C,RAW_File!K:K)</f>
        <v>5000</v>
      </c>
      <c r="H277" s="41">
        <f>SUMIF(RAW_File!D:D,C:C,RAW_File!M:M)</f>
        <v>0</v>
      </c>
      <c r="I277" s="40">
        <f t="shared" si="5"/>
        <v>5000</v>
      </c>
    </row>
    <row r="278" spans="1:9" hidden="1" x14ac:dyDescent="0.25">
      <c r="A278" s="36" t="s">
        <v>77</v>
      </c>
      <c r="B278" s="36" t="s">
        <v>3042</v>
      </c>
      <c r="C278" s="36" t="s">
        <v>3043</v>
      </c>
      <c r="D278" s="37">
        <f>SUMIF(RAW_File!D:D,C:C,RAW_File!F:F)</f>
        <v>958.08274978732902</v>
      </c>
      <c r="E278" s="38">
        <f>SUMIF(RAW_File!D:D,C:C,RAW_File!G:G)</f>
        <v>2300</v>
      </c>
      <c r="F278" s="39">
        <f>SUMIF(RAW_File!D:D,C:C,RAW_File!I:I)</f>
        <v>8712</v>
      </c>
      <c r="G278" s="40">
        <f>SUMIF(RAW_File!D:D,C:C,RAW_File!K:K)</f>
        <v>0</v>
      </c>
      <c r="H278" s="41">
        <f>SUMIF(RAW_File!D:D,C:C,RAW_File!M:M)</f>
        <v>4000</v>
      </c>
      <c r="I278" s="40">
        <f t="shared" si="5"/>
        <v>4000</v>
      </c>
    </row>
    <row r="279" spans="1:9" hidden="1" x14ac:dyDescent="0.25">
      <c r="A279" s="36" t="s">
        <v>77</v>
      </c>
      <c r="B279" s="36" t="s">
        <v>3083</v>
      </c>
      <c r="C279" s="36" t="s">
        <v>3084</v>
      </c>
      <c r="D279" s="37">
        <f>SUMIF(RAW_File!D:D,C:C,RAW_File!F:F)</f>
        <v>986.65579100000002</v>
      </c>
      <c r="E279" s="38">
        <f>SUMIF(RAW_File!D:D,C:C,RAW_File!G:G)</f>
        <v>0</v>
      </c>
      <c r="F279" s="39">
        <f>SUMIF(RAW_File!D:D,C:C,RAW_File!I:I)</f>
        <v>0</v>
      </c>
      <c r="G279" s="40">
        <f>SUMIF(RAW_File!D:D,C:C,RAW_File!K:K)</f>
        <v>0</v>
      </c>
      <c r="H279" s="41">
        <f>SUMIF(RAW_File!D:D,C:C,RAW_File!M:M)</f>
        <v>5000</v>
      </c>
      <c r="I279" s="40">
        <f t="shared" si="5"/>
        <v>5000</v>
      </c>
    </row>
    <row r="280" spans="1:9" hidden="1" x14ac:dyDescent="0.25">
      <c r="A280" s="36" t="s">
        <v>77</v>
      </c>
      <c r="B280" s="36" t="s">
        <v>3127</v>
      </c>
      <c r="C280" s="36" t="s">
        <v>3128</v>
      </c>
      <c r="D280" s="37">
        <f>SUMIF(RAW_File!D:D,C:C,RAW_File!F:F)</f>
        <v>1696.4434607514049</v>
      </c>
      <c r="E280" s="38">
        <f>SUMIF(RAW_File!D:D,C:C,RAW_File!G:G)</f>
        <v>7685</v>
      </c>
      <c r="F280" s="39">
        <f>SUMIF(RAW_File!D:D,C:C,RAW_File!I:I)</f>
        <v>23735</v>
      </c>
      <c r="G280" s="40">
        <f>SUMIF(RAW_File!D:D,C:C,RAW_File!K:K)</f>
        <v>0</v>
      </c>
      <c r="H280" s="41">
        <f>SUMIF(RAW_File!D:D,C:C,RAW_File!M:M)</f>
        <v>30000</v>
      </c>
      <c r="I280" s="40">
        <f t="shared" si="5"/>
        <v>30000</v>
      </c>
    </row>
    <row r="281" spans="1:9" hidden="1" x14ac:dyDescent="0.25">
      <c r="A281" s="36" t="s">
        <v>77</v>
      </c>
      <c r="B281" s="36" t="s">
        <v>3234</v>
      </c>
      <c r="C281" s="36" t="s">
        <v>3235</v>
      </c>
      <c r="D281" s="37">
        <f>SUMIF(RAW_File!D:D,C:C,RAW_File!F:F)</f>
        <v>1527.14032</v>
      </c>
      <c r="E281" s="38">
        <f>SUMIF(RAW_File!D:D,C:C,RAW_File!G:G)</f>
        <v>5000</v>
      </c>
      <c r="F281" s="39">
        <f>SUMIF(RAW_File!D:D,C:C,RAW_File!I:I)</f>
        <v>6210</v>
      </c>
      <c r="G281" s="40">
        <f>SUMIF(RAW_File!D:D,C:C,RAW_File!K:K)</f>
        <v>5000</v>
      </c>
      <c r="H281" s="41">
        <f>SUMIF(RAW_File!D:D,C:C,RAW_File!M:M)</f>
        <v>0</v>
      </c>
      <c r="I281" s="40">
        <f t="shared" si="5"/>
        <v>5000</v>
      </c>
    </row>
    <row r="282" spans="1:9" hidden="1" x14ac:dyDescent="0.25">
      <c r="A282" s="36" t="s">
        <v>77</v>
      </c>
      <c r="B282" s="36" t="s">
        <v>3367</v>
      </c>
      <c r="C282" s="36" t="s">
        <v>3368</v>
      </c>
      <c r="D282" s="37">
        <f>SUMIF(RAW_File!D:D,C:C,RAW_File!F:F)</f>
        <v>40214.486160192479</v>
      </c>
      <c r="E282" s="38">
        <f>SUMIF(RAW_File!D:D,C:C,RAW_File!G:G)</f>
        <v>1000</v>
      </c>
      <c r="F282" s="39">
        <f>SUMIF(RAW_File!D:D,C:C,RAW_File!I:I)</f>
        <v>1000</v>
      </c>
      <c r="G282" s="40">
        <f>SUMIF(RAW_File!D:D,C:C,RAW_File!K:K)</f>
        <v>5000</v>
      </c>
      <c r="H282" s="41">
        <f>SUMIF(RAW_File!D:D,C:C,RAW_File!M:M)</f>
        <v>0</v>
      </c>
      <c r="I282" s="40">
        <f t="shared" si="5"/>
        <v>5000</v>
      </c>
    </row>
    <row r="283" spans="1:9" hidden="1" x14ac:dyDescent="0.25">
      <c r="A283" s="36" t="s">
        <v>77</v>
      </c>
      <c r="B283" s="36" t="s">
        <v>1803</v>
      </c>
      <c r="C283" s="36" t="s">
        <v>3430</v>
      </c>
      <c r="D283" s="37">
        <f>SUMIF(RAW_File!D:D,C:C,RAW_File!F:F)</f>
        <v>741.38220386824332</v>
      </c>
      <c r="E283" s="38">
        <f>SUMIF(RAW_File!D:D,C:C,RAW_File!G:G)</f>
        <v>805</v>
      </c>
      <c r="F283" s="39">
        <f>SUMIF(RAW_File!D:D,C:C,RAW_File!I:I)</f>
        <v>805</v>
      </c>
      <c r="G283" s="40">
        <f>SUMIF(RAW_File!D:D,C:C,RAW_File!K:K)</f>
        <v>0</v>
      </c>
      <c r="H283" s="41">
        <f>SUMIF(RAW_File!D:D,C:C,RAW_File!M:M)</f>
        <v>4000</v>
      </c>
      <c r="I283" s="40">
        <f t="shared" si="5"/>
        <v>4000</v>
      </c>
    </row>
    <row r="284" spans="1:9" hidden="1" x14ac:dyDescent="0.25">
      <c r="A284" s="36" t="s">
        <v>77</v>
      </c>
      <c r="B284" s="36" t="s">
        <v>3508</v>
      </c>
      <c r="C284" s="36" t="s">
        <v>3509</v>
      </c>
      <c r="D284" s="37">
        <f>SUMIF(RAW_File!D:D,C:C,RAW_File!F:F)</f>
        <v>168.30250000000001</v>
      </c>
      <c r="E284" s="38">
        <f>SUMIF(RAW_File!D:D,C:C,RAW_File!G:G)</f>
        <v>310</v>
      </c>
      <c r="F284" s="39">
        <f>SUMIF(RAW_File!D:D,C:C,RAW_File!I:I)</f>
        <v>5610</v>
      </c>
      <c r="G284" s="40">
        <f>SUMIF(RAW_File!D:D,C:C,RAW_File!K:K)</f>
        <v>0</v>
      </c>
      <c r="H284" s="41">
        <f>SUMIF(RAW_File!D:D,C:C,RAW_File!M:M)</f>
        <v>5000</v>
      </c>
      <c r="I284" s="40">
        <f t="shared" si="5"/>
        <v>5000</v>
      </c>
    </row>
    <row r="285" spans="1:9" hidden="1" x14ac:dyDescent="0.25">
      <c r="A285" s="36" t="s">
        <v>61</v>
      </c>
      <c r="B285" s="36" t="s">
        <v>270</v>
      </c>
      <c r="C285" s="36" t="s">
        <v>271</v>
      </c>
      <c r="D285" s="37">
        <f>SUMIF(RAW_File!D:D,C:C,RAW_File!F:F)</f>
        <v>17303.129173347799</v>
      </c>
      <c r="E285" s="38">
        <f>SUMIF(RAW_File!D:D,C:C,RAW_File!G:G)</f>
        <v>3160</v>
      </c>
      <c r="F285" s="39">
        <f>SUMIF(RAW_File!D:D,C:C,RAW_File!I:I)</f>
        <v>12350</v>
      </c>
      <c r="G285" s="40">
        <f>SUMIF(RAW_File!D:D,C:C,RAW_File!K:K)</f>
        <v>5000</v>
      </c>
      <c r="H285" s="41">
        <f>SUMIF(RAW_File!D:D,C:C,RAW_File!M:M)</f>
        <v>25000</v>
      </c>
      <c r="I285" s="40">
        <f t="shared" si="5"/>
        <v>20000</v>
      </c>
    </row>
    <row r="286" spans="1:9" hidden="1" x14ac:dyDescent="0.25">
      <c r="A286" s="36" t="s">
        <v>61</v>
      </c>
      <c r="B286" s="36" t="s">
        <v>284</v>
      </c>
      <c r="C286" s="36" t="s">
        <v>285</v>
      </c>
      <c r="D286" s="37">
        <f>SUMIF(RAW_File!D:D,C:C,RAW_File!F:F)</f>
        <v>1552.981105246866</v>
      </c>
      <c r="E286" s="38">
        <f>SUMIF(RAW_File!D:D,C:C,RAW_File!G:G)</f>
        <v>4050</v>
      </c>
      <c r="F286" s="39">
        <f>SUMIF(RAW_File!D:D,C:C,RAW_File!I:I)</f>
        <v>5050</v>
      </c>
      <c r="G286" s="40">
        <f>SUMIF(RAW_File!D:D,C:C,RAW_File!K:K)</f>
        <v>5000</v>
      </c>
      <c r="H286" s="41">
        <f>SUMIF(RAW_File!D:D,C:C,RAW_File!M:M)</f>
        <v>0</v>
      </c>
      <c r="I286" s="40">
        <f t="shared" si="5"/>
        <v>5000</v>
      </c>
    </row>
    <row r="287" spans="1:9" hidden="1" x14ac:dyDescent="0.25">
      <c r="A287" s="36" t="s">
        <v>61</v>
      </c>
      <c r="B287" s="36" t="s">
        <v>453</v>
      </c>
      <c r="C287" s="36" t="s">
        <v>454</v>
      </c>
      <c r="D287" s="37">
        <f>SUMIF(RAW_File!D:D,C:C,RAW_File!F:F)</f>
        <v>23947.527204670721</v>
      </c>
      <c r="E287" s="38">
        <f>SUMIF(RAW_File!D:D,C:C,RAW_File!G:G)</f>
        <v>21320</v>
      </c>
      <c r="F287" s="39">
        <f>SUMIF(RAW_File!D:D,C:C,RAW_File!I:I)</f>
        <v>36460</v>
      </c>
      <c r="G287" s="40">
        <f>SUMIF(RAW_File!D:D,C:C,RAW_File!K:K)</f>
        <v>5000</v>
      </c>
      <c r="H287" s="41">
        <f>SUMIF(RAW_File!D:D,C:C,RAW_File!M:M)</f>
        <v>20000</v>
      </c>
      <c r="I287" s="40">
        <f t="shared" si="5"/>
        <v>15000</v>
      </c>
    </row>
    <row r="288" spans="1:9" hidden="1" x14ac:dyDescent="0.25">
      <c r="A288" s="36" t="s">
        <v>61</v>
      </c>
      <c r="B288" s="36" t="s">
        <v>474</v>
      </c>
      <c r="C288" s="36" t="s">
        <v>475</v>
      </c>
      <c r="D288" s="37">
        <f>SUMIF(RAW_File!D:D,C:C,RAW_File!F:F)</f>
        <v>623.42930000000001</v>
      </c>
      <c r="E288" s="38">
        <f>SUMIF(RAW_File!D:D,C:C,RAW_File!G:G)</f>
        <v>0</v>
      </c>
      <c r="F288" s="39">
        <f>SUMIF(RAW_File!D:D,C:C,RAW_File!I:I)</f>
        <v>0</v>
      </c>
      <c r="G288" s="40">
        <f>SUMIF(RAW_File!D:D,C:C,RAW_File!K:K)</f>
        <v>0</v>
      </c>
      <c r="H288" s="41">
        <f>SUMIF(RAW_File!D:D,C:C,RAW_File!M:M)</f>
        <v>0</v>
      </c>
      <c r="I288" s="40">
        <f t="shared" si="5"/>
        <v>0</v>
      </c>
    </row>
    <row r="289" spans="1:9" hidden="1" x14ac:dyDescent="0.25">
      <c r="A289" s="36" t="s">
        <v>61</v>
      </c>
      <c r="B289" s="36" t="s">
        <v>620</v>
      </c>
      <c r="C289" s="36" t="s">
        <v>621</v>
      </c>
      <c r="D289" s="37">
        <f>SUMIF(RAW_File!D:D,C:C,RAW_File!F:F)</f>
        <v>8288.8559079081442</v>
      </c>
      <c r="E289" s="38">
        <f>SUMIF(RAW_File!D:D,C:C,RAW_File!G:G)</f>
        <v>26210</v>
      </c>
      <c r="F289" s="39">
        <f>SUMIF(RAW_File!D:D,C:C,RAW_File!I:I)</f>
        <v>40060</v>
      </c>
      <c r="G289" s="40">
        <f>SUMIF(RAW_File!D:D,C:C,RAW_File!K:K)</f>
        <v>10000</v>
      </c>
      <c r="H289" s="41">
        <f>SUMIF(RAW_File!D:D,C:C,RAW_File!M:M)</f>
        <v>0</v>
      </c>
      <c r="I289" s="40">
        <f t="shared" si="5"/>
        <v>10000</v>
      </c>
    </row>
    <row r="290" spans="1:9" hidden="1" x14ac:dyDescent="0.25">
      <c r="A290" s="36" t="s">
        <v>61</v>
      </c>
      <c r="B290" s="36" t="s">
        <v>967</v>
      </c>
      <c r="C290" s="36" t="s">
        <v>968</v>
      </c>
      <c r="D290" s="37">
        <f>SUMIF(RAW_File!D:D,C:C,RAW_File!F:F)</f>
        <v>4021.2127</v>
      </c>
      <c r="E290" s="38">
        <f>SUMIF(RAW_File!D:D,C:C,RAW_File!G:G)</f>
        <v>0</v>
      </c>
      <c r="F290" s="39">
        <f>SUMIF(RAW_File!D:D,C:C,RAW_File!I:I)</f>
        <v>2055</v>
      </c>
      <c r="G290" s="40">
        <f>SUMIF(RAW_File!D:D,C:C,RAW_File!K:K)</f>
        <v>0</v>
      </c>
      <c r="H290" s="41">
        <f>SUMIF(RAW_File!D:D,C:C,RAW_File!M:M)</f>
        <v>5000</v>
      </c>
      <c r="I290" s="40">
        <f t="shared" si="5"/>
        <v>5000</v>
      </c>
    </row>
    <row r="291" spans="1:9" hidden="1" x14ac:dyDescent="0.25">
      <c r="A291" s="36" t="s">
        <v>61</v>
      </c>
      <c r="B291" s="36" t="s">
        <v>1029</v>
      </c>
      <c r="C291" s="36" t="s">
        <v>1030</v>
      </c>
      <c r="D291" s="37">
        <f>SUMIF(RAW_File!D:D,C:C,RAW_File!F:F)</f>
        <v>5145.6487999999999</v>
      </c>
      <c r="E291" s="38">
        <f>SUMIF(RAW_File!D:D,C:C,RAW_File!G:G)</f>
        <v>0</v>
      </c>
      <c r="F291" s="39">
        <f>SUMIF(RAW_File!D:D,C:C,RAW_File!I:I)</f>
        <v>0</v>
      </c>
      <c r="G291" s="40">
        <f>SUMIF(RAW_File!D:D,C:C,RAW_File!K:K)</f>
        <v>5000</v>
      </c>
      <c r="H291" s="41">
        <f>SUMIF(RAW_File!D:D,C:C,RAW_File!M:M)</f>
        <v>0</v>
      </c>
      <c r="I291" s="40">
        <f t="shared" si="5"/>
        <v>5000</v>
      </c>
    </row>
    <row r="292" spans="1:9" hidden="1" x14ac:dyDescent="0.25">
      <c r="A292" s="36" t="s">
        <v>61</v>
      </c>
      <c r="B292" s="36" t="s">
        <v>1057</v>
      </c>
      <c r="C292" s="36" t="s">
        <v>1058</v>
      </c>
      <c r="D292" s="37">
        <f>SUMIF(RAW_File!D:D,C:C,RAW_File!F:F)</f>
        <v>1489.7013999999999</v>
      </c>
      <c r="E292" s="38">
        <f>SUMIF(RAW_File!D:D,C:C,RAW_File!G:G)</f>
        <v>6610</v>
      </c>
      <c r="F292" s="39">
        <f>SUMIF(RAW_File!D:D,C:C,RAW_File!I:I)</f>
        <v>32160</v>
      </c>
      <c r="G292" s="40">
        <f>SUMIF(RAW_File!D:D,C:C,RAW_File!K:K)</f>
        <v>5000</v>
      </c>
      <c r="H292" s="41">
        <f>SUMIF(RAW_File!D:D,C:C,RAW_File!M:M)</f>
        <v>0</v>
      </c>
      <c r="I292" s="40">
        <f t="shared" si="5"/>
        <v>5000</v>
      </c>
    </row>
    <row r="293" spans="1:9" hidden="1" x14ac:dyDescent="0.25">
      <c r="A293" s="36" t="s">
        <v>61</v>
      </c>
      <c r="B293" s="36" t="s">
        <v>1153</v>
      </c>
      <c r="C293" s="36" t="s">
        <v>1154</v>
      </c>
      <c r="D293" s="37">
        <f>SUMIF(RAW_File!D:D,C:C,RAW_File!F:F)</f>
        <v>210.15043918279511</v>
      </c>
      <c r="E293" s="38">
        <f>SUMIF(RAW_File!D:D,C:C,RAW_File!G:G)</f>
        <v>1220</v>
      </c>
      <c r="F293" s="39">
        <f>SUMIF(RAW_File!D:D,C:C,RAW_File!I:I)</f>
        <v>149070</v>
      </c>
      <c r="G293" s="40">
        <f>SUMIF(RAW_File!D:D,C:C,RAW_File!K:K)</f>
        <v>0</v>
      </c>
      <c r="H293" s="41">
        <f>SUMIF(RAW_File!D:D,C:C,RAW_File!M:M)</f>
        <v>150000</v>
      </c>
      <c r="I293" s="40">
        <f t="shared" si="5"/>
        <v>150000</v>
      </c>
    </row>
    <row r="294" spans="1:9" hidden="1" x14ac:dyDescent="0.25">
      <c r="A294" s="36" t="s">
        <v>61</v>
      </c>
      <c r="B294" s="36" t="s">
        <v>1319</v>
      </c>
      <c r="C294" s="36" t="s">
        <v>1320</v>
      </c>
      <c r="D294" s="37">
        <f>SUMIF(RAW_File!D:D,C:C,RAW_File!F:F)</f>
        <v>789.55443156614228</v>
      </c>
      <c r="E294" s="38">
        <f>SUMIF(RAW_File!D:D,C:C,RAW_File!G:G)</f>
        <v>13520</v>
      </c>
      <c r="F294" s="39">
        <f>SUMIF(RAW_File!D:D,C:C,RAW_File!I:I)</f>
        <v>19640</v>
      </c>
      <c r="G294" s="40">
        <f>SUMIF(RAW_File!D:D,C:C,RAW_File!K:K)</f>
        <v>15000</v>
      </c>
      <c r="H294" s="41">
        <f>SUMIF(RAW_File!D:D,C:C,RAW_File!M:M)</f>
        <v>0</v>
      </c>
      <c r="I294" s="40">
        <f t="shared" si="5"/>
        <v>15000</v>
      </c>
    </row>
    <row r="295" spans="1:9" hidden="1" x14ac:dyDescent="0.25">
      <c r="A295" s="36" t="s">
        <v>61</v>
      </c>
      <c r="B295" s="36" t="s">
        <v>1330</v>
      </c>
      <c r="C295" s="36" t="s">
        <v>1331</v>
      </c>
      <c r="D295" s="37">
        <f>SUMIF(RAW_File!D:D,C:C,RAW_File!F:F)</f>
        <v>10025.85338826423</v>
      </c>
      <c r="E295" s="38">
        <f>SUMIF(RAW_File!D:D,C:C,RAW_File!G:G)</f>
        <v>10075</v>
      </c>
      <c r="F295" s="39">
        <f>SUMIF(RAW_File!D:D,C:C,RAW_File!I:I)</f>
        <v>30570</v>
      </c>
      <c r="G295" s="40">
        <f>SUMIF(RAW_File!D:D,C:C,RAW_File!K:K)</f>
        <v>0</v>
      </c>
      <c r="H295" s="41">
        <f>SUMIF(RAW_File!D:D,C:C,RAW_File!M:M)</f>
        <v>35000</v>
      </c>
      <c r="I295" s="40">
        <f t="shared" si="5"/>
        <v>35000</v>
      </c>
    </row>
    <row r="296" spans="1:9" hidden="1" x14ac:dyDescent="0.25">
      <c r="A296" s="36" t="s">
        <v>61</v>
      </c>
      <c r="B296" s="36" t="s">
        <v>1698</v>
      </c>
      <c r="C296" s="36" t="s">
        <v>1699</v>
      </c>
      <c r="D296" s="37">
        <f>SUMIF(RAW_File!D:D,C:C,RAW_File!F:F)</f>
        <v>247.47280000000001</v>
      </c>
      <c r="E296" s="38">
        <f>SUMIF(RAW_File!D:D,C:C,RAW_File!G:G)</f>
        <v>10000</v>
      </c>
      <c r="F296" s="39">
        <f>SUMIF(RAW_File!D:D,C:C,RAW_File!I:I)</f>
        <v>24800</v>
      </c>
      <c r="G296" s="40">
        <f>SUMIF(RAW_File!D:D,C:C,RAW_File!K:K)</f>
        <v>10000</v>
      </c>
      <c r="H296" s="41">
        <f>SUMIF(RAW_File!D:D,C:C,RAW_File!M:M)</f>
        <v>15000</v>
      </c>
      <c r="I296" s="40">
        <f t="shared" si="5"/>
        <v>5000</v>
      </c>
    </row>
    <row r="297" spans="1:9" hidden="1" x14ac:dyDescent="0.25">
      <c r="A297" s="36" t="s">
        <v>61</v>
      </c>
      <c r="B297" s="36" t="s">
        <v>1718</v>
      </c>
      <c r="C297" s="36" t="s">
        <v>1719</v>
      </c>
      <c r="D297" s="37">
        <f>SUMIF(RAW_File!D:D,C:C,RAW_File!F:F)</f>
        <v>2767.2085372259498</v>
      </c>
      <c r="E297" s="38">
        <f>SUMIF(RAW_File!D:D,C:C,RAW_File!G:G)</f>
        <v>3900</v>
      </c>
      <c r="F297" s="39">
        <f>SUMIF(RAW_File!D:D,C:C,RAW_File!I:I)</f>
        <v>32100</v>
      </c>
      <c r="G297" s="40">
        <f>SUMIF(RAW_File!D:D,C:C,RAW_File!K:K)</f>
        <v>5000</v>
      </c>
      <c r="H297" s="41">
        <f>SUMIF(RAW_File!D:D,C:C,RAW_File!M:M)</f>
        <v>30000</v>
      </c>
      <c r="I297" s="40">
        <f t="shared" si="5"/>
        <v>25000</v>
      </c>
    </row>
    <row r="298" spans="1:9" hidden="1" x14ac:dyDescent="0.25">
      <c r="A298" s="36" t="s">
        <v>61</v>
      </c>
      <c r="B298" s="36" t="s">
        <v>1746</v>
      </c>
      <c r="C298" s="36" t="s">
        <v>1747</v>
      </c>
      <c r="D298" s="37">
        <f>SUMIF(RAW_File!D:D,C:C,RAW_File!F:F)</f>
        <v>25743.881738838762</v>
      </c>
      <c r="E298" s="38">
        <f>SUMIF(RAW_File!D:D,C:C,RAW_File!G:G)</f>
        <v>3030</v>
      </c>
      <c r="F298" s="39">
        <f>SUMIF(RAW_File!D:D,C:C,RAW_File!I:I)</f>
        <v>10380</v>
      </c>
      <c r="G298" s="40">
        <f>SUMIF(RAW_File!D:D,C:C,RAW_File!K:K)</f>
        <v>5000</v>
      </c>
      <c r="H298" s="41">
        <f>SUMIF(RAW_File!D:D,C:C,RAW_File!M:M)</f>
        <v>0</v>
      </c>
      <c r="I298" s="40">
        <f t="shared" si="5"/>
        <v>5000</v>
      </c>
    </row>
    <row r="299" spans="1:9" hidden="1" x14ac:dyDescent="0.25">
      <c r="A299" s="36" t="s">
        <v>61</v>
      </c>
      <c r="B299" s="36" t="s">
        <v>1805</v>
      </c>
      <c r="C299" s="36" t="s">
        <v>1806</v>
      </c>
      <c r="D299" s="37">
        <f>SUMIF(RAW_File!D:D,C:C,RAW_File!F:F)</f>
        <v>19824.944073967661</v>
      </c>
      <c r="E299" s="38">
        <f>SUMIF(RAW_File!D:D,C:C,RAW_File!G:G)</f>
        <v>4810</v>
      </c>
      <c r="F299" s="39">
        <f>SUMIF(RAW_File!D:D,C:C,RAW_File!I:I)</f>
        <v>13620</v>
      </c>
      <c r="G299" s="40">
        <f>SUMIF(RAW_File!D:D,C:C,RAW_File!K:K)</f>
        <v>6000</v>
      </c>
      <c r="H299" s="41">
        <f>SUMIF(RAW_File!D:D,C:C,RAW_File!M:M)</f>
        <v>12000</v>
      </c>
      <c r="I299" s="40">
        <f t="shared" si="5"/>
        <v>6000</v>
      </c>
    </row>
    <row r="300" spans="1:9" hidden="1" x14ac:dyDescent="0.25">
      <c r="A300" s="36" t="s">
        <v>61</v>
      </c>
      <c r="B300" s="36" t="s">
        <v>1849</v>
      </c>
      <c r="C300" s="36" t="s">
        <v>1850</v>
      </c>
      <c r="D300" s="37">
        <f>SUMIF(RAW_File!D:D,C:C,RAW_File!F:F)</f>
        <v>14710.85743004221</v>
      </c>
      <c r="E300" s="38">
        <f>SUMIF(RAW_File!D:D,C:C,RAW_File!G:G)</f>
        <v>10130</v>
      </c>
      <c r="F300" s="39">
        <f>SUMIF(RAW_File!D:D,C:C,RAW_File!I:I)</f>
        <v>32465</v>
      </c>
      <c r="G300" s="40">
        <f>SUMIF(RAW_File!D:D,C:C,RAW_File!K:K)</f>
        <v>0</v>
      </c>
      <c r="H300" s="41">
        <f>SUMIF(RAW_File!D:D,C:C,RAW_File!M:M)</f>
        <v>6000</v>
      </c>
      <c r="I300" s="40">
        <f t="shared" si="5"/>
        <v>6000</v>
      </c>
    </row>
    <row r="301" spans="1:9" hidden="1" x14ac:dyDescent="0.25">
      <c r="A301" s="36" t="s">
        <v>61</v>
      </c>
      <c r="B301" s="36" t="s">
        <v>2016</v>
      </c>
      <c r="C301" s="36" t="s">
        <v>2017</v>
      </c>
      <c r="D301" s="37">
        <f>SUMIF(RAW_File!D:D,C:C,RAW_File!F:F)</f>
        <v>9046.0480920756254</v>
      </c>
      <c r="E301" s="38">
        <f>SUMIF(RAW_File!D:D,C:C,RAW_File!G:G)</f>
        <v>3810</v>
      </c>
      <c r="F301" s="39">
        <f>SUMIF(RAW_File!D:D,C:C,RAW_File!I:I)</f>
        <v>5390</v>
      </c>
      <c r="G301" s="40">
        <f>SUMIF(RAW_File!D:D,C:C,RAW_File!K:K)</f>
        <v>5000</v>
      </c>
      <c r="H301" s="41">
        <f>SUMIF(RAW_File!D:D,C:C,RAW_File!M:M)</f>
        <v>0</v>
      </c>
      <c r="I301" s="40">
        <f t="shared" si="5"/>
        <v>5000</v>
      </c>
    </row>
    <row r="302" spans="1:9" hidden="1" x14ac:dyDescent="0.25">
      <c r="A302" s="36" t="s">
        <v>61</v>
      </c>
      <c r="B302" s="36" t="s">
        <v>2107</v>
      </c>
      <c r="C302" s="36" t="s">
        <v>2108</v>
      </c>
      <c r="D302" s="37">
        <f>SUMIF(RAW_File!D:D,C:C,RAW_File!F:F)</f>
        <v>2087.2235376768031</v>
      </c>
      <c r="E302" s="38">
        <f>SUMIF(RAW_File!D:D,C:C,RAW_File!G:G)</f>
        <v>4764</v>
      </c>
      <c r="F302" s="39">
        <f>SUMIF(RAW_File!D:D,C:C,RAW_File!I:I)</f>
        <v>10164</v>
      </c>
      <c r="G302" s="40">
        <f>SUMIF(RAW_File!D:D,C:C,RAW_File!K:K)</f>
        <v>0</v>
      </c>
      <c r="H302" s="41">
        <f>SUMIF(RAW_File!D:D,C:C,RAW_File!M:M)</f>
        <v>5000</v>
      </c>
      <c r="I302" s="40">
        <f t="shared" si="5"/>
        <v>5000</v>
      </c>
    </row>
    <row r="303" spans="1:9" hidden="1" x14ac:dyDescent="0.25">
      <c r="A303" s="42" t="s">
        <v>61</v>
      </c>
      <c r="B303" s="36" t="s">
        <v>2115</v>
      </c>
      <c r="C303" s="36" t="s">
        <v>2116</v>
      </c>
      <c r="D303" s="37">
        <f>SUMIF(RAW_File!D:D,C:C,RAW_File!F:F)</f>
        <v>6405.0783199234565</v>
      </c>
      <c r="E303" s="38">
        <f>SUMIF(RAW_File!D:D,C:C,RAW_File!G:G)</f>
        <v>5000</v>
      </c>
      <c r="F303" s="39">
        <f>SUMIF(RAW_File!D:D,C:C,RAW_File!I:I)</f>
        <v>5000</v>
      </c>
      <c r="G303" s="40">
        <f>SUMIF(RAW_File!D:D,C:C,RAW_File!K:K)</f>
        <v>5000</v>
      </c>
      <c r="H303" s="41">
        <f>SUMIF(RAW_File!D:D,C:C,RAW_File!M:M)</f>
        <v>0</v>
      </c>
      <c r="I303" s="40">
        <f t="shared" si="5"/>
        <v>5000</v>
      </c>
    </row>
    <row r="304" spans="1:9" hidden="1" x14ac:dyDescent="0.25">
      <c r="A304" s="36" t="s">
        <v>61</v>
      </c>
      <c r="B304" s="36" t="s">
        <v>2168</v>
      </c>
      <c r="C304" s="36" t="s">
        <v>2169</v>
      </c>
      <c r="D304" s="37">
        <f>SUMIF(RAW_File!D:D,C:C,RAW_File!F:F)</f>
        <v>1422.9373306501941</v>
      </c>
      <c r="E304" s="38">
        <f>SUMIF(RAW_File!D:D,C:C,RAW_File!G:G)</f>
        <v>53450</v>
      </c>
      <c r="F304" s="39">
        <f>SUMIF(RAW_File!D:D,C:C,RAW_File!I:I)</f>
        <v>73640</v>
      </c>
      <c r="G304" s="40">
        <f>SUMIF(RAW_File!D:D,C:C,RAW_File!K:K)</f>
        <v>20000</v>
      </c>
      <c r="H304" s="41">
        <f>SUMIF(RAW_File!D:D,C:C,RAW_File!M:M)</f>
        <v>0</v>
      </c>
      <c r="I304" s="40">
        <f t="shared" si="5"/>
        <v>20000</v>
      </c>
    </row>
    <row r="305" spans="1:9" hidden="1" x14ac:dyDescent="0.25">
      <c r="A305" s="36" t="s">
        <v>61</v>
      </c>
      <c r="B305" s="36" t="s">
        <v>2209</v>
      </c>
      <c r="C305" s="36" t="s">
        <v>2210</v>
      </c>
      <c r="D305" s="37">
        <f>SUMIF(RAW_File!D:D,C:C,RAW_File!F:F)</f>
        <v>133913.33851</v>
      </c>
      <c r="E305" s="38">
        <f>SUMIF(RAW_File!D:D,C:C,RAW_File!G:G)</f>
        <v>57549</v>
      </c>
      <c r="F305" s="39">
        <f>SUMIF(RAW_File!D:D,C:C,RAW_File!I:I)</f>
        <v>86919</v>
      </c>
      <c r="G305" s="40">
        <f>SUMIF(RAW_File!D:D,C:C,RAW_File!K:K)</f>
        <v>30000</v>
      </c>
      <c r="H305" s="41">
        <f>SUMIF(RAW_File!D:D,C:C,RAW_File!M:M)</f>
        <v>10000</v>
      </c>
      <c r="I305" s="40">
        <f t="shared" si="5"/>
        <v>20000</v>
      </c>
    </row>
    <row r="306" spans="1:9" hidden="1" x14ac:dyDescent="0.25">
      <c r="A306" s="36" t="s">
        <v>61</v>
      </c>
      <c r="B306" s="36" t="s">
        <v>2211</v>
      </c>
      <c r="C306" s="36" t="s">
        <v>2212</v>
      </c>
      <c r="D306" s="37">
        <f>SUMIF(RAW_File!D:D,C:C,RAW_File!F:F)</f>
        <v>7308.910288</v>
      </c>
      <c r="E306" s="38">
        <f>SUMIF(RAW_File!D:D,C:C,RAW_File!G:G)</f>
        <v>400</v>
      </c>
      <c r="F306" s="39">
        <f>SUMIF(RAW_File!D:D,C:C,RAW_File!I:I)</f>
        <v>8000</v>
      </c>
      <c r="G306" s="40">
        <f>SUMIF(RAW_File!D:D,C:C,RAW_File!K:K)</f>
        <v>0</v>
      </c>
      <c r="H306" s="41">
        <f>SUMIF(RAW_File!D:D,C:C,RAW_File!M:M)</f>
        <v>10000</v>
      </c>
      <c r="I306" s="40">
        <f t="shared" si="5"/>
        <v>10000</v>
      </c>
    </row>
    <row r="307" spans="1:9" hidden="1" x14ac:dyDescent="0.25">
      <c r="A307" s="36" t="s">
        <v>61</v>
      </c>
      <c r="B307" s="36" t="s">
        <v>2219</v>
      </c>
      <c r="C307" s="36" t="s">
        <v>2220</v>
      </c>
      <c r="D307" s="37">
        <f>SUMIF(RAW_File!D:D,C:C,RAW_File!F:F)</f>
        <v>5709.0566282607997</v>
      </c>
      <c r="E307" s="38">
        <f>SUMIF(RAW_File!D:D,C:C,RAW_File!G:G)</f>
        <v>405</v>
      </c>
      <c r="F307" s="39">
        <f>SUMIF(RAW_File!D:D,C:C,RAW_File!I:I)</f>
        <v>775</v>
      </c>
      <c r="G307" s="40">
        <f>SUMIF(RAW_File!D:D,C:C,RAW_File!K:K)</f>
        <v>5000</v>
      </c>
      <c r="H307" s="41">
        <f>SUMIF(RAW_File!D:D,C:C,RAW_File!M:M)</f>
        <v>0</v>
      </c>
      <c r="I307" s="40">
        <f t="shared" si="5"/>
        <v>5000</v>
      </c>
    </row>
    <row r="308" spans="1:9" hidden="1" x14ac:dyDescent="0.25">
      <c r="A308" s="36" t="s">
        <v>61</v>
      </c>
      <c r="B308" s="36" t="s">
        <v>2266</v>
      </c>
      <c r="C308" s="36" t="s">
        <v>2267</v>
      </c>
      <c r="D308" s="37">
        <f>SUMIF(RAW_File!D:D,C:C,RAW_File!F:F)</f>
        <v>39926.797072864843</v>
      </c>
      <c r="E308" s="38">
        <f>SUMIF(RAW_File!D:D,C:C,RAW_File!G:G)</f>
        <v>1320</v>
      </c>
      <c r="F308" s="39">
        <f>SUMIF(RAW_File!D:D,C:C,RAW_File!I:I)</f>
        <v>5260</v>
      </c>
      <c r="G308" s="40">
        <f>SUMIF(RAW_File!D:D,C:C,RAW_File!K:K)</f>
        <v>0</v>
      </c>
      <c r="H308" s="41">
        <f>SUMIF(RAW_File!D:D,C:C,RAW_File!M:M)</f>
        <v>0</v>
      </c>
      <c r="I308" s="40">
        <f t="shared" si="5"/>
        <v>0</v>
      </c>
    </row>
    <row r="309" spans="1:9" hidden="1" x14ac:dyDescent="0.25">
      <c r="A309" s="36" t="s">
        <v>61</v>
      </c>
      <c r="B309" s="36" t="s">
        <v>2268</v>
      </c>
      <c r="C309" s="36" t="s">
        <v>2269</v>
      </c>
      <c r="D309" s="37">
        <f>SUMIF(RAW_File!D:D,C:C,RAW_File!F:F)</f>
        <v>4981.2500024331994</v>
      </c>
      <c r="E309" s="38">
        <f>SUMIF(RAW_File!D:D,C:C,RAW_File!G:G)</f>
        <v>7020</v>
      </c>
      <c r="F309" s="39">
        <f>SUMIF(RAW_File!D:D,C:C,RAW_File!I:I)</f>
        <v>35365</v>
      </c>
      <c r="G309" s="40">
        <f>SUMIF(RAW_File!D:D,C:C,RAW_File!K:K)</f>
        <v>0</v>
      </c>
      <c r="H309" s="41">
        <f>SUMIF(RAW_File!D:D,C:C,RAW_File!M:M)</f>
        <v>10000</v>
      </c>
      <c r="I309" s="40">
        <f t="shared" si="5"/>
        <v>10000</v>
      </c>
    </row>
    <row r="310" spans="1:9" hidden="1" x14ac:dyDescent="0.25">
      <c r="A310" s="36" t="s">
        <v>61</v>
      </c>
      <c r="B310" s="36" t="s">
        <v>2430</v>
      </c>
      <c r="C310" s="36" t="s">
        <v>2431</v>
      </c>
      <c r="D310" s="37">
        <f>SUMIF(RAW_File!D:D,C:C,RAW_File!F:F)</f>
        <v>20314.4050173912</v>
      </c>
      <c r="E310" s="38">
        <f>SUMIF(RAW_File!D:D,C:C,RAW_File!G:G)</f>
        <v>15390</v>
      </c>
      <c r="F310" s="39">
        <f>SUMIF(RAW_File!D:D,C:C,RAW_File!I:I)</f>
        <v>21310</v>
      </c>
      <c r="G310" s="40">
        <f>SUMIF(RAW_File!D:D,C:C,RAW_File!K:K)</f>
        <v>13000</v>
      </c>
      <c r="H310" s="41">
        <f>SUMIF(RAW_File!D:D,C:C,RAW_File!M:M)</f>
        <v>0</v>
      </c>
      <c r="I310" s="40">
        <f t="shared" si="5"/>
        <v>13000</v>
      </c>
    </row>
    <row r="311" spans="1:9" hidden="1" x14ac:dyDescent="0.25">
      <c r="A311" s="36" t="s">
        <v>61</v>
      </c>
      <c r="B311" s="36" t="s">
        <v>2502</v>
      </c>
      <c r="C311" s="36" t="s">
        <v>2503</v>
      </c>
      <c r="D311" s="37">
        <f>SUMIF(RAW_File!D:D,C:C,RAW_File!F:F)</f>
        <v>194.80090000000001</v>
      </c>
      <c r="E311" s="38">
        <f>SUMIF(RAW_File!D:D,C:C,RAW_File!G:G)</f>
        <v>0</v>
      </c>
      <c r="F311" s="39">
        <f>SUMIF(RAW_File!D:D,C:C,RAW_File!I:I)</f>
        <v>0</v>
      </c>
      <c r="G311" s="40">
        <f>SUMIF(RAW_File!D:D,C:C,RAW_File!K:K)</f>
        <v>0</v>
      </c>
      <c r="H311" s="41">
        <f>SUMIF(RAW_File!D:D,C:C,RAW_File!M:M)</f>
        <v>0</v>
      </c>
      <c r="I311" s="40">
        <f t="shared" si="5"/>
        <v>0</v>
      </c>
    </row>
    <row r="312" spans="1:9" hidden="1" x14ac:dyDescent="0.25">
      <c r="A312" s="36" t="s">
        <v>61</v>
      </c>
      <c r="B312" s="36" t="s">
        <v>2552</v>
      </c>
      <c r="C312" s="36" t="s">
        <v>2553</v>
      </c>
      <c r="D312" s="37">
        <f>SUMIF(RAW_File!D:D,C:C,RAW_File!F:F)</f>
        <v>17838.48767566877</v>
      </c>
      <c r="E312" s="38">
        <f>SUMIF(RAW_File!D:D,C:C,RAW_File!G:G)</f>
        <v>25010</v>
      </c>
      <c r="F312" s="39">
        <f>SUMIF(RAW_File!D:D,C:C,RAW_File!I:I)</f>
        <v>28960</v>
      </c>
      <c r="G312" s="40">
        <f>SUMIF(RAW_File!D:D,C:C,RAW_File!K:K)</f>
        <v>35000</v>
      </c>
      <c r="H312" s="41">
        <f>SUMIF(RAW_File!D:D,C:C,RAW_File!M:M)</f>
        <v>0</v>
      </c>
      <c r="I312" s="40">
        <f t="shared" si="5"/>
        <v>35000</v>
      </c>
    </row>
    <row r="313" spans="1:9" hidden="1" x14ac:dyDescent="0.25">
      <c r="A313" s="36" t="s">
        <v>61</v>
      </c>
      <c r="B313" s="36" t="s">
        <v>2714</v>
      </c>
      <c r="C313" s="36" t="s">
        <v>2715</v>
      </c>
      <c r="D313" s="37">
        <f>SUMIF(RAW_File!D:D,C:C,RAW_File!F:F)</f>
        <v>34.379374803403351</v>
      </c>
      <c r="E313" s="38">
        <f>SUMIF(RAW_File!D:D,C:C,RAW_File!G:G)</f>
        <v>3250</v>
      </c>
      <c r="F313" s="39">
        <f>SUMIF(RAW_File!D:D,C:C,RAW_File!I:I)</f>
        <v>3250</v>
      </c>
      <c r="G313" s="40">
        <f>SUMIF(RAW_File!D:D,C:C,RAW_File!K:K)</f>
        <v>5000</v>
      </c>
      <c r="H313" s="41">
        <f>SUMIF(RAW_File!D:D,C:C,RAW_File!M:M)</f>
        <v>0</v>
      </c>
      <c r="I313" s="40">
        <f t="shared" si="5"/>
        <v>5000</v>
      </c>
    </row>
    <row r="314" spans="1:9" hidden="1" x14ac:dyDescent="0.25">
      <c r="A314" s="36" t="s">
        <v>61</v>
      </c>
      <c r="B314" s="36" t="s">
        <v>2786</v>
      </c>
      <c r="C314" s="36" t="s">
        <v>2787</v>
      </c>
      <c r="D314" s="37">
        <f>SUMIF(RAW_File!D:D,C:C,RAW_File!F:F)</f>
        <v>10105.485616433531</v>
      </c>
      <c r="E314" s="38">
        <f>SUMIF(RAW_File!D:D,C:C,RAW_File!G:G)</f>
        <v>14070</v>
      </c>
      <c r="F314" s="39">
        <f>SUMIF(RAW_File!D:D,C:C,RAW_File!I:I)</f>
        <v>15260</v>
      </c>
      <c r="G314" s="40">
        <f>SUMIF(RAW_File!D:D,C:C,RAW_File!K:K)</f>
        <v>10000</v>
      </c>
      <c r="H314" s="41">
        <f>SUMIF(RAW_File!D:D,C:C,RAW_File!M:M)</f>
        <v>20000</v>
      </c>
      <c r="I314" s="40">
        <f t="shared" si="5"/>
        <v>10000</v>
      </c>
    </row>
    <row r="315" spans="1:9" hidden="1" x14ac:dyDescent="0.25">
      <c r="A315" s="36" t="s">
        <v>61</v>
      </c>
      <c r="B315" s="36" t="s">
        <v>2826</v>
      </c>
      <c r="C315" s="36" t="s">
        <v>2827</v>
      </c>
      <c r="D315" s="37">
        <f>SUMIF(RAW_File!D:D,C:C,RAW_File!F:F)</f>
        <v>12287.91112751302</v>
      </c>
      <c r="E315" s="38">
        <f>SUMIF(RAW_File!D:D,C:C,RAW_File!G:G)</f>
        <v>13800</v>
      </c>
      <c r="F315" s="39">
        <f>SUMIF(RAW_File!D:D,C:C,RAW_File!I:I)</f>
        <v>42850</v>
      </c>
      <c r="G315" s="40">
        <f>SUMIF(RAW_File!D:D,C:C,RAW_File!K:K)</f>
        <v>10000</v>
      </c>
      <c r="H315" s="41">
        <f>SUMIF(RAW_File!D:D,C:C,RAW_File!M:M)</f>
        <v>20000</v>
      </c>
      <c r="I315" s="40">
        <f t="shared" si="5"/>
        <v>10000</v>
      </c>
    </row>
    <row r="316" spans="1:9" hidden="1" x14ac:dyDescent="0.25">
      <c r="A316" s="36" t="s">
        <v>61</v>
      </c>
      <c r="B316" s="36" t="s">
        <v>2956</v>
      </c>
      <c r="C316" s="36" t="s">
        <v>2957</v>
      </c>
      <c r="D316" s="37">
        <f>SUMIF(RAW_File!D:D,C:C,RAW_File!F:F)</f>
        <v>287.50319999999999</v>
      </c>
      <c r="E316" s="38">
        <f>SUMIF(RAW_File!D:D,C:C,RAW_File!G:G)</f>
        <v>8972</v>
      </c>
      <c r="F316" s="39">
        <f>SUMIF(RAW_File!D:D,C:C,RAW_File!I:I)</f>
        <v>8972</v>
      </c>
      <c r="G316" s="40">
        <f>SUMIF(RAW_File!D:D,C:C,RAW_File!K:K)</f>
        <v>5000</v>
      </c>
      <c r="H316" s="41">
        <f>SUMIF(RAW_File!D:D,C:C,RAW_File!M:M)</f>
        <v>0</v>
      </c>
      <c r="I316" s="40">
        <f t="shared" si="5"/>
        <v>5000</v>
      </c>
    </row>
    <row r="317" spans="1:9" hidden="1" x14ac:dyDescent="0.25">
      <c r="A317" s="36" t="s">
        <v>61</v>
      </c>
      <c r="B317" s="36" t="s">
        <v>2987</v>
      </c>
      <c r="C317" s="36" t="s">
        <v>2988</v>
      </c>
      <c r="D317" s="37">
        <f>SUMIF(RAW_File!D:D,C:C,RAW_File!F:F)</f>
        <v>5086.0043042386442</v>
      </c>
      <c r="E317" s="38">
        <f>SUMIF(RAW_File!D:D,C:C,RAW_File!G:G)</f>
        <v>0</v>
      </c>
      <c r="F317" s="39">
        <f>SUMIF(RAW_File!D:D,C:C,RAW_File!I:I)</f>
        <v>0</v>
      </c>
      <c r="G317" s="40">
        <f>SUMIF(RAW_File!D:D,C:C,RAW_File!K:K)</f>
        <v>5000</v>
      </c>
      <c r="H317" s="41">
        <f>SUMIF(RAW_File!D:D,C:C,RAW_File!M:M)</f>
        <v>0</v>
      </c>
      <c r="I317" s="40">
        <f t="shared" si="5"/>
        <v>5000</v>
      </c>
    </row>
    <row r="318" spans="1:9" hidden="1" x14ac:dyDescent="0.25">
      <c r="A318" s="36" t="s">
        <v>61</v>
      </c>
      <c r="B318" s="36" t="s">
        <v>3002</v>
      </c>
      <c r="C318" s="36" t="s">
        <v>3003</v>
      </c>
      <c r="D318" s="37">
        <f>SUMIF(RAW_File!D:D,C:C,RAW_File!F:F)</f>
        <v>11306.0895</v>
      </c>
      <c r="E318" s="38">
        <f>SUMIF(RAW_File!D:D,C:C,RAW_File!G:G)</f>
        <v>3000</v>
      </c>
      <c r="F318" s="39">
        <f>SUMIF(RAW_File!D:D,C:C,RAW_File!I:I)</f>
        <v>3000</v>
      </c>
      <c r="G318" s="40">
        <f>SUMIF(RAW_File!D:D,C:C,RAW_File!K:K)</f>
        <v>6000</v>
      </c>
      <c r="H318" s="41">
        <f>SUMIF(RAW_File!D:D,C:C,RAW_File!M:M)</f>
        <v>0</v>
      </c>
      <c r="I318" s="40">
        <f t="shared" si="5"/>
        <v>6000</v>
      </c>
    </row>
    <row r="319" spans="1:9" hidden="1" x14ac:dyDescent="0.25">
      <c r="A319" s="36" t="s">
        <v>61</v>
      </c>
      <c r="B319" s="36" t="s">
        <v>3187</v>
      </c>
      <c r="C319" s="36" t="s">
        <v>3188</v>
      </c>
      <c r="D319" s="37">
        <f>SUMIF(RAW_File!D:D,C:C,RAW_File!F:F)</f>
        <v>1521.788810128023</v>
      </c>
      <c r="E319" s="38">
        <f>SUMIF(RAW_File!D:D,C:C,RAW_File!G:G)</f>
        <v>4000</v>
      </c>
      <c r="F319" s="39">
        <f>SUMIF(RAW_File!D:D,C:C,RAW_File!I:I)</f>
        <v>4000</v>
      </c>
      <c r="G319" s="40">
        <f>SUMIF(RAW_File!D:D,C:C,RAW_File!K:K)</f>
        <v>6000</v>
      </c>
      <c r="H319" s="41">
        <f>SUMIF(RAW_File!D:D,C:C,RAW_File!M:M)</f>
        <v>0</v>
      </c>
      <c r="I319" s="40">
        <f t="shared" si="5"/>
        <v>6000</v>
      </c>
    </row>
    <row r="320" spans="1:9" hidden="1" x14ac:dyDescent="0.25">
      <c r="A320" s="36" t="s">
        <v>61</v>
      </c>
      <c r="B320" s="36" t="s">
        <v>3363</v>
      </c>
      <c r="C320" s="36" t="s">
        <v>3364</v>
      </c>
      <c r="D320" s="37">
        <f>SUMIF(RAW_File!D:D,C:C,RAW_File!F:F)</f>
        <v>2871.8935999999999</v>
      </c>
      <c r="E320" s="38">
        <f>SUMIF(RAW_File!D:D,C:C,RAW_File!G:G)</f>
        <v>0</v>
      </c>
      <c r="F320" s="39">
        <f>SUMIF(RAW_File!D:D,C:C,RAW_File!I:I)</f>
        <v>0</v>
      </c>
      <c r="G320" s="40">
        <f>SUMIF(RAW_File!D:D,C:C,RAW_File!K:K)</f>
        <v>0</v>
      </c>
      <c r="H320" s="41">
        <f>SUMIF(RAW_File!D:D,C:C,RAW_File!M:M)</f>
        <v>0</v>
      </c>
      <c r="I320" s="40">
        <f t="shared" si="5"/>
        <v>0</v>
      </c>
    </row>
    <row r="321" spans="1:9" hidden="1" x14ac:dyDescent="0.25">
      <c r="A321" s="36" t="s">
        <v>61</v>
      </c>
      <c r="B321" s="36" t="s">
        <v>3371</v>
      </c>
      <c r="C321" s="36" t="s">
        <v>3372</v>
      </c>
      <c r="D321" s="37">
        <f>SUMIF(RAW_File!D:D,C:C,RAW_File!F:F)</f>
        <v>26691.596870000001</v>
      </c>
      <c r="E321" s="38">
        <f>SUMIF(RAW_File!D:D,C:C,RAW_File!G:G)</f>
        <v>355</v>
      </c>
      <c r="F321" s="39">
        <f>SUMIF(RAW_File!D:D,C:C,RAW_File!I:I)</f>
        <v>11105</v>
      </c>
      <c r="G321" s="40">
        <f>SUMIF(RAW_File!D:D,C:C,RAW_File!K:K)</f>
        <v>10000</v>
      </c>
      <c r="H321" s="41">
        <f>SUMIF(RAW_File!D:D,C:C,RAW_File!M:M)</f>
        <v>0</v>
      </c>
      <c r="I321" s="40">
        <f t="shared" si="5"/>
        <v>10000</v>
      </c>
    </row>
    <row r="322" spans="1:9" hidden="1" x14ac:dyDescent="0.25">
      <c r="A322" s="36" t="s">
        <v>61</v>
      </c>
      <c r="B322" s="36" t="s">
        <v>3453</v>
      </c>
      <c r="C322" s="36" t="s">
        <v>3454</v>
      </c>
      <c r="D322" s="37">
        <f>SUMIF(RAW_File!D:D,C:C,RAW_File!F:F)</f>
        <v>10433.52641602951</v>
      </c>
      <c r="E322" s="38">
        <f>SUMIF(RAW_File!D:D,C:C,RAW_File!G:G)</f>
        <v>3710</v>
      </c>
      <c r="F322" s="39">
        <f>SUMIF(RAW_File!D:D,C:C,RAW_File!I:I)</f>
        <v>30805</v>
      </c>
      <c r="G322" s="40">
        <f>SUMIF(RAW_File!D:D,C:C,RAW_File!K:K)</f>
        <v>0</v>
      </c>
      <c r="H322" s="41">
        <f>SUMIF(RAW_File!D:D,C:C,RAW_File!M:M)</f>
        <v>23000</v>
      </c>
      <c r="I322" s="40">
        <f t="shared" si="5"/>
        <v>23000</v>
      </c>
    </row>
    <row r="323" spans="1:9" hidden="1" x14ac:dyDescent="0.25">
      <c r="A323" s="36" t="s">
        <v>61</v>
      </c>
      <c r="B323" s="36" t="s">
        <v>3480</v>
      </c>
      <c r="C323" s="36" t="s">
        <v>3481</v>
      </c>
      <c r="D323" s="37">
        <f>SUMIF(RAW_File!D:D,C:C,RAW_File!F:F)</f>
        <v>30866.5347011581</v>
      </c>
      <c r="E323" s="38">
        <f>SUMIF(RAW_File!D:D,C:C,RAW_File!G:G)</f>
        <v>0</v>
      </c>
      <c r="F323" s="39">
        <f>SUMIF(RAW_File!D:D,C:C,RAW_File!I:I)</f>
        <v>1800</v>
      </c>
      <c r="G323" s="40">
        <f>SUMIF(RAW_File!D:D,C:C,RAW_File!K:K)</f>
        <v>24000</v>
      </c>
      <c r="H323" s="41">
        <f>SUMIF(RAW_File!D:D,C:C,RAW_File!M:M)</f>
        <v>0</v>
      </c>
      <c r="I323" s="40">
        <f t="shared" ref="I323:I374" si="6">ABS(G323-H323)</f>
        <v>24000</v>
      </c>
    </row>
    <row r="324" spans="1:9" hidden="1" x14ac:dyDescent="0.25">
      <c r="A324" s="36" t="s">
        <v>54</v>
      </c>
      <c r="B324" s="36" t="s">
        <v>107</v>
      </c>
      <c r="C324" s="36" t="s">
        <v>108</v>
      </c>
      <c r="D324" s="37">
        <f>SUMIF(RAW_File!D:D,C:C,RAW_File!F:F)</f>
        <v>157.23302240266801</v>
      </c>
      <c r="E324" s="38">
        <f>SUMIF(RAW_File!D:D,C:C,RAW_File!G:G)</f>
        <v>1710</v>
      </c>
      <c r="F324" s="39">
        <f>SUMIF(RAW_File!D:D,C:C,RAW_File!I:I)</f>
        <v>8810</v>
      </c>
      <c r="G324" s="40">
        <f>SUMIF(RAW_File!D:D,C:C,RAW_File!K:K)</f>
        <v>5000</v>
      </c>
      <c r="H324" s="41">
        <f>SUMIF(RAW_File!D:D,C:C,RAW_File!M:M)</f>
        <v>10000</v>
      </c>
      <c r="I324" s="40">
        <f t="shared" si="6"/>
        <v>5000</v>
      </c>
    </row>
    <row r="325" spans="1:9" hidden="1" x14ac:dyDescent="0.25">
      <c r="A325" s="36" t="s">
        <v>54</v>
      </c>
      <c r="B325" s="36" t="s">
        <v>113</v>
      </c>
      <c r="C325" s="36" t="s">
        <v>114</v>
      </c>
      <c r="D325" s="37">
        <f>SUMIF(RAW_File!D:D,C:C,RAW_File!F:F)</f>
        <v>4236.0748911656792</v>
      </c>
      <c r="E325" s="38">
        <f>SUMIF(RAW_File!D:D,C:C,RAW_File!G:G)</f>
        <v>800</v>
      </c>
      <c r="F325" s="39">
        <f>SUMIF(RAW_File!D:D,C:C,RAW_File!I:I)</f>
        <v>4580</v>
      </c>
      <c r="G325" s="40">
        <f>SUMIF(RAW_File!D:D,C:C,RAW_File!K:K)</f>
        <v>0</v>
      </c>
      <c r="H325" s="41">
        <f>SUMIF(RAW_File!D:D,C:C,RAW_File!M:M)</f>
        <v>35000</v>
      </c>
      <c r="I325" s="40">
        <f t="shared" si="6"/>
        <v>35000</v>
      </c>
    </row>
    <row r="326" spans="1:9" hidden="1" x14ac:dyDescent="0.25">
      <c r="A326" s="36" t="s">
        <v>54</v>
      </c>
      <c r="B326" s="36" t="s">
        <v>117</v>
      </c>
      <c r="C326" s="36" t="s">
        <v>118</v>
      </c>
      <c r="D326" s="37">
        <f>SUMIF(RAW_File!D:D,C:C,RAW_File!F:F)</f>
        <v>6112.9352535594226</v>
      </c>
      <c r="E326" s="38">
        <f>SUMIF(RAW_File!D:D,C:C,RAW_File!G:G)</f>
        <v>0</v>
      </c>
      <c r="F326" s="39">
        <f>SUMIF(RAW_File!D:D,C:C,RAW_File!I:I)</f>
        <v>0</v>
      </c>
      <c r="G326" s="40">
        <f>SUMIF(RAW_File!D:D,C:C,RAW_File!K:K)</f>
        <v>6000</v>
      </c>
      <c r="H326" s="41">
        <f>SUMIF(RAW_File!D:D,C:C,RAW_File!M:M)</f>
        <v>0</v>
      </c>
      <c r="I326" s="40">
        <f t="shared" si="6"/>
        <v>6000</v>
      </c>
    </row>
    <row r="327" spans="1:9" hidden="1" x14ac:dyDescent="0.25">
      <c r="A327" s="36" t="s">
        <v>54</v>
      </c>
      <c r="B327" s="36" t="s">
        <v>121</v>
      </c>
      <c r="C327" s="36" t="s">
        <v>122</v>
      </c>
      <c r="D327" s="37">
        <f>SUMIF(RAW_File!D:D,C:C,RAW_File!F:F)</f>
        <v>7352.7067367837108</v>
      </c>
      <c r="E327" s="38">
        <f>SUMIF(RAW_File!D:D,C:C,RAW_File!G:G)</f>
        <v>3900</v>
      </c>
      <c r="F327" s="39">
        <f>SUMIF(RAW_File!D:D,C:C,RAW_File!I:I)</f>
        <v>24150</v>
      </c>
      <c r="G327" s="40">
        <f>SUMIF(RAW_File!D:D,C:C,RAW_File!K:K)</f>
        <v>0</v>
      </c>
      <c r="H327" s="41">
        <f>SUMIF(RAW_File!D:D,C:C,RAW_File!M:M)</f>
        <v>15000</v>
      </c>
      <c r="I327" s="40">
        <f t="shared" si="6"/>
        <v>15000</v>
      </c>
    </row>
    <row r="328" spans="1:9" hidden="1" x14ac:dyDescent="0.25">
      <c r="A328" s="36" t="s">
        <v>54</v>
      </c>
      <c r="B328" s="36" t="s">
        <v>123</v>
      </c>
      <c r="C328" s="36" t="s">
        <v>124</v>
      </c>
      <c r="D328" s="37">
        <f>SUMIF(RAW_File!D:D,C:C,RAW_File!F:F)</f>
        <v>32317.616028414341</v>
      </c>
      <c r="E328" s="38">
        <f>SUMIF(RAW_File!D:D,C:C,RAW_File!G:G)</f>
        <v>0</v>
      </c>
      <c r="F328" s="39">
        <f>SUMIF(RAW_File!D:D,C:C,RAW_File!I:I)</f>
        <v>0</v>
      </c>
      <c r="G328" s="40">
        <f>SUMIF(RAW_File!D:D,C:C,RAW_File!K:K)</f>
        <v>5000</v>
      </c>
      <c r="H328" s="41">
        <f>SUMIF(RAW_File!D:D,C:C,RAW_File!M:M)</f>
        <v>0</v>
      </c>
      <c r="I328" s="40">
        <f t="shared" si="6"/>
        <v>5000</v>
      </c>
    </row>
    <row r="329" spans="1:9" hidden="1" x14ac:dyDescent="0.25">
      <c r="A329" s="36" t="s">
        <v>54</v>
      </c>
      <c r="B329" s="36" t="s">
        <v>125</v>
      </c>
      <c r="C329" s="36" t="s">
        <v>126</v>
      </c>
      <c r="D329" s="37">
        <f>SUMIF(RAW_File!D:D,C:C,RAW_File!F:F)</f>
        <v>8908.3804223855077</v>
      </c>
      <c r="E329" s="38">
        <f>SUMIF(RAW_File!D:D,C:C,RAW_File!G:G)</f>
        <v>1220</v>
      </c>
      <c r="F329" s="39">
        <f>SUMIF(RAW_File!D:D,C:C,RAW_File!I:I)</f>
        <v>7770</v>
      </c>
      <c r="G329" s="40">
        <f>SUMIF(RAW_File!D:D,C:C,RAW_File!K:K)</f>
        <v>0</v>
      </c>
      <c r="H329" s="41">
        <f>SUMIF(RAW_File!D:D,C:C,RAW_File!M:M)</f>
        <v>11000</v>
      </c>
      <c r="I329" s="40">
        <f t="shared" si="6"/>
        <v>11000</v>
      </c>
    </row>
    <row r="330" spans="1:9" hidden="1" x14ac:dyDescent="0.25">
      <c r="A330" s="36" t="s">
        <v>54</v>
      </c>
      <c r="B330" s="36" t="s">
        <v>153</v>
      </c>
      <c r="C330" s="36" t="s">
        <v>154</v>
      </c>
      <c r="D330" s="37">
        <f>SUMIF(RAW_File!D:D,C:C,RAW_File!F:F)</f>
        <v>5632.0059000000001</v>
      </c>
      <c r="E330" s="38">
        <f>SUMIF(RAW_File!D:D,C:C,RAW_File!G:G)</f>
        <v>0</v>
      </c>
      <c r="F330" s="39">
        <f>SUMIF(RAW_File!D:D,C:C,RAW_File!I:I)</f>
        <v>0</v>
      </c>
      <c r="G330" s="40">
        <f>SUMIF(RAW_File!D:D,C:C,RAW_File!K:K)</f>
        <v>5000</v>
      </c>
      <c r="H330" s="41">
        <f>SUMIF(RAW_File!D:D,C:C,RAW_File!M:M)</f>
        <v>0</v>
      </c>
      <c r="I330" s="40">
        <f t="shared" si="6"/>
        <v>5000</v>
      </c>
    </row>
    <row r="331" spans="1:9" hidden="1" x14ac:dyDescent="0.25">
      <c r="A331" s="36" t="s">
        <v>54</v>
      </c>
      <c r="B331" s="36" t="s">
        <v>169</v>
      </c>
      <c r="C331" s="36" t="s">
        <v>170</v>
      </c>
      <c r="D331" s="37">
        <f>SUMIF(RAW_File!D:D,C:C,RAW_File!F:F)</f>
        <v>1502.0373500000001</v>
      </c>
      <c r="E331" s="38">
        <f>SUMIF(RAW_File!D:D,C:C,RAW_File!G:G)</f>
        <v>30100</v>
      </c>
      <c r="F331" s="39">
        <f>SUMIF(RAW_File!D:D,C:C,RAW_File!I:I)</f>
        <v>60960</v>
      </c>
      <c r="G331" s="40">
        <f>SUMIF(RAW_File!D:D,C:C,RAW_File!K:K)</f>
        <v>0</v>
      </c>
      <c r="H331" s="41">
        <f>SUMIF(RAW_File!D:D,C:C,RAW_File!M:M)</f>
        <v>5000</v>
      </c>
      <c r="I331" s="40">
        <f t="shared" si="6"/>
        <v>5000</v>
      </c>
    </row>
    <row r="332" spans="1:9" hidden="1" x14ac:dyDescent="0.25">
      <c r="A332" s="36" t="s">
        <v>54</v>
      </c>
      <c r="B332" s="36" t="s">
        <v>175</v>
      </c>
      <c r="C332" s="36" t="s">
        <v>176</v>
      </c>
      <c r="D332" s="37">
        <f>SUMIF(RAW_File!D:D,C:C,RAW_File!F:F)</f>
        <v>8567.5679999999993</v>
      </c>
      <c r="E332" s="38">
        <f>SUMIF(RAW_File!D:D,C:C,RAW_File!G:G)</f>
        <v>0</v>
      </c>
      <c r="F332" s="39">
        <f>SUMIF(RAW_File!D:D,C:C,RAW_File!I:I)</f>
        <v>2600</v>
      </c>
      <c r="G332" s="40">
        <f>SUMIF(RAW_File!D:D,C:C,RAW_File!K:K)</f>
        <v>5000</v>
      </c>
      <c r="H332" s="41">
        <f>SUMIF(RAW_File!D:D,C:C,RAW_File!M:M)</f>
        <v>0</v>
      </c>
      <c r="I332" s="40">
        <f t="shared" si="6"/>
        <v>5000</v>
      </c>
    </row>
    <row r="333" spans="1:9" hidden="1" x14ac:dyDescent="0.25">
      <c r="A333" s="36" t="s">
        <v>54</v>
      </c>
      <c r="B333" s="36" t="s">
        <v>187</v>
      </c>
      <c r="C333" s="36" t="s">
        <v>188</v>
      </c>
      <c r="D333" s="37">
        <f>SUMIF(RAW_File!D:D,C:C,RAW_File!F:F)</f>
        <v>11109.791580313429</v>
      </c>
      <c r="E333" s="38">
        <f>SUMIF(RAW_File!D:D,C:C,RAW_File!G:G)</f>
        <v>2780</v>
      </c>
      <c r="F333" s="39">
        <f>SUMIF(RAW_File!D:D,C:C,RAW_File!I:I)</f>
        <v>3970</v>
      </c>
      <c r="G333" s="40">
        <f>SUMIF(RAW_File!D:D,C:C,RAW_File!K:K)</f>
        <v>10000</v>
      </c>
      <c r="H333" s="41">
        <f>SUMIF(RAW_File!D:D,C:C,RAW_File!M:M)</f>
        <v>0</v>
      </c>
      <c r="I333" s="40">
        <f t="shared" si="6"/>
        <v>10000</v>
      </c>
    </row>
    <row r="334" spans="1:9" hidden="1" x14ac:dyDescent="0.25">
      <c r="A334" s="36" t="s">
        <v>54</v>
      </c>
      <c r="B334" s="36" t="s">
        <v>197</v>
      </c>
      <c r="C334" s="36" t="s">
        <v>198</v>
      </c>
      <c r="D334" s="37">
        <f>SUMIF(RAW_File!D:D,C:C,RAW_File!F:F)</f>
        <v>13.399800000000001</v>
      </c>
      <c r="E334" s="38">
        <f>SUMIF(RAW_File!D:D,C:C,RAW_File!G:G)</f>
        <v>2730</v>
      </c>
      <c r="F334" s="39">
        <f>SUMIF(RAW_File!D:D,C:C,RAW_File!I:I)</f>
        <v>2730</v>
      </c>
      <c r="G334" s="40">
        <f>SUMIF(RAW_File!D:D,C:C,RAW_File!K:K)</f>
        <v>0</v>
      </c>
      <c r="H334" s="41">
        <f>SUMIF(RAW_File!D:D,C:C,RAW_File!M:M)</f>
        <v>0</v>
      </c>
      <c r="I334" s="40">
        <f t="shared" si="6"/>
        <v>0</v>
      </c>
    </row>
    <row r="335" spans="1:9" hidden="1" x14ac:dyDescent="0.25">
      <c r="A335" s="36" t="s">
        <v>54</v>
      </c>
      <c r="B335" s="36" t="s">
        <v>207</v>
      </c>
      <c r="C335" s="36" t="s">
        <v>208</v>
      </c>
      <c r="D335" s="37">
        <f>SUMIF(RAW_File!D:D,C:C,RAW_File!F:F)</f>
        <v>17681.825359353039</v>
      </c>
      <c r="E335" s="38">
        <f>SUMIF(RAW_File!D:D,C:C,RAW_File!G:G)</f>
        <v>11200</v>
      </c>
      <c r="F335" s="39">
        <f>SUMIF(RAW_File!D:D,C:C,RAW_File!I:I)</f>
        <v>28050</v>
      </c>
      <c r="G335" s="40">
        <f>SUMIF(RAW_File!D:D,C:C,RAW_File!K:K)</f>
        <v>6000</v>
      </c>
      <c r="H335" s="41">
        <f>SUMIF(RAW_File!D:D,C:C,RAW_File!M:M)</f>
        <v>0</v>
      </c>
      <c r="I335" s="40">
        <f t="shared" si="6"/>
        <v>6000</v>
      </c>
    </row>
    <row r="336" spans="1:9" hidden="1" x14ac:dyDescent="0.25">
      <c r="A336" s="36" t="s">
        <v>54</v>
      </c>
      <c r="B336" s="36" t="s">
        <v>239</v>
      </c>
      <c r="C336" s="36" t="s">
        <v>245</v>
      </c>
      <c r="D336" s="37">
        <f>SUMIF(RAW_File!D:D,C:C,RAW_File!F:F)</f>
        <v>0.67591900000000005</v>
      </c>
      <c r="E336" s="38">
        <f>SUMIF(RAW_File!D:D,C:C,RAW_File!G:G)</f>
        <v>0</v>
      </c>
      <c r="F336" s="39">
        <f>SUMIF(RAW_File!D:D,C:C,RAW_File!I:I)</f>
        <v>0</v>
      </c>
      <c r="G336" s="40">
        <f>SUMIF(RAW_File!D:D,C:C,RAW_File!K:K)</f>
        <v>0</v>
      </c>
      <c r="H336" s="41">
        <f>SUMIF(RAW_File!D:D,C:C,RAW_File!M:M)</f>
        <v>0</v>
      </c>
      <c r="I336" s="40">
        <f t="shared" si="6"/>
        <v>0</v>
      </c>
    </row>
    <row r="337" spans="1:9" hidden="1" x14ac:dyDescent="0.25">
      <c r="A337" s="36" t="s">
        <v>54</v>
      </c>
      <c r="B337" s="36" t="s">
        <v>354</v>
      </c>
      <c r="C337" s="36" t="s">
        <v>355</v>
      </c>
      <c r="D337" s="37">
        <f>SUMIF(RAW_File!D:D,C:C,RAW_File!F:F)</f>
        <v>29700.130418393252</v>
      </c>
      <c r="E337" s="38">
        <f>SUMIF(RAW_File!D:D,C:C,RAW_File!G:G)</f>
        <v>6160</v>
      </c>
      <c r="F337" s="39">
        <f>SUMIF(RAW_File!D:D,C:C,RAW_File!I:I)</f>
        <v>38630</v>
      </c>
      <c r="G337" s="40">
        <f>SUMIF(RAW_File!D:D,C:C,RAW_File!K:K)</f>
        <v>0</v>
      </c>
      <c r="H337" s="41">
        <f>SUMIF(RAW_File!D:D,C:C,RAW_File!M:M)</f>
        <v>10000</v>
      </c>
      <c r="I337" s="40">
        <f t="shared" si="6"/>
        <v>10000</v>
      </c>
    </row>
    <row r="338" spans="1:9" hidden="1" x14ac:dyDescent="0.25">
      <c r="A338" s="36" t="s">
        <v>54</v>
      </c>
      <c r="B338" s="36" t="s">
        <v>360</v>
      </c>
      <c r="C338" s="36" t="s">
        <v>361</v>
      </c>
      <c r="D338" s="37">
        <f>SUMIF(RAW_File!D:D,C:C,RAW_File!F:F)</f>
        <v>23545.855020967469</v>
      </c>
      <c r="E338" s="38">
        <f>SUMIF(RAW_File!D:D,C:C,RAW_File!G:G)</f>
        <v>2820</v>
      </c>
      <c r="F338" s="39">
        <f>SUMIF(RAW_File!D:D,C:C,RAW_File!I:I)</f>
        <v>2820</v>
      </c>
      <c r="G338" s="40">
        <f>SUMIF(RAW_File!D:D,C:C,RAW_File!K:K)</f>
        <v>10000</v>
      </c>
      <c r="H338" s="41">
        <f>SUMIF(RAW_File!D:D,C:C,RAW_File!M:M)</f>
        <v>0</v>
      </c>
      <c r="I338" s="40">
        <f t="shared" si="6"/>
        <v>10000</v>
      </c>
    </row>
    <row r="339" spans="1:9" hidden="1" x14ac:dyDescent="0.25">
      <c r="A339" s="36" t="s">
        <v>54</v>
      </c>
      <c r="B339" s="36" t="s">
        <v>480</v>
      </c>
      <c r="C339" s="36" t="s">
        <v>481</v>
      </c>
      <c r="D339" s="37">
        <f>SUMIF(RAW_File!D:D,C:C,RAW_File!F:F)</f>
        <v>2.0943307453543398</v>
      </c>
      <c r="E339" s="38">
        <f>SUMIF(RAW_File!D:D,C:C,RAW_File!G:G)</f>
        <v>0</v>
      </c>
      <c r="F339" s="39">
        <f>SUMIF(RAW_File!D:D,C:C,RAW_File!I:I)</f>
        <v>0</v>
      </c>
      <c r="G339" s="40">
        <f>SUMIF(RAW_File!D:D,C:C,RAW_File!K:K)</f>
        <v>0</v>
      </c>
      <c r="H339" s="41">
        <f>SUMIF(RAW_File!D:D,C:C,RAW_File!M:M)</f>
        <v>0</v>
      </c>
      <c r="I339" s="40">
        <f t="shared" si="6"/>
        <v>0</v>
      </c>
    </row>
    <row r="340" spans="1:9" hidden="1" x14ac:dyDescent="0.25">
      <c r="A340" s="36" t="s">
        <v>54</v>
      </c>
      <c r="B340" s="36" t="s">
        <v>498</v>
      </c>
      <c r="C340" s="36" t="s">
        <v>499</v>
      </c>
      <c r="D340" s="37">
        <f>SUMIF(RAW_File!D:D,C:C,RAW_File!F:F)</f>
        <v>2670.6664999999998</v>
      </c>
      <c r="E340" s="38">
        <f>SUMIF(RAW_File!D:D,C:C,RAW_File!G:G)</f>
        <v>15680</v>
      </c>
      <c r="F340" s="39">
        <f>SUMIF(RAW_File!D:D,C:C,RAW_File!I:I)</f>
        <v>29984</v>
      </c>
      <c r="G340" s="40">
        <f>SUMIF(RAW_File!D:D,C:C,RAW_File!K:K)</f>
        <v>10000</v>
      </c>
      <c r="H340" s="41">
        <f>SUMIF(RAW_File!D:D,C:C,RAW_File!M:M)</f>
        <v>16000</v>
      </c>
      <c r="I340" s="40">
        <f t="shared" si="6"/>
        <v>6000</v>
      </c>
    </row>
    <row r="341" spans="1:9" hidden="1" x14ac:dyDescent="0.25">
      <c r="A341" s="36" t="s">
        <v>54</v>
      </c>
      <c r="B341" s="36" t="s">
        <v>730</v>
      </c>
      <c r="C341" s="36" t="s">
        <v>731</v>
      </c>
      <c r="D341" s="37">
        <f>SUMIF(RAW_File!D:D,C:C,RAW_File!F:F)</f>
        <v>57.384771999999998</v>
      </c>
      <c r="E341" s="38">
        <f>SUMIF(RAW_File!D:D,C:C,RAW_File!G:G)</f>
        <v>0</v>
      </c>
      <c r="F341" s="39">
        <f>SUMIF(RAW_File!D:D,C:C,RAW_File!I:I)</f>
        <v>0</v>
      </c>
      <c r="G341" s="40">
        <f>SUMIF(RAW_File!D:D,C:C,RAW_File!K:K)</f>
        <v>0</v>
      </c>
      <c r="H341" s="41">
        <f>SUMIF(RAW_File!D:D,C:C,RAW_File!M:M)</f>
        <v>0</v>
      </c>
      <c r="I341" s="40">
        <f t="shared" si="6"/>
        <v>0</v>
      </c>
    </row>
    <row r="342" spans="1:9" hidden="1" x14ac:dyDescent="0.25">
      <c r="A342" s="36" t="s">
        <v>54</v>
      </c>
      <c r="B342" s="36" t="s">
        <v>812</v>
      </c>
      <c r="C342" s="36" t="s">
        <v>813</v>
      </c>
      <c r="D342" s="37">
        <f>SUMIF(RAW_File!D:D,C:C,RAW_File!F:F)</f>
        <v>7662.5288921296251</v>
      </c>
      <c r="E342" s="38">
        <f>SUMIF(RAW_File!D:D,C:C,RAW_File!G:G)</f>
        <v>2965</v>
      </c>
      <c r="F342" s="39">
        <f>SUMIF(RAW_File!D:D,C:C,RAW_File!I:I)</f>
        <v>3465</v>
      </c>
      <c r="G342" s="40">
        <f>SUMIF(RAW_File!D:D,C:C,RAW_File!K:K)</f>
        <v>5000</v>
      </c>
      <c r="H342" s="41">
        <f>SUMIF(RAW_File!D:D,C:C,RAW_File!M:M)</f>
        <v>0</v>
      </c>
      <c r="I342" s="40">
        <f t="shared" si="6"/>
        <v>5000</v>
      </c>
    </row>
    <row r="343" spans="1:9" hidden="1" x14ac:dyDescent="0.25">
      <c r="A343" s="36" t="s">
        <v>54</v>
      </c>
      <c r="B343" s="36" t="s">
        <v>941</v>
      </c>
      <c r="C343" s="36" t="s">
        <v>942</v>
      </c>
      <c r="D343" s="37">
        <f>SUMIF(RAW_File!D:D,C:C,RAW_File!F:F)</f>
        <v>4578.7625626114168</v>
      </c>
      <c r="E343" s="38">
        <f>SUMIF(RAW_File!D:D,C:C,RAW_File!G:G)</f>
        <v>1000</v>
      </c>
      <c r="F343" s="39">
        <f>SUMIF(RAW_File!D:D,C:C,RAW_File!I:I)</f>
        <v>3220</v>
      </c>
      <c r="G343" s="40">
        <f>SUMIF(RAW_File!D:D,C:C,RAW_File!K:K)</f>
        <v>0</v>
      </c>
      <c r="H343" s="41">
        <f>SUMIF(RAW_File!D:D,C:C,RAW_File!M:M)</f>
        <v>0</v>
      </c>
      <c r="I343" s="40">
        <f t="shared" si="6"/>
        <v>0</v>
      </c>
    </row>
    <row r="344" spans="1:9" hidden="1" x14ac:dyDescent="0.25">
      <c r="A344" s="36" t="s">
        <v>54</v>
      </c>
      <c r="B344" s="36" t="s">
        <v>1017</v>
      </c>
      <c r="C344" s="36" t="s">
        <v>1018</v>
      </c>
      <c r="D344" s="37">
        <f>SUMIF(RAW_File!D:D,C:C,RAW_File!F:F)</f>
        <v>12821.08550998475</v>
      </c>
      <c r="E344" s="38">
        <f>SUMIF(RAW_File!D:D,C:C,RAW_File!G:G)</f>
        <v>1300</v>
      </c>
      <c r="F344" s="39">
        <f>SUMIF(RAW_File!D:D,C:C,RAW_File!I:I)</f>
        <v>19655</v>
      </c>
      <c r="G344" s="40">
        <f>SUMIF(RAW_File!D:D,C:C,RAW_File!K:K)</f>
        <v>0</v>
      </c>
      <c r="H344" s="41">
        <f>SUMIF(RAW_File!D:D,C:C,RAW_File!M:M)</f>
        <v>15000</v>
      </c>
      <c r="I344" s="40">
        <f t="shared" si="6"/>
        <v>15000</v>
      </c>
    </row>
    <row r="345" spans="1:9" hidden="1" x14ac:dyDescent="0.25">
      <c r="A345" s="36" t="s">
        <v>54</v>
      </c>
      <c r="B345" s="36" t="s">
        <v>1128</v>
      </c>
      <c r="C345" s="36" t="s">
        <v>1129</v>
      </c>
      <c r="D345" s="37">
        <f>SUMIF(RAW_File!D:D,C:C,RAW_File!F:F)</f>
        <v>27.4543</v>
      </c>
      <c r="E345" s="38">
        <f>SUMIF(RAW_File!D:D,C:C,RAW_File!G:G)</f>
        <v>0</v>
      </c>
      <c r="F345" s="39">
        <f>SUMIF(RAW_File!D:D,C:C,RAW_File!I:I)</f>
        <v>0</v>
      </c>
      <c r="G345" s="40">
        <f>SUMIF(RAW_File!D:D,C:C,RAW_File!K:K)</f>
        <v>0</v>
      </c>
      <c r="H345" s="41">
        <f>SUMIF(RAW_File!D:D,C:C,RAW_File!M:M)</f>
        <v>0</v>
      </c>
      <c r="I345" s="40">
        <f t="shared" si="6"/>
        <v>0</v>
      </c>
    </row>
    <row r="346" spans="1:9" hidden="1" x14ac:dyDescent="0.25">
      <c r="A346" s="36" t="s">
        <v>54</v>
      </c>
      <c r="B346" s="36" t="s">
        <v>1265</v>
      </c>
      <c r="C346" s="36" t="s">
        <v>1266</v>
      </c>
      <c r="D346" s="37">
        <f>SUMIF(RAW_File!D:D,C:C,RAW_File!F:F)</f>
        <v>21637.8557</v>
      </c>
      <c r="E346" s="38">
        <f>SUMIF(RAW_File!D:D,C:C,RAW_File!G:G)</f>
        <v>500</v>
      </c>
      <c r="F346" s="39">
        <f>SUMIF(RAW_File!D:D,C:C,RAW_File!I:I)</f>
        <v>2950</v>
      </c>
      <c r="G346" s="40">
        <f>SUMIF(RAW_File!D:D,C:C,RAW_File!K:K)</f>
        <v>0</v>
      </c>
      <c r="H346" s="41">
        <f>SUMIF(RAW_File!D:D,C:C,RAW_File!M:M)</f>
        <v>20000</v>
      </c>
      <c r="I346" s="40">
        <f t="shared" si="6"/>
        <v>20000</v>
      </c>
    </row>
    <row r="347" spans="1:9" hidden="1" x14ac:dyDescent="0.25">
      <c r="A347" s="36" t="s">
        <v>54</v>
      </c>
      <c r="B347" s="36" t="s">
        <v>1390</v>
      </c>
      <c r="C347" s="36" t="s">
        <v>1391</v>
      </c>
      <c r="D347" s="37">
        <f>SUMIF(RAW_File!D:D,C:C,RAW_File!F:F)</f>
        <v>4805.7705999999998</v>
      </c>
      <c r="E347" s="38">
        <f>SUMIF(RAW_File!D:D,C:C,RAW_File!G:G)</f>
        <v>6000</v>
      </c>
      <c r="F347" s="39">
        <f>SUMIF(RAW_File!D:D,C:C,RAW_File!I:I)</f>
        <v>6000</v>
      </c>
      <c r="G347" s="40">
        <f>SUMIF(RAW_File!D:D,C:C,RAW_File!K:K)</f>
        <v>5000</v>
      </c>
      <c r="H347" s="41">
        <f>SUMIF(RAW_File!D:D,C:C,RAW_File!M:M)</f>
        <v>0</v>
      </c>
      <c r="I347" s="40">
        <f t="shared" si="6"/>
        <v>5000</v>
      </c>
    </row>
    <row r="348" spans="1:9" hidden="1" x14ac:dyDescent="0.25">
      <c r="A348" s="36" t="s">
        <v>54</v>
      </c>
      <c r="B348" s="36" t="s">
        <v>645</v>
      </c>
      <c r="C348" s="36" t="s">
        <v>1427</v>
      </c>
      <c r="D348" s="37">
        <f>SUMIF(RAW_File!D:D,C:C,RAW_File!F:F)</f>
        <v>408.81444057772569</v>
      </c>
      <c r="E348" s="38">
        <f>SUMIF(RAW_File!D:D,C:C,RAW_File!G:G)</f>
        <v>10455</v>
      </c>
      <c r="F348" s="39">
        <f>SUMIF(RAW_File!D:D,C:C,RAW_File!I:I)</f>
        <v>16989</v>
      </c>
      <c r="G348" s="40">
        <f>SUMIF(RAW_File!D:D,C:C,RAW_File!K:K)</f>
        <v>5000</v>
      </c>
      <c r="H348" s="41">
        <f>SUMIF(RAW_File!D:D,C:C,RAW_File!M:M)</f>
        <v>0</v>
      </c>
      <c r="I348" s="40">
        <f t="shared" si="6"/>
        <v>5000</v>
      </c>
    </row>
    <row r="349" spans="1:9" hidden="1" x14ac:dyDescent="0.25">
      <c r="A349" s="36" t="s">
        <v>54</v>
      </c>
      <c r="B349" s="36" t="s">
        <v>1662</v>
      </c>
      <c r="C349" s="36" t="s">
        <v>1663</v>
      </c>
      <c r="D349" s="37">
        <f>SUMIF(RAW_File!D:D,C:C,RAW_File!F:F)</f>
        <v>16871.4509</v>
      </c>
      <c r="E349" s="38">
        <f>SUMIF(RAW_File!D:D,C:C,RAW_File!G:G)</f>
        <v>2480</v>
      </c>
      <c r="F349" s="39">
        <f>SUMIF(RAW_File!D:D,C:C,RAW_File!I:I)</f>
        <v>5730</v>
      </c>
      <c r="G349" s="40">
        <f>SUMIF(RAW_File!D:D,C:C,RAW_File!K:K)</f>
        <v>5000</v>
      </c>
      <c r="H349" s="41">
        <f>SUMIF(RAW_File!D:D,C:C,RAW_File!M:M)</f>
        <v>0</v>
      </c>
      <c r="I349" s="40">
        <f t="shared" si="6"/>
        <v>5000</v>
      </c>
    </row>
    <row r="350" spans="1:9" hidden="1" x14ac:dyDescent="0.25">
      <c r="A350" s="36" t="s">
        <v>54</v>
      </c>
      <c r="B350" s="36" t="s">
        <v>1752</v>
      </c>
      <c r="C350" s="36" t="s">
        <v>1753</v>
      </c>
      <c r="D350" s="37">
        <f>SUMIF(RAW_File!D:D,C:C,RAW_File!F:F)</f>
        <v>847.12824202063939</v>
      </c>
      <c r="E350" s="38">
        <f>SUMIF(RAW_File!D:D,C:C,RAW_File!G:G)</f>
        <v>1525</v>
      </c>
      <c r="F350" s="39">
        <f>SUMIF(RAW_File!D:D,C:C,RAW_File!I:I)</f>
        <v>4352</v>
      </c>
      <c r="G350" s="40">
        <f>SUMIF(RAW_File!D:D,C:C,RAW_File!K:K)</f>
        <v>0</v>
      </c>
      <c r="H350" s="41">
        <f>SUMIF(RAW_File!D:D,C:C,RAW_File!M:M)</f>
        <v>4000</v>
      </c>
      <c r="I350" s="40">
        <f t="shared" si="6"/>
        <v>4000</v>
      </c>
    </row>
    <row r="351" spans="1:9" hidden="1" x14ac:dyDescent="0.25">
      <c r="A351" s="36" t="s">
        <v>54</v>
      </c>
      <c r="B351" s="36" t="s">
        <v>1798</v>
      </c>
      <c r="C351" s="36" t="s">
        <v>1799</v>
      </c>
      <c r="D351" s="37">
        <f>SUMIF(RAW_File!D:D,C:C,RAW_File!F:F)</f>
        <v>6065.4669999999996</v>
      </c>
      <c r="E351" s="38">
        <f>SUMIF(RAW_File!D:D,C:C,RAW_File!G:G)</f>
        <v>1500</v>
      </c>
      <c r="F351" s="39">
        <f>SUMIF(RAW_File!D:D,C:C,RAW_File!I:I)</f>
        <v>6900</v>
      </c>
      <c r="G351" s="40">
        <f>SUMIF(RAW_File!D:D,C:C,RAW_File!K:K)</f>
        <v>0</v>
      </c>
      <c r="H351" s="41">
        <f>SUMIF(RAW_File!D:D,C:C,RAW_File!M:M)</f>
        <v>10000</v>
      </c>
      <c r="I351" s="40">
        <f t="shared" si="6"/>
        <v>10000</v>
      </c>
    </row>
    <row r="352" spans="1:9" hidden="1" x14ac:dyDescent="0.25">
      <c r="A352" s="36" t="s">
        <v>54</v>
      </c>
      <c r="B352" s="36" t="s">
        <v>1809</v>
      </c>
      <c r="C352" s="36" t="s">
        <v>1810</v>
      </c>
      <c r="D352" s="37">
        <f>SUMIF(RAW_File!D:D,C:C,RAW_File!F:F)</f>
        <v>6007.7885999999999</v>
      </c>
      <c r="E352" s="38">
        <f>SUMIF(RAW_File!D:D,C:C,RAW_File!G:G)</f>
        <v>525</v>
      </c>
      <c r="F352" s="39">
        <f>SUMIF(RAW_File!D:D,C:C,RAW_File!I:I)</f>
        <v>525</v>
      </c>
      <c r="G352" s="40">
        <f>SUMIF(RAW_File!D:D,C:C,RAW_File!K:K)</f>
        <v>0</v>
      </c>
      <c r="H352" s="41">
        <f>SUMIF(RAW_File!D:D,C:C,RAW_File!M:M)</f>
        <v>0</v>
      </c>
      <c r="I352" s="40">
        <f t="shared" si="6"/>
        <v>0</v>
      </c>
    </row>
    <row r="353" spans="1:9" hidden="1" x14ac:dyDescent="0.25">
      <c r="A353" s="36" t="s">
        <v>54</v>
      </c>
      <c r="B353" s="36" t="s">
        <v>1927</v>
      </c>
      <c r="C353" s="36" t="s">
        <v>1928</v>
      </c>
      <c r="D353" s="37">
        <f>SUMIF(RAW_File!D:D,C:C,RAW_File!F:F)</f>
        <v>25.337835779091922</v>
      </c>
      <c r="E353" s="38">
        <f>SUMIF(RAW_File!D:D,C:C,RAW_File!G:G)</f>
        <v>300</v>
      </c>
      <c r="F353" s="39">
        <f>SUMIF(RAW_File!D:D,C:C,RAW_File!I:I)</f>
        <v>1900</v>
      </c>
      <c r="G353" s="40">
        <f>SUMIF(RAW_File!D:D,C:C,RAW_File!K:K)</f>
        <v>0</v>
      </c>
      <c r="H353" s="41">
        <f>SUMIF(RAW_File!D:D,C:C,RAW_File!M:M)</f>
        <v>22000</v>
      </c>
      <c r="I353" s="40">
        <f t="shared" si="6"/>
        <v>22000</v>
      </c>
    </row>
    <row r="354" spans="1:9" hidden="1" x14ac:dyDescent="0.25">
      <c r="A354" s="36" t="s">
        <v>54</v>
      </c>
      <c r="B354" s="36" t="s">
        <v>1929</v>
      </c>
      <c r="C354" s="36" t="s">
        <v>1930</v>
      </c>
      <c r="D354" s="37">
        <f>SUMIF(RAW_File!D:D,C:C,RAW_File!F:F)</f>
        <v>10720.63253239438</v>
      </c>
      <c r="E354" s="38">
        <f>SUMIF(RAW_File!D:D,C:C,RAW_File!G:G)</f>
        <v>0</v>
      </c>
      <c r="F354" s="39">
        <f>SUMIF(RAW_File!D:D,C:C,RAW_File!I:I)</f>
        <v>5630</v>
      </c>
      <c r="G354" s="40">
        <f>SUMIF(RAW_File!D:D,C:C,RAW_File!K:K)</f>
        <v>5000</v>
      </c>
      <c r="H354" s="41">
        <f>SUMIF(RAW_File!D:D,C:C,RAW_File!M:M)</f>
        <v>0</v>
      </c>
      <c r="I354" s="40">
        <f t="shared" si="6"/>
        <v>5000</v>
      </c>
    </row>
    <row r="355" spans="1:9" hidden="1" x14ac:dyDescent="0.25">
      <c r="A355" s="36" t="s">
        <v>54</v>
      </c>
      <c r="B355" s="36" t="s">
        <v>1937</v>
      </c>
      <c r="C355" s="36" t="s">
        <v>1938</v>
      </c>
      <c r="D355" s="37">
        <f>SUMIF(RAW_File!D:D,C:C,RAW_File!F:F)</f>
        <v>6.2230999999999996</v>
      </c>
      <c r="E355" s="38">
        <f>SUMIF(RAW_File!D:D,C:C,RAW_File!G:G)</f>
        <v>0</v>
      </c>
      <c r="F355" s="39">
        <f>SUMIF(RAW_File!D:D,C:C,RAW_File!I:I)</f>
        <v>0</v>
      </c>
      <c r="G355" s="40">
        <f>SUMIF(RAW_File!D:D,C:C,RAW_File!K:K)</f>
        <v>0</v>
      </c>
      <c r="H355" s="41">
        <f>SUMIF(RAW_File!D:D,C:C,RAW_File!M:M)</f>
        <v>0</v>
      </c>
      <c r="I355" s="40">
        <f t="shared" si="6"/>
        <v>0</v>
      </c>
    </row>
    <row r="356" spans="1:9" hidden="1" x14ac:dyDescent="0.25">
      <c r="A356" s="36" t="s">
        <v>54</v>
      </c>
      <c r="B356" s="36" t="s">
        <v>2119</v>
      </c>
      <c r="C356" s="36" t="s">
        <v>2120</v>
      </c>
      <c r="D356" s="37">
        <f>SUMIF(RAW_File!D:D,C:C,RAW_File!F:F)</f>
        <v>3134.7072121727761</v>
      </c>
      <c r="E356" s="38">
        <f>SUMIF(RAW_File!D:D,C:C,RAW_File!G:G)</f>
        <v>0</v>
      </c>
      <c r="F356" s="39">
        <f>SUMIF(RAW_File!D:D,C:C,RAW_File!I:I)</f>
        <v>0</v>
      </c>
      <c r="G356" s="40">
        <f>SUMIF(RAW_File!D:D,C:C,RAW_File!K:K)</f>
        <v>3000</v>
      </c>
      <c r="H356" s="41">
        <f>SUMIF(RAW_File!D:D,C:C,RAW_File!M:M)</f>
        <v>0</v>
      </c>
      <c r="I356" s="40">
        <f t="shared" si="6"/>
        <v>3000</v>
      </c>
    </row>
    <row r="357" spans="1:9" hidden="1" x14ac:dyDescent="0.25">
      <c r="A357" s="36" t="s">
        <v>54</v>
      </c>
      <c r="B357" s="36" t="s">
        <v>2125</v>
      </c>
      <c r="C357" s="36" t="s">
        <v>2126</v>
      </c>
      <c r="D357" s="37">
        <f>SUMIF(RAW_File!D:D,C:C,RAW_File!F:F)</f>
        <v>13168.982450910629</v>
      </c>
      <c r="E357" s="38">
        <f>SUMIF(RAW_File!D:D,C:C,RAW_File!G:G)</f>
        <v>16160</v>
      </c>
      <c r="F357" s="39">
        <f>SUMIF(RAW_File!D:D,C:C,RAW_File!I:I)</f>
        <v>26310</v>
      </c>
      <c r="G357" s="40">
        <f>SUMIF(RAW_File!D:D,C:C,RAW_File!K:K)</f>
        <v>13000</v>
      </c>
      <c r="H357" s="41">
        <f>SUMIF(RAW_File!D:D,C:C,RAW_File!M:M)</f>
        <v>0</v>
      </c>
      <c r="I357" s="40">
        <f t="shared" si="6"/>
        <v>13000</v>
      </c>
    </row>
    <row r="358" spans="1:9" hidden="1" x14ac:dyDescent="0.25">
      <c r="A358" s="42" t="s">
        <v>54</v>
      </c>
      <c r="B358" s="36" t="s">
        <v>324</v>
      </c>
      <c r="C358" s="42" t="s">
        <v>2283</v>
      </c>
      <c r="D358" s="37">
        <f>SUMIF(RAW_File!D:D,C:C,RAW_File!F:F)</f>
        <v>10506.39063980971</v>
      </c>
      <c r="E358" s="38">
        <f>SUMIF(RAW_File!D:D,C:C,RAW_File!G:G)</f>
        <v>4500</v>
      </c>
      <c r="F358" s="39">
        <f>SUMIF(RAW_File!D:D,C:C,RAW_File!I:I)</f>
        <v>9800</v>
      </c>
      <c r="G358" s="40">
        <f>SUMIF(RAW_File!D:D,C:C,RAW_File!K:K)</f>
        <v>5000</v>
      </c>
      <c r="H358" s="41">
        <f>SUMIF(RAW_File!D:D,C:C,RAW_File!M:M)</f>
        <v>0</v>
      </c>
      <c r="I358" s="40">
        <f t="shared" si="6"/>
        <v>5000</v>
      </c>
    </row>
    <row r="359" spans="1:9" hidden="1" x14ac:dyDescent="0.25">
      <c r="A359" s="36" t="s">
        <v>54</v>
      </c>
      <c r="B359" s="36" t="s">
        <v>2457</v>
      </c>
      <c r="C359" s="36" t="s">
        <v>2458</v>
      </c>
      <c r="D359" s="37">
        <f>SUMIF(RAW_File!D:D,C:C,RAW_File!F:F)</f>
        <v>28396.437300000001</v>
      </c>
      <c r="E359" s="38">
        <f>SUMIF(RAW_File!D:D,C:C,RAW_File!G:G)</f>
        <v>25089</v>
      </c>
      <c r="F359" s="39">
        <f>SUMIF(RAW_File!D:D,C:C,RAW_File!I:I)</f>
        <v>50489</v>
      </c>
      <c r="G359" s="40">
        <f>SUMIF(RAW_File!D:D,C:C,RAW_File!K:K)</f>
        <v>0</v>
      </c>
      <c r="H359" s="41">
        <f>SUMIF(RAW_File!D:D,C:C,RAW_File!M:M)</f>
        <v>5000</v>
      </c>
      <c r="I359" s="40">
        <f t="shared" si="6"/>
        <v>5000</v>
      </c>
    </row>
    <row r="360" spans="1:9" hidden="1" x14ac:dyDescent="0.25">
      <c r="A360" s="36" t="s">
        <v>54</v>
      </c>
      <c r="B360" s="36" t="s">
        <v>1269</v>
      </c>
      <c r="C360" s="36" t="s">
        <v>2462</v>
      </c>
      <c r="D360" s="37">
        <f>SUMIF(RAW_File!D:D,C:C,RAW_File!F:F)</f>
        <v>4559.6952000000001</v>
      </c>
      <c r="E360" s="38">
        <f>SUMIF(RAW_File!D:D,C:C,RAW_File!G:G)</f>
        <v>21380</v>
      </c>
      <c r="F360" s="39">
        <f>SUMIF(RAW_File!D:D,C:C,RAW_File!I:I)</f>
        <v>25180</v>
      </c>
      <c r="G360" s="40">
        <f>SUMIF(RAW_File!D:D,C:C,RAW_File!K:K)</f>
        <v>5000</v>
      </c>
      <c r="H360" s="41">
        <f>SUMIF(RAW_File!D:D,C:C,RAW_File!M:M)</f>
        <v>0</v>
      </c>
      <c r="I360" s="40">
        <f t="shared" si="6"/>
        <v>5000</v>
      </c>
    </row>
    <row r="361" spans="1:9" hidden="1" x14ac:dyDescent="0.25">
      <c r="A361" s="36" t="s">
        <v>54</v>
      </c>
      <c r="B361" s="36" t="s">
        <v>2689</v>
      </c>
      <c r="C361" s="36" t="s">
        <v>2690</v>
      </c>
      <c r="D361" s="37">
        <f>SUMIF(RAW_File!D:D,C:C,RAW_File!F:F)</f>
        <v>22793.4123</v>
      </c>
      <c r="E361" s="38">
        <f>SUMIF(RAW_File!D:D,C:C,RAW_File!G:G)</f>
        <v>2800</v>
      </c>
      <c r="F361" s="39">
        <f>SUMIF(RAW_File!D:D,C:C,RAW_File!I:I)</f>
        <v>17850</v>
      </c>
      <c r="G361" s="40">
        <f>SUMIF(RAW_File!D:D,C:C,RAW_File!K:K)</f>
        <v>0</v>
      </c>
      <c r="H361" s="41">
        <f>SUMIF(RAW_File!D:D,C:C,RAW_File!M:M)</f>
        <v>5000</v>
      </c>
      <c r="I361" s="40">
        <f t="shared" si="6"/>
        <v>5000</v>
      </c>
    </row>
    <row r="362" spans="1:9" hidden="1" x14ac:dyDescent="0.25">
      <c r="A362" s="36" t="s">
        <v>54</v>
      </c>
      <c r="B362" s="36" t="s">
        <v>2695</v>
      </c>
      <c r="C362" s="36" t="s">
        <v>2696</v>
      </c>
      <c r="D362" s="37">
        <f>SUMIF(RAW_File!D:D,C:C,RAW_File!F:F)</f>
        <v>12989.761169565199</v>
      </c>
      <c r="E362" s="38">
        <f>SUMIF(RAW_File!D:D,C:C,RAW_File!G:G)</f>
        <v>2500</v>
      </c>
      <c r="F362" s="39">
        <f>SUMIF(RAW_File!D:D,C:C,RAW_File!I:I)</f>
        <v>19710</v>
      </c>
      <c r="G362" s="40">
        <f>SUMIF(RAW_File!D:D,C:C,RAW_File!K:K)</f>
        <v>5000</v>
      </c>
      <c r="H362" s="41">
        <f>SUMIF(RAW_File!D:D,C:C,RAW_File!M:M)</f>
        <v>0</v>
      </c>
      <c r="I362" s="40">
        <f t="shared" si="6"/>
        <v>5000</v>
      </c>
    </row>
    <row r="363" spans="1:9" hidden="1" x14ac:dyDescent="0.25">
      <c r="A363" s="36" t="s">
        <v>54</v>
      </c>
      <c r="B363" s="36" t="s">
        <v>3022</v>
      </c>
      <c r="C363" s="36" t="s">
        <v>3023</v>
      </c>
      <c r="D363" s="37">
        <f>SUMIF(RAW_File!D:D,C:C,RAW_File!F:F)</f>
        <v>2183.6156900741039</v>
      </c>
      <c r="E363" s="38">
        <f>SUMIF(RAW_File!D:D,C:C,RAW_File!G:G)</f>
        <v>4000</v>
      </c>
      <c r="F363" s="39">
        <f>SUMIF(RAW_File!D:D,C:C,RAW_File!I:I)</f>
        <v>4000</v>
      </c>
      <c r="G363" s="40">
        <f>SUMIF(RAW_File!D:D,C:C,RAW_File!K:K)</f>
        <v>5000</v>
      </c>
      <c r="H363" s="41">
        <f>SUMIF(RAW_File!D:D,C:C,RAW_File!M:M)</f>
        <v>0</v>
      </c>
      <c r="I363" s="40">
        <f t="shared" si="6"/>
        <v>5000</v>
      </c>
    </row>
    <row r="364" spans="1:9" hidden="1" x14ac:dyDescent="0.25">
      <c r="A364" s="36" t="s">
        <v>54</v>
      </c>
      <c r="B364" s="36" t="s">
        <v>3066</v>
      </c>
      <c r="C364" s="36" t="s">
        <v>3067</v>
      </c>
      <c r="D364" s="37">
        <f>SUMIF(RAW_File!D:D,C:C,RAW_File!F:F)</f>
        <v>12037.726816365121</v>
      </c>
      <c r="E364" s="38">
        <f>SUMIF(RAW_File!D:D,C:C,RAW_File!G:G)</f>
        <v>4702</v>
      </c>
      <c r="F364" s="39">
        <f>SUMIF(RAW_File!D:D,C:C,RAW_File!I:I)</f>
        <v>8052</v>
      </c>
      <c r="G364" s="40">
        <f>SUMIF(RAW_File!D:D,C:C,RAW_File!K:K)</f>
        <v>5000</v>
      </c>
      <c r="H364" s="41">
        <f>SUMIF(RAW_File!D:D,C:C,RAW_File!M:M)</f>
        <v>0</v>
      </c>
      <c r="I364" s="40">
        <f t="shared" si="6"/>
        <v>5000</v>
      </c>
    </row>
    <row r="365" spans="1:9" hidden="1" x14ac:dyDescent="0.25">
      <c r="A365" s="36" t="s">
        <v>54</v>
      </c>
      <c r="B365" s="36" t="s">
        <v>3081</v>
      </c>
      <c r="C365" s="36" t="s">
        <v>3082</v>
      </c>
      <c r="D365" s="37">
        <f>SUMIF(RAW_File!D:D,C:C,RAW_File!F:F)</f>
        <v>2.8479000000000001</v>
      </c>
      <c r="E365" s="38">
        <f>SUMIF(RAW_File!D:D,C:C,RAW_File!G:G)</f>
        <v>0</v>
      </c>
      <c r="F365" s="39">
        <f>SUMIF(RAW_File!D:D,C:C,RAW_File!I:I)</f>
        <v>0</v>
      </c>
      <c r="G365" s="40">
        <f>SUMIF(RAW_File!D:D,C:C,RAW_File!K:K)</f>
        <v>0</v>
      </c>
      <c r="H365" s="41">
        <f>SUMIF(RAW_File!D:D,C:C,RAW_File!M:M)</f>
        <v>0</v>
      </c>
      <c r="I365" s="40">
        <f t="shared" si="6"/>
        <v>0</v>
      </c>
    </row>
    <row r="366" spans="1:9" hidden="1" x14ac:dyDescent="0.25">
      <c r="A366" s="36" t="s">
        <v>54</v>
      </c>
      <c r="B366" s="36" t="s">
        <v>3215</v>
      </c>
      <c r="C366" s="36" t="s">
        <v>3216</v>
      </c>
      <c r="D366" s="37">
        <f>SUMIF(RAW_File!D:D,C:C,RAW_File!F:F)</f>
        <v>6243.2636172191897</v>
      </c>
      <c r="E366" s="38">
        <f>SUMIF(RAW_File!D:D,C:C,RAW_File!G:G)</f>
        <v>3800</v>
      </c>
      <c r="F366" s="39">
        <f>SUMIF(RAW_File!D:D,C:C,RAW_File!I:I)</f>
        <v>12100</v>
      </c>
      <c r="G366" s="40">
        <f>SUMIF(RAW_File!D:D,C:C,RAW_File!K:K)</f>
        <v>0</v>
      </c>
      <c r="H366" s="41">
        <f>SUMIF(RAW_File!D:D,C:C,RAW_File!M:M)</f>
        <v>5000</v>
      </c>
      <c r="I366" s="40">
        <f t="shared" si="6"/>
        <v>5000</v>
      </c>
    </row>
    <row r="367" spans="1:9" hidden="1" x14ac:dyDescent="0.25">
      <c r="A367" s="36" t="s">
        <v>54</v>
      </c>
      <c r="B367" s="36" t="s">
        <v>3229</v>
      </c>
      <c r="C367" s="36" t="s">
        <v>3230</v>
      </c>
      <c r="D367" s="37">
        <f>SUMIF(RAW_File!D:D,C:C,RAW_File!F:F)</f>
        <v>7769.6948060062896</v>
      </c>
      <c r="E367" s="38">
        <f>SUMIF(RAW_File!D:D,C:C,RAW_File!G:G)</f>
        <v>0</v>
      </c>
      <c r="F367" s="39">
        <f>SUMIF(RAW_File!D:D,C:C,RAW_File!I:I)</f>
        <v>2500</v>
      </c>
      <c r="G367" s="40">
        <f>SUMIF(RAW_File!D:D,C:C,RAW_File!K:K)</f>
        <v>5000</v>
      </c>
      <c r="H367" s="41">
        <f>SUMIF(RAW_File!D:D,C:C,RAW_File!M:M)</f>
        <v>0</v>
      </c>
      <c r="I367" s="40">
        <f t="shared" si="6"/>
        <v>5000</v>
      </c>
    </row>
    <row r="368" spans="1:9" hidden="1" x14ac:dyDescent="0.25">
      <c r="A368" s="36" t="s">
        <v>54</v>
      </c>
      <c r="B368" s="36" t="s">
        <v>3242</v>
      </c>
      <c r="C368" s="36" t="s">
        <v>3243</v>
      </c>
      <c r="D368" s="37">
        <f>SUMIF(RAW_File!D:D,C:C,RAW_File!F:F)</f>
        <v>6610.5953186978059</v>
      </c>
      <c r="E368" s="38">
        <f>SUMIF(RAW_File!D:D,C:C,RAW_File!G:G)</f>
        <v>16470</v>
      </c>
      <c r="F368" s="39">
        <f>SUMIF(RAW_File!D:D,C:C,RAW_File!I:I)</f>
        <v>22850</v>
      </c>
      <c r="G368" s="40">
        <f>SUMIF(RAW_File!D:D,C:C,RAW_File!K:K)</f>
        <v>16000</v>
      </c>
      <c r="H368" s="41">
        <f>SUMIF(RAW_File!D:D,C:C,RAW_File!M:M)</f>
        <v>0</v>
      </c>
      <c r="I368" s="40">
        <f t="shared" si="6"/>
        <v>16000</v>
      </c>
    </row>
    <row r="369" spans="1:9" hidden="1" x14ac:dyDescent="0.25">
      <c r="A369" s="36" t="s">
        <v>54</v>
      </c>
      <c r="B369" s="36" t="s">
        <v>3297</v>
      </c>
      <c r="C369" s="36" t="s">
        <v>3298</v>
      </c>
      <c r="D369" s="37">
        <f>SUMIF(RAW_File!D:D,C:C,RAW_File!F:F)</f>
        <v>70405.778313594274</v>
      </c>
      <c r="E369" s="38">
        <f>SUMIF(RAW_File!D:D,C:C,RAW_File!G:G)</f>
        <v>9730</v>
      </c>
      <c r="F369" s="39">
        <f>SUMIF(RAW_File!D:D,C:C,RAW_File!I:I)</f>
        <v>32537</v>
      </c>
      <c r="G369" s="40">
        <f>SUMIF(RAW_File!D:D,C:C,RAW_File!K:K)</f>
        <v>5000</v>
      </c>
      <c r="H369" s="41">
        <f>SUMIF(RAW_File!D:D,C:C,RAW_File!M:M)</f>
        <v>0</v>
      </c>
      <c r="I369" s="40">
        <f t="shared" si="6"/>
        <v>5000</v>
      </c>
    </row>
    <row r="370" spans="1:9" hidden="1" x14ac:dyDescent="0.25">
      <c r="A370" s="36" t="s">
        <v>54</v>
      </c>
      <c r="B370" s="36" t="s">
        <v>3325</v>
      </c>
      <c r="C370" s="36" t="s">
        <v>3326</v>
      </c>
      <c r="D370" s="37">
        <f>SUMIF(RAW_File!D:D,C:C,RAW_File!F:F)</f>
        <v>6846.549</v>
      </c>
      <c r="E370" s="38">
        <f>SUMIF(RAW_File!D:D,C:C,RAW_File!G:G)</f>
        <v>1000</v>
      </c>
      <c r="F370" s="39">
        <f>SUMIF(RAW_File!D:D,C:C,RAW_File!I:I)</f>
        <v>5240</v>
      </c>
      <c r="G370" s="40">
        <f>SUMIF(RAW_File!D:D,C:C,RAW_File!K:K)</f>
        <v>0</v>
      </c>
      <c r="H370" s="41">
        <f>SUMIF(RAW_File!D:D,C:C,RAW_File!M:M)</f>
        <v>5000</v>
      </c>
      <c r="I370" s="40">
        <f t="shared" si="6"/>
        <v>5000</v>
      </c>
    </row>
    <row r="371" spans="1:9" hidden="1" x14ac:dyDescent="0.25">
      <c r="A371" s="36" t="s">
        <v>54</v>
      </c>
      <c r="B371" s="36" t="s">
        <v>3377</v>
      </c>
      <c r="C371" s="36" t="s">
        <v>3378</v>
      </c>
      <c r="D371" s="37">
        <f>SUMIF(RAW_File!D:D,C:C,RAW_File!F:F)</f>
        <v>54.020910000000001</v>
      </c>
      <c r="E371" s="38">
        <f>SUMIF(RAW_File!D:D,C:C,RAW_File!G:G)</f>
        <v>65</v>
      </c>
      <c r="F371" s="39">
        <f>SUMIF(RAW_File!D:D,C:C,RAW_File!I:I)</f>
        <v>5095</v>
      </c>
      <c r="G371" s="40">
        <f>SUMIF(RAW_File!D:D,C:C,RAW_File!K:K)</f>
        <v>0</v>
      </c>
      <c r="H371" s="41">
        <f>SUMIF(RAW_File!D:D,C:C,RAW_File!M:M)</f>
        <v>5000</v>
      </c>
      <c r="I371" s="40">
        <f t="shared" si="6"/>
        <v>5000</v>
      </c>
    </row>
    <row r="372" spans="1:9" hidden="1" x14ac:dyDescent="0.25">
      <c r="A372" s="36" t="s">
        <v>54</v>
      </c>
      <c r="B372" s="36" t="s">
        <v>3408</v>
      </c>
      <c r="C372" s="36" t="s">
        <v>3409</v>
      </c>
      <c r="D372" s="37">
        <f>SUMIF(RAW_File!D:D,C:C,RAW_File!F:F)</f>
        <v>10702.142750000001</v>
      </c>
      <c r="E372" s="38">
        <f>SUMIF(RAW_File!D:D,C:C,RAW_File!G:G)</f>
        <v>3100</v>
      </c>
      <c r="F372" s="39">
        <f>SUMIF(RAW_File!D:D,C:C,RAW_File!I:I)</f>
        <v>9405</v>
      </c>
      <c r="G372" s="40">
        <f>SUMIF(RAW_File!D:D,C:C,RAW_File!K:K)</f>
        <v>0</v>
      </c>
      <c r="H372" s="41">
        <f>SUMIF(RAW_File!D:D,C:C,RAW_File!M:M)</f>
        <v>25000</v>
      </c>
      <c r="I372" s="40">
        <f t="shared" si="6"/>
        <v>25000</v>
      </c>
    </row>
    <row r="373" spans="1:9" hidden="1" x14ac:dyDescent="0.25">
      <c r="A373" s="36" t="s">
        <v>54</v>
      </c>
      <c r="B373" s="36" t="s">
        <v>3441</v>
      </c>
      <c r="C373" s="36" t="s">
        <v>3442</v>
      </c>
      <c r="D373" s="37">
        <f>SUMIF(RAW_File!D:D,C:C,RAW_File!F:F)</f>
        <v>4073.4533405784391</v>
      </c>
      <c r="E373" s="38">
        <f>SUMIF(RAW_File!D:D,C:C,RAW_File!G:G)</f>
        <v>21410</v>
      </c>
      <c r="F373" s="39">
        <f>SUMIF(RAW_File!D:D,C:C,RAW_File!I:I)</f>
        <v>38770</v>
      </c>
      <c r="G373" s="40">
        <f>SUMIF(RAW_File!D:D,C:C,RAW_File!K:K)</f>
        <v>0</v>
      </c>
      <c r="H373" s="41">
        <f>SUMIF(RAW_File!D:D,C:C,RAW_File!M:M)</f>
        <v>33000</v>
      </c>
      <c r="I373" s="40">
        <f t="shared" si="6"/>
        <v>33000</v>
      </c>
    </row>
    <row r="374" spans="1:9" hidden="1" x14ac:dyDescent="0.25">
      <c r="A374" s="36" t="s">
        <v>54</v>
      </c>
      <c r="B374" s="36" t="s">
        <v>3472</v>
      </c>
      <c r="C374" s="36" t="s">
        <v>3473</v>
      </c>
      <c r="D374" s="37">
        <f>SUMIF(RAW_File!D:D,C:C,RAW_File!F:F)</f>
        <v>6514.2798140463747</v>
      </c>
      <c r="E374" s="38">
        <f>SUMIF(RAW_File!D:D,C:C,RAW_File!G:G)</f>
        <v>0</v>
      </c>
      <c r="F374" s="39">
        <f>SUMIF(RAW_File!D:D,C:C,RAW_File!I:I)</f>
        <v>0</v>
      </c>
      <c r="G374" s="40">
        <f>SUMIF(RAW_File!D:D,C:C,RAW_File!K:K)</f>
        <v>0</v>
      </c>
      <c r="H374" s="41">
        <f>SUMIF(RAW_File!D:D,C:C,RAW_File!M:M)</f>
        <v>0</v>
      </c>
      <c r="I374" s="40">
        <f t="shared" si="6"/>
        <v>0</v>
      </c>
    </row>
    <row r="375" spans="1:9" hidden="1" x14ac:dyDescent="0.25">
      <c r="A375" s="36" t="s">
        <v>56</v>
      </c>
      <c r="B375" s="36" t="s">
        <v>225</v>
      </c>
      <c r="C375" s="36" t="s">
        <v>226</v>
      </c>
      <c r="D375" s="37">
        <f>SUMIF(RAW_File!D:D,C:C,RAW_File!F:F)</f>
        <v>3.9764014051306389</v>
      </c>
      <c r="E375" s="38">
        <f>SUMIF(RAW_File!D:D,C:C,RAW_File!G:G)</f>
        <v>0</v>
      </c>
      <c r="F375" s="39">
        <f>SUMIF(RAW_File!D:D,C:C,RAW_File!I:I)</f>
        <v>0</v>
      </c>
      <c r="G375" s="40">
        <f>SUMIF(RAW_File!D:D,C:C,RAW_File!K:K)</f>
        <v>0</v>
      </c>
      <c r="H375" s="41">
        <f>SUMIF(RAW_File!D:D,C:C,RAW_File!M:M)</f>
        <v>0</v>
      </c>
      <c r="I375" s="40">
        <f t="shared" ref="I375:I416" si="7">ABS(G375-H375)</f>
        <v>0</v>
      </c>
    </row>
    <row r="376" spans="1:9" hidden="1" x14ac:dyDescent="0.25">
      <c r="A376" s="36" t="s">
        <v>56</v>
      </c>
      <c r="B376" s="36" t="s">
        <v>229</v>
      </c>
      <c r="C376" s="36" t="s">
        <v>230</v>
      </c>
      <c r="D376" s="37">
        <f>SUMIF(RAW_File!D:D,C:C,RAW_File!F:F)</f>
        <v>1.7773563886181341</v>
      </c>
      <c r="E376" s="38">
        <f>SUMIF(RAW_File!D:D,C:C,RAW_File!G:G)</f>
        <v>0</v>
      </c>
      <c r="F376" s="39">
        <f>SUMIF(RAW_File!D:D,C:C,RAW_File!I:I)</f>
        <v>0</v>
      </c>
      <c r="G376" s="40">
        <f>SUMIF(RAW_File!D:D,C:C,RAW_File!K:K)</f>
        <v>0</v>
      </c>
      <c r="H376" s="41">
        <f>SUMIF(RAW_File!D:D,C:C,RAW_File!M:M)</f>
        <v>0</v>
      </c>
      <c r="I376" s="40">
        <f t="shared" si="7"/>
        <v>0</v>
      </c>
    </row>
    <row r="377" spans="1:9" hidden="1" x14ac:dyDescent="0.25">
      <c r="A377" s="36" t="s">
        <v>56</v>
      </c>
      <c r="B377" s="36" t="s">
        <v>274</v>
      </c>
      <c r="C377" s="36" t="s">
        <v>275</v>
      </c>
      <c r="D377" s="37">
        <f>SUMIF(RAW_File!D:D,C:C,RAW_File!F:F)</f>
        <v>6772.8042999999998</v>
      </c>
      <c r="E377" s="38">
        <f>SUMIF(RAW_File!D:D,C:C,RAW_File!G:G)</f>
        <v>11925</v>
      </c>
      <c r="F377" s="39">
        <f>SUMIF(RAW_File!D:D,C:C,RAW_File!I:I)</f>
        <v>46375</v>
      </c>
      <c r="G377" s="40">
        <f>SUMIF(RAW_File!D:D,C:C,RAW_File!K:K)</f>
        <v>5000</v>
      </c>
      <c r="H377" s="41">
        <f>SUMIF(RAW_File!D:D,C:C,RAW_File!M:M)</f>
        <v>30000</v>
      </c>
      <c r="I377" s="40">
        <f t="shared" si="7"/>
        <v>25000</v>
      </c>
    </row>
    <row r="378" spans="1:9" hidden="1" x14ac:dyDescent="0.25">
      <c r="A378" s="36" t="s">
        <v>56</v>
      </c>
      <c r="B378" s="36" t="s">
        <v>384</v>
      </c>
      <c r="C378" s="36" t="s">
        <v>385</v>
      </c>
      <c r="D378" s="37">
        <f>SUMIF(RAW_File!D:D,C:C,RAW_File!F:F)</f>
        <v>10319.778899999999</v>
      </c>
      <c r="E378" s="38">
        <f>SUMIF(RAW_File!D:D,C:C,RAW_File!G:G)</f>
        <v>67140</v>
      </c>
      <c r="F378" s="39">
        <f>SUMIF(RAW_File!D:D,C:C,RAW_File!I:I)</f>
        <v>80190</v>
      </c>
      <c r="G378" s="40">
        <f>SUMIF(RAW_File!D:D,C:C,RAW_File!K:K)</f>
        <v>15000</v>
      </c>
      <c r="H378" s="41">
        <f>SUMIF(RAW_File!D:D,C:C,RAW_File!M:M)</f>
        <v>0</v>
      </c>
      <c r="I378" s="40">
        <f t="shared" si="7"/>
        <v>15000</v>
      </c>
    </row>
    <row r="379" spans="1:9" hidden="1" x14ac:dyDescent="0.25">
      <c r="A379" s="36" t="s">
        <v>56</v>
      </c>
      <c r="B379" s="36" t="s">
        <v>439</v>
      </c>
      <c r="C379" s="36" t="s">
        <v>440</v>
      </c>
      <c r="D379" s="37">
        <f>SUMIF(RAW_File!D:D,C:C,RAW_File!F:F)</f>
        <v>8355.4697604409539</v>
      </c>
      <c r="E379" s="38">
        <f>SUMIF(RAW_File!D:D,C:C,RAW_File!G:G)</f>
        <v>2500</v>
      </c>
      <c r="F379" s="39">
        <f>SUMIF(RAW_File!D:D,C:C,RAW_File!I:I)</f>
        <v>9090</v>
      </c>
      <c r="G379" s="40">
        <f>SUMIF(RAW_File!D:D,C:C,RAW_File!K:K)</f>
        <v>0</v>
      </c>
      <c r="H379" s="41">
        <f>SUMIF(RAW_File!D:D,C:C,RAW_File!M:M)</f>
        <v>10000</v>
      </c>
      <c r="I379" s="40">
        <f t="shared" si="7"/>
        <v>10000</v>
      </c>
    </row>
    <row r="380" spans="1:9" hidden="1" x14ac:dyDescent="0.25">
      <c r="A380" s="36" t="s">
        <v>56</v>
      </c>
      <c r="B380" s="36" t="s">
        <v>441</v>
      </c>
      <c r="C380" s="36" t="s">
        <v>442</v>
      </c>
      <c r="D380" s="37">
        <f>SUMIF(RAW_File!D:D,C:C,RAW_File!F:F)</f>
        <v>98641.216535837142</v>
      </c>
      <c r="E380" s="38">
        <f>SUMIF(RAW_File!D:D,C:C,RAW_File!G:G)</f>
        <v>38200</v>
      </c>
      <c r="F380" s="39">
        <f>SUMIF(RAW_File!D:D,C:C,RAW_File!I:I)</f>
        <v>59910</v>
      </c>
      <c r="G380" s="40">
        <f>SUMIF(RAW_File!D:D,C:C,RAW_File!K:K)</f>
        <v>5000</v>
      </c>
      <c r="H380" s="41">
        <f>SUMIF(RAW_File!D:D,C:C,RAW_File!M:M)</f>
        <v>0</v>
      </c>
      <c r="I380" s="40">
        <f t="shared" si="7"/>
        <v>5000</v>
      </c>
    </row>
    <row r="381" spans="1:9" hidden="1" x14ac:dyDescent="0.25">
      <c r="A381" s="36" t="s">
        <v>56</v>
      </c>
      <c r="B381" s="36" t="s">
        <v>467</v>
      </c>
      <c r="C381" s="36" t="s">
        <v>468</v>
      </c>
      <c r="D381" s="37">
        <f>SUMIF(RAW_File!D:D,C:C,RAW_File!F:F)</f>
        <v>18682.7326379486</v>
      </c>
      <c r="E381" s="38">
        <f>SUMIF(RAW_File!D:D,C:C,RAW_File!G:G)</f>
        <v>14248</v>
      </c>
      <c r="F381" s="39">
        <f>SUMIF(RAW_File!D:D,C:C,RAW_File!I:I)</f>
        <v>23183</v>
      </c>
      <c r="G381" s="40">
        <f>SUMIF(RAW_File!D:D,C:C,RAW_File!K:K)</f>
        <v>15000</v>
      </c>
      <c r="H381" s="41">
        <f>SUMIF(RAW_File!D:D,C:C,RAW_File!M:M)</f>
        <v>0</v>
      </c>
      <c r="I381" s="40">
        <f t="shared" si="7"/>
        <v>15000</v>
      </c>
    </row>
    <row r="382" spans="1:9" hidden="1" x14ac:dyDescent="0.25">
      <c r="A382" s="36" t="s">
        <v>56</v>
      </c>
      <c r="B382" s="36" t="s">
        <v>488</v>
      </c>
      <c r="C382" s="36" t="s">
        <v>489</v>
      </c>
      <c r="D382" s="37">
        <f>SUMIF(RAW_File!D:D,C:C,RAW_File!F:F)</f>
        <v>2927.6084351991549</v>
      </c>
      <c r="E382" s="38">
        <f>SUMIF(RAW_File!D:D,C:C,RAW_File!G:G)</f>
        <v>1500</v>
      </c>
      <c r="F382" s="39">
        <f>SUMIF(RAW_File!D:D,C:C,RAW_File!I:I)</f>
        <v>10246</v>
      </c>
      <c r="G382" s="40">
        <f>SUMIF(RAW_File!D:D,C:C,RAW_File!K:K)</f>
        <v>0</v>
      </c>
      <c r="H382" s="41">
        <f>SUMIF(RAW_File!D:D,C:C,RAW_File!M:M)</f>
        <v>5000</v>
      </c>
      <c r="I382" s="40">
        <f t="shared" si="7"/>
        <v>5000</v>
      </c>
    </row>
    <row r="383" spans="1:9" hidden="1" x14ac:dyDescent="0.25">
      <c r="A383" s="36" t="s">
        <v>56</v>
      </c>
      <c r="B383" s="36" t="s">
        <v>496</v>
      </c>
      <c r="C383" s="36" t="s">
        <v>497</v>
      </c>
      <c r="D383" s="37">
        <f>SUMIF(RAW_File!D:D,C:C,RAW_File!F:F)</f>
        <v>2228.708334763845</v>
      </c>
      <c r="E383" s="38">
        <f>SUMIF(RAW_File!D:D,C:C,RAW_File!G:G)</f>
        <v>8180</v>
      </c>
      <c r="F383" s="39">
        <f>SUMIF(RAW_File!D:D,C:C,RAW_File!I:I)</f>
        <v>10380</v>
      </c>
      <c r="G383" s="40">
        <f>SUMIF(RAW_File!D:D,C:C,RAW_File!K:K)</f>
        <v>5000</v>
      </c>
      <c r="H383" s="41">
        <f>SUMIF(RAW_File!D:D,C:C,RAW_File!M:M)</f>
        <v>0</v>
      </c>
      <c r="I383" s="40">
        <f t="shared" si="7"/>
        <v>5000</v>
      </c>
    </row>
    <row r="384" spans="1:9" hidden="1" x14ac:dyDescent="0.25">
      <c r="A384" s="36" t="s">
        <v>56</v>
      </c>
      <c r="B384" s="36" t="s">
        <v>500</v>
      </c>
      <c r="C384" s="36" t="s">
        <v>501</v>
      </c>
      <c r="D384" s="37">
        <f>SUMIF(RAW_File!D:D,C:C,RAW_File!F:F)</f>
        <v>19995.56467592554</v>
      </c>
      <c r="E384" s="38">
        <f>SUMIF(RAW_File!D:D,C:C,RAW_File!G:G)</f>
        <v>6000</v>
      </c>
      <c r="F384" s="39">
        <f>SUMIF(RAW_File!D:D,C:C,RAW_File!I:I)</f>
        <v>8800</v>
      </c>
      <c r="G384" s="40">
        <f>SUMIF(RAW_File!D:D,C:C,RAW_File!K:K)</f>
        <v>10000</v>
      </c>
      <c r="H384" s="41">
        <f>SUMIF(RAW_File!D:D,C:C,RAW_File!M:M)</f>
        <v>0</v>
      </c>
      <c r="I384" s="40">
        <f t="shared" si="7"/>
        <v>10000</v>
      </c>
    </row>
    <row r="385" spans="1:9" hidden="1" x14ac:dyDescent="0.25">
      <c r="A385" s="36" t="s">
        <v>56</v>
      </c>
      <c r="B385" s="36" t="s">
        <v>535</v>
      </c>
      <c r="C385" s="36" t="s">
        <v>536</v>
      </c>
      <c r="D385" s="37">
        <f>SUMIF(RAW_File!D:D,C:C,RAW_File!F:F)</f>
        <v>0.1331</v>
      </c>
      <c r="E385" s="38">
        <f>SUMIF(RAW_File!D:D,C:C,RAW_File!G:G)</f>
        <v>0</v>
      </c>
      <c r="F385" s="39">
        <f>SUMIF(RAW_File!D:D,C:C,RAW_File!I:I)</f>
        <v>0</v>
      </c>
      <c r="G385" s="40">
        <f>SUMIF(RAW_File!D:D,C:C,RAW_File!K:K)</f>
        <v>0</v>
      </c>
      <c r="H385" s="41">
        <f>SUMIF(RAW_File!D:D,C:C,RAW_File!M:M)</f>
        <v>0</v>
      </c>
      <c r="I385" s="40">
        <f t="shared" si="7"/>
        <v>0</v>
      </c>
    </row>
    <row r="386" spans="1:9" hidden="1" x14ac:dyDescent="0.25">
      <c r="A386" s="36" t="s">
        <v>56</v>
      </c>
      <c r="B386" s="36" t="s">
        <v>562</v>
      </c>
      <c r="C386" s="42" t="s">
        <v>563</v>
      </c>
      <c r="D386" s="37">
        <f>SUMIF(RAW_File!D:D,C:C,RAW_File!F:F)</f>
        <v>5.3171999999999997</v>
      </c>
      <c r="E386" s="38">
        <f>SUMIF(RAW_File!D:D,C:C,RAW_File!G:G)</f>
        <v>0</v>
      </c>
      <c r="F386" s="39">
        <f>SUMIF(RAW_File!D:D,C:C,RAW_File!I:I)</f>
        <v>0</v>
      </c>
      <c r="G386" s="40">
        <f>SUMIF(RAW_File!D:D,C:C,RAW_File!K:K)</f>
        <v>0</v>
      </c>
      <c r="H386" s="41">
        <f>SUMIF(RAW_File!D:D,C:C,RAW_File!M:M)</f>
        <v>0</v>
      </c>
      <c r="I386" s="40">
        <f t="shared" si="7"/>
        <v>0</v>
      </c>
    </row>
    <row r="387" spans="1:9" hidden="1" x14ac:dyDescent="0.25">
      <c r="A387" s="36" t="s">
        <v>56</v>
      </c>
      <c r="B387" s="36" t="s">
        <v>564</v>
      </c>
      <c r="C387" s="36" t="s">
        <v>565</v>
      </c>
      <c r="D387" s="37">
        <f>SUMIF(RAW_File!D:D,C:C,RAW_File!F:F)</f>
        <v>57.518022181583277</v>
      </c>
      <c r="E387" s="38">
        <f>SUMIF(RAW_File!D:D,C:C,RAW_File!G:G)</f>
        <v>700</v>
      </c>
      <c r="F387" s="39">
        <f>SUMIF(RAW_File!D:D,C:C,RAW_File!I:I)</f>
        <v>2500</v>
      </c>
      <c r="G387" s="40">
        <f>SUMIF(RAW_File!D:D,C:C,RAW_File!K:K)</f>
        <v>0</v>
      </c>
      <c r="H387" s="41">
        <f>SUMIF(RAW_File!D:D,C:C,RAW_File!M:M)</f>
        <v>20000</v>
      </c>
      <c r="I387" s="40">
        <f t="shared" si="7"/>
        <v>20000</v>
      </c>
    </row>
    <row r="388" spans="1:9" hidden="1" x14ac:dyDescent="0.25">
      <c r="A388" s="36" t="s">
        <v>56</v>
      </c>
      <c r="B388" s="36" t="s">
        <v>568</v>
      </c>
      <c r="C388" s="36" t="s">
        <v>569</v>
      </c>
      <c r="D388" s="37">
        <f>SUMIF(RAW_File!D:D,C:C,RAW_File!F:F)</f>
        <v>1470.470870729818</v>
      </c>
      <c r="E388" s="38">
        <f>SUMIF(RAW_File!D:D,C:C,RAW_File!G:G)</f>
        <v>4270</v>
      </c>
      <c r="F388" s="39">
        <f>SUMIF(RAW_File!D:D,C:C,RAW_File!I:I)</f>
        <v>13170</v>
      </c>
      <c r="G388" s="40">
        <f>SUMIF(RAW_File!D:D,C:C,RAW_File!K:K)</f>
        <v>5000</v>
      </c>
      <c r="H388" s="41">
        <f>SUMIF(RAW_File!D:D,C:C,RAW_File!M:M)</f>
        <v>10000</v>
      </c>
      <c r="I388" s="40">
        <f t="shared" si="7"/>
        <v>5000</v>
      </c>
    </row>
    <row r="389" spans="1:9" hidden="1" x14ac:dyDescent="0.25">
      <c r="A389" s="36" t="s">
        <v>56</v>
      </c>
      <c r="B389" s="36" t="s">
        <v>596</v>
      </c>
      <c r="C389" s="36" t="s">
        <v>597</v>
      </c>
      <c r="D389" s="37">
        <f>SUMIF(RAW_File!D:D,C:C,RAW_File!F:F)</f>
        <v>48838.5285</v>
      </c>
      <c r="E389" s="38">
        <f>SUMIF(RAW_File!D:D,C:C,RAW_File!G:G)</f>
        <v>2630</v>
      </c>
      <c r="F389" s="39">
        <f>SUMIF(RAW_File!D:D,C:C,RAW_File!I:I)</f>
        <v>2630</v>
      </c>
      <c r="G389" s="40">
        <f>SUMIF(RAW_File!D:D,C:C,RAW_File!K:K)</f>
        <v>0</v>
      </c>
      <c r="H389" s="41">
        <f>SUMIF(RAW_File!D:D,C:C,RAW_File!M:M)</f>
        <v>7000</v>
      </c>
      <c r="I389" s="40">
        <f t="shared" si="7"/>
        <v>7000</v>
      </c>
    </row>
    <row r="390" spans="1:9" hidden="1" x14ac:dyDescent="0.25">
      <c r="A390" s="36" t="s">
        <v>56</v>
      </c>
      <c r="B390" s="36" t="s">
        <v>738</v>
      </c>
      <c r="C390" s="36" t="s">
        <v>739</v>
      </c>
      <c r="D390" s="37">
        <f>SUMIF(RAW_File!D:D,C:C,RAW_File!F:F)</f>
        <v>16599.560099999999</v>
      </c>
      <c r="E390" s="38">
        <f>SUMIF(RAW_File!D:D,C:C,RAW_File!G:G)</f>
        <v>9600</v>
      </c>
      <c r="F390" s="39">
        <f>SUMIF(RAW_File!D:D,C:C,RAW_File!I:I)</f>
        <v>25100</v>
      </c>
      <c r="G390" s="40">
        <f>SUMIF(RAW_File!D:D,C:C,RAW_File!K:K)</f>
        <v>5000</v>
      </c>
      <c r="H390" s="41">
        <f>SUMIF(RAW_File!D:D,C:C,RAW_File!M:M)</f>
        <v>0</v>
      </c>
      <c r="I390" s="40">
        <f t="shared" si="7"/>
        <v>5000</v>
      </c>
    </row>
    <row r="391" spans="1:9" hidden="1" x14ac:dyDescent="0.25">
      <c r="A391" s="42" t="s">
        <v>56</v>
      </c>
      <c r="B391" s="36" t="s">
        <v>759</v>
      </c>
      <c r="C391" s="36" t="s">
        <v>760</v>
      </c>
      <c r="D391" s="37">
        <f>SUMIF(RAW_File!D:D,C:C,RAW_File!F:F)</f>
        <v>118.2002</v>
      </c>
      <c r="E391" s="38">
        <f>SUMIF(RAW_File!D:D,C:C,RAW_File!G:G)</f>
        <v>2375</v>
      </c>
      <c r="F391" s="39">
        <f>SUMIF(RAW_File!D:D,C:C,RAW_File!I:I)</f>
        <v>2375</v>
      </c>
      <c r="G391" s="40">
        <f>SUMIF(RAW_File!D:D,C:C,RAW_File!K:K)</f>
        <v>0</v>
      </c>
      <c r="H391" s="41">
        <f>SUMIF(RAW_File!D:D,C:C,RAW_File!M:M)</f>
        <v>5000</v>
      </c>
      <c r="I391" s="40">
        <f t="shared" si="7"/>
        <v>5000</v>
      </c>
    </row>
    <row r="392" spans="1:9" hidden="1" x14ac:dyDescent="0.25">
      <c r="A392" s="36" t="s">
        <v>56</v>
      </c>
      <c r="B392" s="36" t="s">
        <v>771</v>
      </c>
      <c r="C392" s="36" t="s">
        <v>772</v>
      </c>
      <c r="D392" s="37">
        <f>SUMIF(RAW_File!D:D,C:C,RAW_File!F:F)</f>
        <v>5007.7865587073184</v>
      </c>
      <c r="E392" s="38">
        <f>SUMIF(RAW_File!D:D,C:C,RAW_File!G:G)</f>
        <v>0</v>
      </c>
      <c r="F392" s="39">
        <f>SUMIF(RAW_File!D:D,C:C,RAW_File!I:I)</f>
        <v>0</v>
      </c>
      <c r="G392" s="40">
        <f>SUMIF(RAW_File!D:D,C:C,RAW_File!K:K)</f>
        <v>5000</v>
      </c>
      <c r="H392" s="41">
        <f>SUMIF(RAW_File!D:D,C:C,RAW_File!M:M)</f>
        <v>0</v>
      </c>
      <c r="I392" s="40">
        <f t="shared" si="7"/>
        <v>5000</v>
      </c>
    </row>
    <row r="393" spans="1:9" hidden="1" x14ac:dyDescent="0.25">
      <c r="A393" s="42" t="s">
        <v>56</v>
      </c>
      <c r="B393" s="36" t="s">
        <v>1170</v>
      </c>
      <c r="C393" s="42" t="s">
        <v>1171</v>
      </c>
      <c r="D393" s="37">
        <f>SUMIF(RAW_File!D:D,C:C,RAW_File!F:F)</f>
        <v>12439.19251099499</v>
      </c>
      <c r="E393" s="38">
        <f>SUMIF(RAW_File!D:D,C:C,RAW_File!G:G)</f>
        <v>2830</v>
      </c>
      <c r="F393" s="39">
        <f>SUMIF(RAW_File!D:D,C:C,RAW_File!I:I)</f>
        <v>8630</v>
      </c>
      <c r="G393" s="40">
        <f>SUMIF(RAW_File!D:D,C:C,RAW_File!K:K)</f>
        <v>0</v>
      </c>
      <c r="H393" s="41">
        <f>SUMIF(RAW_File!D:D,C:C,RAW_File!M:M)</f>
        <v>7000</v>
      </c>
      <c r="I393" s="40">
        <f t="shared" si="7"/>
        <v>7000</v>
      </c>
    </row>
    <row r="394" spans="1:9" hidden="1" x14ac:dyDescent="0.25">
      <c r="A394" s="36" t="s">
        <v>56</v>
      </c>
      <c r="B394" s="36" t="s">
        <v>1273</v>
      </c>
      <c r="C394" s="36" t="s">
        <v>1274</v>
      </c>
      <c r="D394" s="37">
        <f>SUMIF(RAW_File!D:D,C:C,RAW_File!F:F)</f>
        <v>38094.627874846439</v>
      </c>
      <c r="E394" s="38">
        <f>SUMIF(RAW_File!D:D,C:C,RAW_File!G:G)</f>
        <v>2000</v>
      </c>
      <c r="F394" s="39">
        <f>SUMIF(RAW_File!D:D,C:C,RAW_File!I:I)</f>
        <v>2000</v>
      </c>
      <c r="G394" s="40">
        <f>SUMIF(RAW_File!D:D,C:C,RAW_File!K:K)</f>
        <v>0</v>
      </c>
      <c r="H394" s="41">
        <f>SUMIF(RAW_File!D:D,C:C,RAW_File!M:M)</f>
        <v>16000</v>
      </c>
      <c r="I394" s="40">
        <f t="shared" si="7"/>
        <v>16000</v>
      </c>
    </row>
    <row r="395" spans="1:9" hidden="1" x14ac:dyDescent="0.25">
      <c r="A395" s="36" t="s">
        <v>56</v>
      </c>
      <c r="B395" s="36" t="s">
        <v>1415</v>
      </c>
      <c r="C395" s="36" t="s">
        <v>1416</v>
      </c>
      <c r="D395" s="37">
        <f>SUMIF(RAW_File!D:D,C:C,RAW_File!F:F)</f>
        <v>20826.636572174291</v>
      </c>
      <c r="E395" s="38">
        <f>SUMIF(RAW_File!D:D,C:C,RAW_File!G:G)</f>
        <v>0</v>
      </c>
      <c r="F395" s="39">
        <f>SUMIF(RAW_File!D:D,C:C,RAW_File!I:I)</f>
        <v>3650</v>
      </c>
      <c r="G395" s="40">
        <f>SUMIF(RAW_File!D:D,C:C,RAW_File!K:K)</f>
        <v>0</v>
      </c>
      <c r="H395" s="41">
        <f>SUMIF(RAW_File!D:D,C:C,RAW_File!M:M)</f>
        <v>12000</v>
      </c>
      <c r="I395" s="40">
        <f t="shared" si="7"/>
        <v>12000</v>
      </c>
    </row>
    <row r="396" spans="1:9" hidden="1" x14ac:dyDescent="0.25">
      <c r="A396" s="36" t="s">
        <v>56</v>
      </c>
      <c r="B396" s="36" t="s">
        <v>1464</v>
      </c>
      <c r="C396" s="36" t="s">
        <v>1465</v>
      </c>
      <c r="D396" s="37">
        <f>SUMIF(RAW_File!D:D,C:C,RAW_File!F:F)</f>
        <v>17883.951622</v>
      </c>
      <c r="E396" s="38">
        <f>SUMIF(RAW_File!D:D,C:C,RAW_File!G:G)</f>
        <v>300</v>
      </c>
      <c r="F396" s="39">
        <f>SUMIF(RAW_File!D:D,C:C,RAW_File!I:I)</f>
        <v>300</v>
      </c>
      <c r="G396" s="40">
        <f>SUMIF(RAW_File!D:D,C:C,RAW_File!K:K)</f>
        <v>0</v>
      </c>
      <c r="H396" s="41">
        <f>SUMIF(RAW_File!D:D,C:C,RAW_File!M:M)</f>
        <v>5000</v>
      </c>
      <c r="I396" s="40">
        <f t="shared" si="7"/>
        <v>5000</v>
      </c>
    </row>
    <row r="397" spans="1:9" hidden="1" x14ac:dyDescent="0.25">
      <c r="A397" s="36" t="s">
        <v>56</v>
      </c>
      <c r="B397" s="36" t="s">
        <v>119</v>
      </c>
      <c r="C397" s="36" t="s">
        <v>1503</v>
      </c>
      <c r="D397" s="37">
        <f>SUMIF(RAW_File!D:D,C:C,RAW_File!F:F)</f>
        <v>30894.493443478299</v>
      </c>
      <c r="E397" s="38">
        <f>SUMIF(RAW_File!D:D,C:C,RAW_File!G:G)</f>
        <v>23270</v>
      </c>
      <c r="F397" s="39">
        <f>SUMIF(RAW_File!D:D,C:C,RAW_File!I:I)</f>
        <v>36560</v>
      </c>
      <c r="G397" s="40">
        <f>SUMIF(RAW_File!D:D,C:C,RAW_File!K:K)</f>
        <v>40000</v>
      </c>
      <c r="H397" s="41">
        <f>SUMIF(RAW_File!D:D,C:C,RAW_File!M:M)</f>
        <v>0</v>
      </c>
      <c r="I397" s="40">
        <f t="shared" si="7"/>
        <v>40000</v>
      </c>
    </row>
    <row r="398" spans="1:9" hidden="1" x14ac:dyDescent="0.25">
      <c r="A398" s="36" t="s">
        <v>56</v>
      </c>
      <c r="B398" s="36" t="s">
        <v>1760</v>
      </c>
      <c r="C398" s="36" t="s">
        <v>1761</v>
      </c>
      <c r="D398" s="37">
        <f>SUMIF(RAW_File!D:D,C:C,RAW_File!F:F)</f>
        <v>15689.118761665321</v>
      </c>
      <c r="E398" s="38">
        <f>SUMIF(RAW_File!D:D,C:C,RAW_File!G:G)</f>
        <v>2070</v>
      </c>
      <c r="F398" s="39">
        <f>SUMIF(RAW_File!D:D,C:C,RAW_File!I:I)</f>
        <v>10530</v>
      </c>
      <c r="G398" s="40">
        <f>SUMIF(RAW_File!D:D,C:C,RAW_File!K:K)</f>
        <v>5000</v>
      </c>
      <c r="H398" s="41">
        <f>SUMIF(RAW_File!D:D,C:C,RAW_File!M:M)</f>
        <v>0</v>
      </c>
      <c r="I398" s="40">
        <f t="shared" si="7"/>
        <v>5000</v>
      </c>
    </row>
    <row r="399" spans="1:9" hidden="1" x14ac:dyDescent="0.25">
      <c r="A399" s="36" t="s">
        <v>56</v>
      </c>
      <c r="B399" s="36" t="s">
        <v>822</v>
      </c>
      <c r="C399" s="36" t="s">
        <v>1800</v>
      </c>
      <c r="D399" s="37">
        <f>SUMIF(RAW_File!D:D,C:C,RAW_File!F:F)</f>
        <v>8310.5601047349464</v>
      </c>
      <c r="E399" s="38">
        <f>SUMIF(RAW_File!D:D,C:C,RAW_File!G:G)</f>
        <v>0</v>
      </c>
      <c r="F399" s="39">
        <f>SUMIF(RAW_File!D:D,C:C,RAW_File!I:I)</f>
        <v>0</v>
      </c>
      <c r="G399" s="40">
        <f>SUMIF(RAW_File!D:D,C:C,RAW_File!K:K)</f>
        <v>6000</v>
      </c>
      <c r="H399" s="41">
        <f>SUMIF(RAW_File!D:D,C:C,RAW_File!M:M)</f>
        <v>0</v>
      </c>
      <c r="I399" s="40">
        <f t="shared" si="7"/>
        <v>6000</v>
      </c>
    </row>
    <row r="400" spans="1:9" hidden="1" x14ac:dyDescent="0.25">
      <c r="A400" s="36" t="s">
        <v>56</v>
      </c>
      <c r="B400" s="36" t="s">
        <v>1811</v>
      </c>
      <c r="C400" s="36" t="s">
        <v>1812</v>
      </c>
      <c r="D400" s="37">
        <f>SUMIF(RAW_File!D:D,C:C,RAW_File!F:F)</f>
        <v>3717.4299500000002</v>
      </c>
      <c r="E400" s="38">
        <f>SUMIF(RAW_File!D:D,C:C,RAW_File!G:G)</f>
        <v>20000</v>
      </c>
      <c r="F400" s="39">
        <f>SUMIF(RAW_File!D:D,C:C,RAW_File!I:I)</f>
        <v>22670</v>
      </c>
      <c r="G400" s="40">
        <f>SUMIF(RAW_File!D:D,C:C,RAW_File!K:K)</f>
        <v>20000</v>
      </c>
      <c r="H400" s="41">
        <f>SUMIF(RAW_File!D:D,C:C,RAW_File!M:M)</f>
        <v>0</v>
      </c>
      <c r="I400" s="40">
        <f t="shared" si="7"/>
        <v>20000</v>
      </c>
    </row>
    <row r="401" spans="1:9" hidden="1" x14ac:dyDescent="0.25">
      <c r="A401" s="36" t="s">
        <v>56</v>
      </c>
      <c r="B401" s="36" t="s">
        <v>1976</v>
      </c>
      <c r="C401" s="36" t="s">
        <v>1977</v>
      </c>
      <c r="D401" s="37">
        <f>SUMIF(RAW_File!D:D,C:C,RAW_File!F:F)</f>
        <v>202.8218</v>
      </c>
      <c r="E401" s="38">
        <f>SUMIF(RAW_File!D:D,C:C,RAW_File!G:G)</f>
        <v>0</v>
      </c>
      <c r="F401" s="39">
        <f>SUMIF(RAW_File!D:D,C:C,RAW_File!I:I)</f>
        <v>0</v>
      </c>
      <c r="G401" s="40">
        <f>SUMIF(RAW_File!D:D,C:C,RAW_File!K:K)</f>
        <v>0</v>
      </c>
      <c r="H401" s="41">
        <f>SUMIF(RAW_File!D:D,C:C,RAW_File!M:M)</f>
        <v>0</v>
      </c>
      <c r="I401" s="40">
        <f t="shared" si="7"/>
        <v>0</v>
      </c>
    </row>
    <row r="402" spans="1:9" hidden="1" x14ac:dyDescent="0.25">
      <c r="A402" s="36" t="s">
        <v>56</v>
      </c>
      <c r="B402" s="36" t="s">
        <v>2051</v>
      </c>
      <c r="C402" s="36" t="s">
        <v>2052</v>
      </c>
      <c r="D402" s="37">
        <f>SUMIF(RAW_File!D:D,C:C,RAW_File!F:F)</f>
        <v>30941.834299999999</v>
      </c>
      <c r="E402" s="38">
        <f>SUMIF(RAW_File!D:D,C:C,RAW_File!G:G)</f>
        <v>5520</v>
      </c>
      <c r="F402" s="39">
        <f>SUMIF(RAW_File!D:D,C:C,RAW_File!I:I)</f>
        <v>16780</v>
      </c>
      <c r="G402" s="40">
        <f>SUMIF(RAW_File!D:D,C:C,RAW_File!K:K)</f>
        <v>5000</v>
      </c>
      <c r="H402" s="41">
        <f>SUMIF(RAW_File!D:D,C:C,RAW_File!M:M)</f>
        <v>0</v>
      </c>
      <c r="I402" s="40">
        <f t="shared" si="7"/>
        <v>5000</v>
      </c>
    </row>
    <row r="403" spans="1:9" hidden="1" x14ac:dyDescent="0.25">
      <c r="A403" s="36" t="s">
        <v>56</v>
      </c>
      <c r="B403" s="36" t="s">
        <v>1207</v>
      </c>
      <c r="C403" s="36" t="s">
        <v>2161</v>
      </c>
      <c r="D403" s="37">
        <f>SUMIF(RAW_File!D:D,C:C,RAW_File!F:F)</f>
        <v>156.95215002399999</v>
      </c>
      <c r="E403" s="38">
        <f>SUMIF(RAW_File!D:D,C:C,RAW_File!G:G)</f>
        <v>4020</v>
      </c>
      <c r="F403" s="39">
        <f>SUMIF(RAW_File!D:D,C:C,RAW_File!I:I)</f>
        <v>5870</v>
      </c>
      <c r="G403" s="40">
        <f>SUMIF(RAW_File!D:D,C:C,RAW_File!K:K)</f>
        <v>5000</v>
      </c>
      <c r="H403" s="41">
        <f>SUMIF(RAW_File!D:D,C:C,RAW_File!M:M)</f>
        <v>10000</v>
      </c>
      <c r="I403" s="40">
        <f t="shared" si="7"/>
        <v>5000</v>
      </c>
    </row>
    <row r="404" spans="1:9" hidden="1" x14ac:dyDescent="0.25">
      <c r="A404" s="36" t="s">
        <v>56</v>
      </c>
      <c r="B404" s="36" t="s">
        <v>2249</v>
      </c>
      <c r="C404" s="36" t="s">
        <v>2250</v>
      </c>
      <c r="D404" s="37">
        <f>SUMIF(RAW_File!D:D,C:C,RAW_File!F:F)</f>
        <v>19356.078799999999</v>
      </c>
      <c r="E404" s="38">
        <f>SUMIF(RAW_File!D:D,C:C,RAW_File!G:G)</f>
        <v>5280</v>
      </c>
      <c r="F404" s="39">
        <f>SUMIF(RAW_File!D:D,C:C,RAW_File!I:I)</f>
        <v>16820</v>
      </c>
      <c r="G404" s="40">
        <f>SUMIF(RAW_File!D:D,C:C,RAW_File!K:K)</f>
        <v>0</v>
      </c>
      <c r="H404" s="41">
        <f>SUMIF(RAW_File!D:D,C:C,RAW_File!M:M)</f>
        <v>35000</v>
      </c>
      <c r="I404" s="40">
        <f t="shared" si="7"/>
        <v>35000</v>
      </c>
    </row>
    <row r="405" spans="1:9" hidden="1" x14ac:dyDescent="0.25">
      <c r="A405" s="36" t="s">
        <v>56</v>
      </c>
      <c r="B405" s="36" t="s">
        <v>2339</v>
      </c>
      <c r="C405" s="36" t="s">
        <v>2419</v>
      </c>
      <c r="D405" s="37">
        <f>SUMIF(RAW_File!D:D,C:C,RAW_File!F:F)</f>
        <v>309.15456201130092</v>
      </c>
      <c r="E405" s="38">
        <f>SUMIF(RAW_File!D:D,C:C,RAW_File!G:G)</f>
        <v>1805</v>
      </c>
      <c r="F405" s="39">
        <f>SUMIF(RAW_File!D:D,C:C,RAW_File!I:I)</f>
        <v>3095</v>
      </c>
      <c r="G405" s="40">
        <f>SUMIF(RAW_File!D:D,C:C,RAW_File!K:K)</f>
        <v>0</v>
      </c>
      <c r="H405" s="41">
        <f>SUMIF(RAW_File!D:D,C:C,RAW_File!M:M)</f>
        <v>10000</v>
      </c>
      <c r="I405" s="40">
        <f t="shared" si="7"/>
        <v>10000</v>
      </c>
    </row>
    <row r="406" spans="1:9" hidden="1" x14ac:dyDescent="0.25">
      <c r="A406" s="36" t="s">
        <v>56</v>
      </c>
      <c r="B406" s="36" t="s">
        <v>2420</v>
      </c>
      <c r="C406" s="36" t="s">
        <v>2421</v>
      </c>
      <c r="D406" s="37">
        <f>SUMIF(RAW_File!D:D,C:C,RAW_File!F:F)</f>
        <v>11237.677240877059</v>
      </c>
      <c r="E406" s="38">
        <f>SUMIF(RAW_File!D:D,C:C,RAW_File!G:G)</f>
        <v>19540</v>
      </c>
      <c r="F406" s="39">
        <f>SUMIF(RAW_File!D:D,C:C,RAW_File!I:I)</f>
        <v>30160</v>
      </c>
      <c r="G406" s="40">
        <f>SUMIF(RAW_File!D:D,C:C,RAW_File!K:K)</f>
        <v>10000</v>
      </c>
      <c r="H406" s="41">
        <f>SUMIF(RAW_File!D:D,C:C,RAW_File!M:M)</f>
        <v>0</v>
      </c>
      <c r="I406" s="40">
        <f t="shared" si="7"/>
        <v>10000</v>
      </c>
    </row>
    <row r="407" spans="1:9" hidden="1" x14ac:dyDescent="0.25">
      <c r="A407" s="36" t="s">
        <v>56</v>
      </c>
      <c r="B407" s="36" t="s">
        <v>2463</v>
      </c>
      <c r="C407" s="36" t="s">
        <v>2464</v>
      </c>
      <c r="D407" s="37">
        <f>SUMIF(RAW_File!D:D,C:C,RAW_File!F:F)</f>
        <v>49.414499999999997</v>
      </c>
      <c r="E407" s="38">
        <f>SUMIF(RAW_File!D:D,C:C,RAW_File!G:G)</f>
        <v>0</v>
      </c>
      <c r="F407" s="39">
        <f>SUMIF(RAW_File!D:D,C:C,RAW_File!I:I)</f>
        <v>0</v>
      </c>
      <c r="G407" s="40">
        <f>SUMIF(RAW_File!D:D,C:C,RAW_File!K:K)</f>
        <v>0</v>
      </c>
      <c r="H407" s="41">
        <f>SUMIF(RAW_File!D:D,C:C,RAW_File!M:M)</f>
        <v>0</v>
      </c>
      <c r="I407" s="40">
        <f t="shared" si="7"/>
        <v>0</v>
      </c>
    </row>
    <row r="408" spans="1:9" hidden="1" x14ac:dyDescent="0.25">
      <c r="A408" s="36" t="s">
        <v>56</v>
      </c>
      <c r="B408" s="36" t="s">
        <v>2561</v>
      </c>
      <c r="C408" s="36" t="s">
        <v>2562</v>
      </c>
      <c r="D408" s="37">
        <f>SUMIF(RAW_File!D:D,C:C,RAW_File!F:F)</f>
        <v>14282.043887982079</v>
      </c>
      <c r="E408" s="38">
        <f>SUMIF(RAW_File!D:D,C:C,RAW_File!G:G)</f>
        <v>5360</v>
      </c>
      <c r="F408" s="39">
        <f>SUMIF(RAW_File!D:D,C:C,RAW_File!I:I)</f>
        <v>20590</v>
      </c>
      <c r="G408" s="40">
        <f>SUMIF(RAW_File!D:D,C:C,RAW_File!K:K)</f>
        <v>5000</v>
      </c>
      <c r="H408" s="41">
        <f>SUMIF(RAW_File!D:D,C:C,RAW_File!M:M)</f>
        <v>0</v>
      </c>
      <c r="I408" s="40">
        <f t="shared" si="7"/>
        <v>5000</v>
      </c>
    </row>
    <row r="409" spans="1:9" hidden="1" x14ac:dyDescent="0.25">
      <c r="A409" s="36" t="s">
        <v>56</v>
      </c>
      <c r="B409" s="36" t="s">
        <v>2718</v>
      </c>
      <c r="C409" s="36" t="s">
        <v>2719</v>
      </c>
      <c r="D409" s="37">
        <f>SUMIF(RAW_File!D:D,C:C,RAW_File!F:F)</f>
        <v>53.740911967070048</v>
      </c>
      <c r="E409" s="38">
        <f>SUMIF(RAW_File!D:D,C:C,RAW_File!G:G)</f>
        <v>0</v>
      </c>
      <c r="F409" s="39">
        <f>SUMIF(RAW_File!D:D,C:C,RAW_File!I:I)</f>
        <v>9953</v>
      </c>
      <c r="G409" s="40">
        <f>SUMIF(RAW_File!D:D,C:C,RAW_File!K:K)</f>
        <v>0</v>
      </c>
      <c r="H409" s="41">
        <f>SUMIF(RAW_File!D:D,C:C,RAW_File!M:M)</f>
        <v>10000</v>
      </c>
      <c r="I409" s="40">
        <f t="shared" si="7"/>
        <v>10000</v>
      </c>
    </row>
    <row r="410" spans="1:9" hidden="1" x14ac:dyDescent="0.25">
      <c r="A410" s="36" t="s">
        <v>56</v>
      </c>
      <c r="B410" s="36" t="s">
        <v>3056</v>
      </c>
      <c r="C410" s="36" t="s">
        <v>3057</v>
      </c>
      <c r="D410" s="37">
        <f>SUMIF(RAW_File!D:D,C:C,RAW_File!F:F)</f>
        <v>7916.7810386818483</v>
      </c>
      <c r="E410" s="38">
        <f>SUMIF(RAW_File!D:D,C:C,RAW_File!G:G)</f>
        <v>1355</v>
      </c>
      <c r="F410" s="39">
        <f>SUMIF(RAW_File!D:D,C:C,RAW_File!I:I)</f>
        <v>7555</v>
      </c>
      <c r="G410" s="40">
        <f>SUMIF(RAW_File!D:D,C:C,RAW_File!K:K)</f>
        <v>0</v>
      </c>
      <c r="H410" s="41">
        <f>SUMIF(RAW_File!D:D,C:C,RAW_File!M:M)</f>
        <v>8000</v>
      </c>
      <c r="I410" s="40">
        <f t="shared" si="7"/>
        <v>8000</v>
      </c>
    </row>
    <row r="411" spans="1:9" hidden="1" x14ac:dyDescent="0.25">
      <c r="A411" s="36" t="s">
        <v>56</v>
      </c>
      <c r="B411" s="36" t="s">
        <v>3276</v>
      </c>
      <c r="C411" s="36" t="s">
        <v>3277</v>
      </c>
      <c r="D411" s="37">
        <f>SUMIF(RAW_File!D:D,C:C,RAW_File!F:F)</f>
        <v>1398.3303000000001</v>
      </c>
      <c r="E411" s="38">
        <f>SUMIF(RAW_File!D:D,C:C,RAW_File!G:G)</f>
        <v>13240</v>
      </c>
      <c r="F411" s="39">
        <f>SUMIF(RAW_File!D:D,C:C,RAW_File!I:I)</f>
        <v>35530</v>
      </c>
      <c r="G411" s="40">
        <f>SUMIF(RAW_File!D:D,C:C,RAW_File!K:K)</f>
        <v>5000</v>
      </c>
      <c r="H411" s="41">
        <f>SUMIF(RAW_File!D:D,C:C,RAW_File!M:M)</f>
        <v>25000</v>
      </c>
      <c r="I411" s="40">
        <f t="shared" si="7"/>
        <v>20000</v>
      </c>
    </row>
    <row r="412" spans="1:9" hidden="1" x14ac:dyDescent="0.25">
      <c r="A412" s="36" t="s">
        <v>56</v>
      </c>
      <c r="B412" s="36" t="s">
        <v>3287</v>
      </c>
      <c r="C412" s="36" t="s">
        <v>3288</v>
      </c>
      <c r="D412" s="37">
        <f>SUMIF(RAW_File!D:D,C:C,RAW_File!F:F)</f>
        <v>12608.4995965533</v>
      </c>
      <c r="E412" s="38">
        <f>SUMIF(RAW_File!D:D,C:C,RAW_File!G:G)</f>
        <v>7660</v>
      </c>
      <c r="F412" s="39">
        <f>SUMIF(RAW_File!D:D,C:C,RAW_File!I:I)</f>
        <v>30920</v>
      </c>
      <c r="G412" s="40">
        <f>SUMIF(RAW_File!D:D,C:C,RAW_File!K:K)</f>
        <v>0</v>
      </c>
      <c r="H412" s="41">
        <f>SUMIF(RAW_File!D:D,C:C,RAW_File!M:M)</f>
        <v>30000</v>
      </c>
      <c r="I412" s="40">
        <f t="shared" si="7"/>
        <v>30000</v>
      </c>
    </row>
    <row r="413" spans="1:9" hidden="1" x14ac:dyDescent="0.25">
      <c r="A413" s="36" t="s">
        <v>56</v>
      </c>
      <c r="B413" s="36" t="s">
        <v>3303</v>
      </c>
      <c r="C413" s="36" t="s">
        <v>3304</v>
      </c>
      <c r="D413" s="37">
        <f>SUMIF(RAW_File!D:D,C:C,RAW_File!F:F)</f>
        <v>22894.572981099329</v>
      </c>
      <c r="E413" s="38">
        <f>SUMIF(RAW_File!D:D,C:C,RAW_File!G:G)</f>
        <v>23670</v>
      </c>
      <c r="F413" s="39">
        <f>SUMIF(RAW_File!D:D,C:C,RAW_File!I:I)</f>
        <v>62900</v>
      </c>
      <c r="G413" s="40">
        <f>SUMIF(RAW_File!D:D,C:C,RAW_File!K:K)</f>
        <v>5000</v>
      </c>
      <c r="H413" s="41">
        <f>SUMIF(RAW_File!D:D,C:C,RAW_File!M:M)</f>
        <v>20000</v>
      </c>
      <c r="I413" s="40">
        <f t="shared" si="7"/>
        <v>15000</v>
      </c>
    </row>
    <row r="414" spans="1:9" hidden="1" x14ac:dyDescent="0.25">
      <c r="A414" s="42" t="s">
        <v>56</v>
      </c>
      <c r="B414" s="36" t="s">
        <v>3313</v>
      </c>
      <c r="C414" s="36" t="s">
        <v>3314</v>
      </c>
      <c r="D414" s="37">
        <f>SUMIF(RAW_File!D:D,C:C,RAW_File!F:F)</f>
        <v>5180.4494304961254</v>
      </c>
      <c r="E414" s="38">
        <f>SUMIF(RAW_File!D:D,C:C,RAW_File!G:G)</f>
        <v>0</v>
      </c>
      <c r="F414" s="39">
        <f>SUMIF(RAW_File!D:D,C:C,RAW_File!I:I)</f>
        <v>500</v>
      </c>
      <c r="G414" s="40">
        <f>SUMIF(RAW_File!D:D,C:C,RAW_File!K:K)</f>
        <v>5000</v>
      </c>
      <c r="H414" s="41">
        <f>SUMIF(RAW_File!D:D,C:C,RAW_File!M:M)</f>
        <v>0</v>
      </c>
      <c r="I414" s="40">
        <f t="shared" si="7"/>
        <v>5000</v>
      </c>
    </row>
    <row r="415" spans="1:9" hidden="1" x14ac:dyDescent="0.25">
      <c r="A415" s="36" t="s">
        <v>56</v>
      </c>
      <c r="B415" s="36" t="s">
        <v>3443</v>
      </c>
      <c r="C415" s="36" t="s">
        <v>3444</v>
      </c>
      <c r="D415" s="37">
        <f>SUMIF(RAW_File!D:D,C:C,RAW_File!F:F)</f>
        <v>2330.5045130434</v>
      </c>
      <c r="E415" s="38">
        <f>SUMIF(RAW_File!D:D,C:C,RAW_File!G:G)</f>
        <v>18040</v>
      </c>
      <c r="F415" s="39">
        <f>SUMIF(RAW_File!D:D,C:C,RAW_File!I:I)</f>
        <v>27280</v>
      </c>
      <c r="G415" s="40">
        <f>SUMIF(RAW_File!D:D,C:C,RAW_File!K:K)</f>
        <v>10000</v>
      </c>
      <c r="H415" s="41">
        <f>SUMIF(RAW_File!D:D,C:C,RAW_File!M:M)</f>
        <v>0</v>
      </c>
      <c r="I415" s="40">
        <f t="shared" si="7"/>
        <v>10000</v>
      </c>
    </row>
    <row r="416" spans="1:9" hidden="1" x14ac:dyDescent="0.25">
      <c r="A416" s="36" t="s">
        <v>56</v>
      </c>
      <c r="B416" s="36" t="s">
        <v>1495</v>
      </c>
      <c r="C416" s="36" t="s">
        <v>3459</v>
      </c>
      <c r="D416" s="37">
        <f>SUMIF(RAW_File!D:D,C:C,RAW_File!F:F)</f>
        <v>748.45732427817745</v>
      </c>
      <c r="E416" s="38">
        <f>SUMIF(RAW_File!D:D,C:C,RAW_File!G:G)</f>
        <v>230</v>
      </c>
      <c r="F416" s="39">
        <f>SUMIF(RAW_File!D:D,C:C,RAW_File!I:I)</f>
        <v>11630</v>
      </c>
      <c r="G416" s="40">
        <f>SUMIF(RAW_File!D:D,C:C,RAW_File!K:K)</f>
        <v>5000</v>
      </c>
      <c r="H416" s="41">
        <f>SUMIF(RAW_File!D:D,C:C,RAW_File!M:M)</f>
        <v>15000</v>
      </c>
      <c r="I416" s="40">
        <f t="shared" si="7"/>
        <v>10000</v>
      </c>
    </row>
    <row r="417" spans="1:9" hidden="1" x14ac:dyDescent="0.25">
      <c r="A417" s="36" t="s">
        <v>70</v>
      </c>
      <c r="B417" s="36" t="s">
        <v>157</v>
      </c>
      <c r="C417" s="36" t="s">
        <v>158</v>
      </c>
      <c r="D417" s="37">
        <f>SUMIF(RAW_File!D:D,C:C,RAW_File!F:F)</f>
        <v>918.59026996652108</v>
      </c>
      <c r="E417" s="38">
        <f>SUMIF(RAW_File!D:D,C:C,RAW_File!G:G)</f>
        <v>1200</v>
      </c>
      <c r="F417" s="39">
        <f>SUMIF(RAW_File!D:D,C:C,RAW_File!I:I)</f>
        <v>1300</v>
      </c>
      <c r="G417" s="40">
        <f>SUMIF(RAW_File!D:D,C:C,RAW_File!K:K)</f>
        <v>0</v>
      </c>
      <c r="H417" s="41">
        <f>SUMIF(RAW_File!D:D,C:C,RAW_File!M:M)</f>
        <v>0</v>
      </c>
      <c r="I417" s="40">
        <f t="shared" ref="I417:I450" si="8">ABS(G417-H417)</f>
        <v>0</v>
      </c>
    </row>
    <row r="418" spans="1:9" hidden="1" x14ac:dyDescent="0.25">
      <c r="A418" s="36" t="s">
        <v>70</v>
      </c>
      <c r="B418" s="36" t="s">
        <v>403</v>
      </c>
      <c r="C418" s="36" t="s">
        <v>404</v>
      </c>
      <c r="D418" s="37">
        <f>SUMIF(RAW_File!D:D,C:C,RAW_File!F:F)</f>
        <v>141.91436426331711</v>
      </c>
      <c r="E418" s="38">
        <f>SUMIF(RAW_File!D:D,C:C,RAW_File!G:G)</f>
        <v>30000</v>
      </c>
      <c r="F418" s="39">
        <f>SUMIF(RAW_File!D:D,C:C,RAW_File!I:I)</f>
        <v>30000</v>
      </c>
      <c r="G418" s="40">
        <f>SUMIF(RAW_File!D:D,C:C,RAW_File!K:K)</f>
        <v>30000</v>
      </c>
      <c r="H418" s="41">
        <f>SUMIF(RAW_File!D:D,C:C,RAW_File!M:M)</f>
        <v>0</v>
      </c>
      <c r="I418" s="40">
        <f t="shared" si="8"/>
        <v>30000</v>
      </c>
    </row>
    <row r="419" spans="1:9" hidden="1" x14ac:dyDescent="0.25">
      <c r="A419" s="36" t="s">
        <v>70</v>
      </c>
      <c r="B419" s="36" t="s">
        <v>513</v>
      </c>
      <c r="C419" s="36" t="s">
        <v>514</v>
      </c>
      <c r="D419" s="37">
        <f>SUMIF(RAW_File!D:D,C:C,RAW_File!F:F)</f>
        <v>1774.8923</v>
      </c>
      <c r="E419" s="38">
        <f>SUMIF(RAW_File!D:D,C:C,RAW_File!G:G)</f>
        <v>800</v>
      </c>
      <c r="F419" s="39">
        <f>SUMIF(RAW_File!D:D,C:C,RAW_File!I:I)</f>
        <v>7690</v>
      </c>
      <c r="G419" s="40">
        <f>SUMIF(RAW_File!D:D,C:C,RAW_File!K:K)</f>
        <v>0</v>
      </c>
      <c r="H419" s="41">
        <f>SUMIF(RAW_File!D:D,C:C,RAW_File!M:M)</f>
        <v>20000</v>
      </c>
      <c r="I419" s="40">
        <f t="shared" si="8"/>
        <v>20000</v>
      </c>
    </row>
    <row r="420" spans="1:9" hidden="1" x14ac:dyDescent="0.25">
      <c r="A420" s="36" t="s">
        <v>70</v>
      </c>
      <c r="B420" s="36" t="s">
        <v>626</v>
      </c>
      <c r="C420" s="36" t="s">
        <v>627</v>
      </c>
      <c r="D420" s="37">
        <f>SUMIF(RAW_File!D:D,C:C,RAW_File!F:F)</f>
        <v>13617.92652330575</v>
      </c>
      <c r="E420" s="38">
        <f>SUMIF(RAW_File!D:D,C:C,RAW_File!G:G)</f>
        <v>15430</v>
      </c>
      <c r="F420" s="39">
        <f>SUMIF(RAW_File!D:D,C:C,RAW_File!I:I)</f>
        <v>35610</v>
      </c>
      <c r="G420" s="40">
        <f>SUMIF(RAW_File!D:D,C:C,RAW_File!K:K)</f>
        <v>0</v>
      </c>
      <c r="H420" s="41">
        <f>SUMIF(RAW_File!D:D,C:C,RAW_File!M:M)</f>
        <v>20000</v>
      </c>
      <c r="I420" s="40">
        <f t="shared" si="8"/>
        <v>20000</v>
      </c>
    </row>
    <row r="421" spans="1:9" hidden="1" x14ac:dyDescent="0.25">
      <c r="A421" s="36" t="s">
        <v>70</v>
      </c>
      <c r="B421" s="36" t="s">
        <v>665</v>
      </c>
      <c r="C421" s="36" t="s">
        <v>666</v>
      </c>
      <c r="D421" s="37">
        <f>SUMIF(RAW_File!D:D,C:C,RAW_File!F:F)</f>
        <v>24.842248000000001</v>
      </c>
      <c r="E421" s="38">
        <f>SUMIF(RAW_File!D:D,C:C,RAW_File!G:G)</f>
        <v>100</v>
      </c>
      <c r="F421" s="39">
        <f>SUMIF(RAW_File!D:D,C:C,RAW_File!I:I)</f>
        <v>100</v>
      </c>
      <c r="G421" s="40">
        <f>SUMIF(RAW_File!D:D,C:C,RAW_File!K:K)</f>
        <v>5000</v>
      </c>
      <c r="H421" s="41">
        <f>SUMIF(RAW_File!D:D,C:C,RAW_File!M:M)</f>
        <v>0</v>
      </c>
      <c r="I421" s="40">
        <f t="shared" si="8"/>
        <v>5000</v>
      </c>
    </row>
    <row r="422" spans="1:9" hidden="1" x14ac:dyDescent="0.25">
      <c r="A422" s="36" t="s">
        <v>70</v>
      </c>
      <c r="B422" s="36" t="s">
        <v>801</v>
      </c>
      <c r="C422" s="36" t="s">
        <v>802</v>
      </c>
      <c r="D422" s="37">
        <f>SUMIF(RAW_File!D:D,C:C,RAW_File!F:F)</f>
        <v>18768.38332124415</v>
      </c>
      <c r="E422" s="38">
        <f>SUMIF(RAW_File!D:D,C:C,RAW_File!G:G)</f>
        <v>59010</v>
      </c>
      <c r="F422" s="39">
        <f>SUMIF(RAW_File!D:D,C:C,RAW_File!I:I)</f>
        <v>94800</v>
      </c>
      <c r="G422" s="40">
        <f>SUMIF(RAW_File!D:D,C:C,RAW_File!K:K)</f>
        <v>12000</v>
      </c>
      <c r="H422" s="41">
        <f>SUMIF(RAW_File!D:D,C:C,RAW_File!M:M)</f>
        <v>7000</v>
      </c>
      <c r="I422" s="40">
        <f t="shared" si="8"/>
        <v>5000</v>
      </c>
    </row>
    <row r="423" spans="1:9" hidden="1" x14ac:dyDescent="0.25">
      <c r="A423" s="36" t="s">
        <v>70</v>
      </c>
      <c r="B423" s="36" t="s">
        <v>842</v>
      </c>
      <c r="C423" s="36" t="s">
        <v>843</v>
      </c>
      <c r="D423" s="37">
        <f>SUMIF(RAW_File!D:D,C:C,RAW_File!F:F)</f>
        <v>9438.3757500095999</v>
      </c>
      <c r="E423" s="38">
        <f>SUMIF(RAW_File!D:D,C:C,RAW_File!G:G)</f>
        <v>0</v>
      </c>
      <c r="F423" s="39">
        <f>SUMIF(RAW_File!D:D,C:C,RAW_File!I:I)</f>
        <v>0</v>
      </c>
      <c r="G423" s="40">
        <f>SUMIF(RAW_File!D:D,C:C,RAW_File!K:K)</f>
        <v>5000</v>
      </c>
      <c r="H423" s="41">
        <f>SUMIF(RAW_File!D:D,C:C,RAW_File!M:M)</f>
        <v>0</v>
      </c>
      <c r="I423" s="40">
        <f t="shared" si="8"/>
        <v>5000</v>
      </c>
    </row>
    <row r="424" spans="1:9" hidden="1" x14ac:dyDescent="0.25">
      <c r="A424" s="36" t="s">
        <v>70</v>
      </c>
      <c r="B424" s="36" t="s">
        <v>854</v>
      </c>
      <c r="C424" s="36" t="s">
        <v>855</v>
      </c>
      <c r="D424" s="37">
        <f>SUMIF(RAW_File!D:D,C:C,RAW_File!F:F)</f>
        <v>6836.9934859180948</v>
      </c>
      <c r="E424" s="38">
        <f>SUMIF(RAW_File!D:D,C:C,RAW_File!G:G)</f>
        <v>16090</v>
      </c>
      <c r="F424" s="39">
        <f>SUMIF(RAW_File!D:D,C:C,RAW_File!I:I)</f>
        <v>21690</v>
      </c>
      <c r="G424" s="40">
        <f>SUMIF(RAW_File!D:D,C:C,RAW_File!K:K)</f>
        <v>10000</v>
      </c>
      <c r="H424" s="41">
        <f>SUMIF(RAW_File!D:D,C:C,RAW_File!M:M)</f>
        <v>5000</v>
      </c>
      <c r="I424" s="40">
        <f t="shared" si="8"/>
        <v>5000</v>
      </c>
    </row>
    <row r="425" spans="1:9" hidden="1" x14ac:dyDescent="0.25">
      <c r="A425" s="36" t="s">
        <v>70</v>
      </c>
      <c r="B425" s="36" t="s">
        <v>915</v>
      </c>
      <c r="C425" s="36" t="s">
        <v>916</v>
      </c>
      <c r="D425" s="37">
        <f>SUMIF(RAW_File!D:D,C:C,RAW_File!F:F)</f>
        <v>453.14349404158531</v>
      </c>
      <c r="E425" s="38">
        <f>SUMIF(RAW_File!D:D,C:C,RAW_File!G:G)</f>
        <v>18750</v>
      </c>
      <c r="F425" s="39">
        <f>SUMIF(RAW_File!D:D,C:C,RAW_File!I:I)</f>
        <v>28815</v>
      </c>
      <c r="G425" s="40">
        <f>SUMIF(RAW_File!D:D,C:C,RAW_File!K:K)</f>
        <v>10000</v>
      </c>
      <c r="H425" s="41">
        <f>SUMIF(RAW_File!D:D,C:C,RAW_File!M:M)</f>
        <v>0</v>
      </c>
      <c r="I425" s="40">
        <f t="shared" si="8"/>
        <v>10000</v>
      </c>
    </row>
    <row r="426" spans="1:9" hidden="1" x14ac:dyDescent="0.25">
      <c r="A426" s="36" t="s">
        <v>70</v>
      </c>
      <c r="B426" s="36" t="s">
        <v>1005</v>
      </c>
      <c r="C426" s="36" t="s">
        <v>1006</v>
      </c>
      <c r="D426" s="37">
        <f>SUMIF(RAW_File!D:D,C:C,RAW_File!F:F)</f>
        <v>973.94219999999996</v>
      </c>
      <c r="E426" s="38">
        <f>SUMIF(RAW_File!D:D,C:C,RAW_File!G:G)</f>
        <v>0</v>
      </c>
      <c r="F426" s="39">
        <f>SUMIF(RAW_File!D:D,C:C,RAW_File!I:I)</f>
        <v>48330</v>
      </c>
      <c r="G426" s="40">
        <f>SUMIF(RAW_File!D:D,C:C,RAW_File!K:K)</f>
        <v>0</v>
      </c>
      <c r="H426" s="41">
        <f>SUMIF(RAW_File!D:D,C:C,RAW_File!M:M)</f>
        <v>55000</v>
      </c>
      <c r="I426" s="40">
        <f t="shared" si="8"/>
        <v>55000</v>
      </c>
    </row>
    <row r="427" spans="1:9" hidden="1" x14ac:dyDescent="0.25">
      <c r="A427" s="36" t="s">
        <v>70</v>
      </c>
      <c r="B427" s="36" t="s">
        <v>1051</v>
      </c>
      <c r="C427" s="36" t="s">
        <v>1052</v>
      </c>
      <c r="D427" s="37">
        <f>SUMIF(RAW_File!D:D,C:C,RAW_File!F:F)</f>
        <v>85.945499999999996</v>
      </c>
      <c r="E427" s="38">
        <f>SUMIF(RAW_File!D:D,C:C,RAW_File!G:G)</f>
        <v>0</v>
      </c>
      <c r="F427" s="39">
        <f>SUMIF(RAW_File!D:D,C:C,RAW_File!I:I)</f>
        <v>0</v>
      </c>
      <c r="G427" s="40">
        <f>SUMIF(RAW_File!D:D,C:C,RAW_File!K:K)</f>
        <v>0</v>
      </c>
      <c r="H427" s="41">
        <f>SUMIF(RAW_File!D:D,C:C,RAW_File!M:M)</f>
        <v>0</v>
      </c>
      <c r="I427" s="40">
        <f t="shared" si="8"/>
        <v>0</v>
      </c>
    </row>
    <row r="428" spans="1:9" hidden="1" x14ac:dyDescent="0.25">
      <c r="A428" s="36" t="s">
        <v>70</v>
      </c>
      <c r="B428" s="36" t="s">
        <v>1120</v>
      </c>
      <c r="C428" s="36" t="s">
        <v>1121</v>
      </c>
      <c r="D428" s="37">
        <f>SUMIF(RAW_File!D:D,C:C,RAW_File!F:F)</f>
        <v>22839.039386956701</v>
      </c>
      <c r="E428" s="38">
        <f>SUMIF(RAW_File!D:D,C:C,RAW_File!G:G)</f>
        <v>20260</v>
      </c>
      <c r="F428" s="39">
        <f>SUMIF(RAW_File!D:D,C:C,RAW_File!I:I)</f>
        <v>31260</v>
      </c>
      <c r="G428" s="40">
        <f>SUMIF(RAW_File!D:D,C:C,RAW_File!K:K)</f>
        <v>22000</v>
      </c>
      <c r="H428" s="41">
        <f>SUMIF(RAW_File!D:D,C:C,RAW_File!M:M)</f>
        <v>0</v>
      </c>
      <c r="I428" s="40">
        <f t="shared" si="8"/>
        <v>22000</v>
      </c>
    </row>
    <row r="429" spans="1:9" hidden="1" x14ac:dyDescent="0.25">
      <c r="A429" s="36" t="s">
        <v>70</v>
      </c>
      <c r="B429" s="36" t="s">
        <v>1184</v>
      </c>
      <c r="C429" s="36" t="s">
        <v>1185</v>
      </c>
      <c r="D429" s="37">
        <f>SUMIF(RAW_File!D:D,C:C,RAW_File!F:F)</f>
        <v>337.36873342195031</v>
      </c>
      <c r="E429" s="38">
        <f>SUMIF(RAW_File!D:D,C:C,RAW_File!G:G)</f>
        <v>12977</v>
      </c>
      <c r="F429" s="39">
        <f>SUMIF(RAW_File!D:D,C:C,RAW_File!I:I)</f>
        <v>19464</v>
      </c>
      <c r="G429" s="40">
        <f>SUMIF(RAW_File!D:D,C:C,RAW_File!K:K)</f>
        <v>10000</v>
      </c>
      <c r="H429" s="41">
        <f>SUMIF(RAW_File!D:D,C:C,RAW_File!M:M)</f>
        <v>1500</v>
      </c>
      <c r="I429" s="40">
        <f t="shared" si="8"/>
        <v>8500</v>
      </c>
    </row>
    <row r="430" spans="1:9" hidden="1" x14ac:dyDescent="0.25">
      <c r="A430" s="36" t="s">
        <v>70</v>
      </c>
      <c r="B430" s="36" t="s">
        <v>1239</v>
      </c>
      <c r="C430" s="36" t="s">
        <v>1240</v>
      </c>
      <c r="D430" s="37">
        <f>SUMIF(RAW_File!D:D,C:C,RAW_File!F:F)</f>
        <v>3489.4115752258981</v>
      </c>
      <c r="E430" s="38">
        <f>SUMIF(RAW_File!D:D,C:C,RAW_File!G:G)</f>
        <v>6090</v>
      </c>
      <c r="F430" s="39">
        <f>SUMIF(RAW_File!D:D,C:C,RAW_File!I:I)</f>
        <v>19430</v>
      </c>
      <c r="G430" s="40">
        <f>SUMIF(RAW_File!D:D,C:C,RAW_File!K:K)</f>
        <v>0</v>
      </c>
      <c r="H430" s="41">
        <f>SUMIF(RAW_File!D:D,C:C,RAW_File!M:M)</f>
        <v>35000</v>
      </c>
      <c r="I430" s="40">
        <f t="shared" si="8"/>
        <v>35000</v>
      </c>
    </row>
    <row r="431" spans="1:9" hidden="1" x14ac:dyDescent="0.25">
      <c r="A431" s="36" t="s">
        <v>70</v>
      </c>
      <c r="B431" s="36" t="s">
        <v>1305</v>
      </c>
      <c r="C431" s="36" t="s">
        <v>1306</v>
      </c>
      <c r="D431" s="37">
        <f>SUMIF(RAW_File!D:D,C:C,RAW_File!F:F)</f>
        <v>5543.1127555963867</v>
      </c>
      <c r="E431" s="38">
        <f>SUMIF(RAW_File!D:D,C:C,RAW_File!G:G)</f>
        <v>1600</v>
      </c>
      <c r="F431" s="39">
        <f>SUMIF(RAW_File!D:D,C:C,RAW_File!I:I)</f>
        <v>1600</v>
      </c>
      <c r="G431" s="40">
        <f>SUMIF(RAW_File!D:D,C:C,RAW_File!K:K)</f>
        <v>5000</v>
      </c>
      <c r="H431" s="41">
        <f>SUMIF(RAW_File!D:D,C:C,RAW_File!M:M)</f>
        <v>0</v>
      </c>
      <c r="I431" s="40">
        <f t="shared" si="8"/>
        <v>5000</v>
      </c>
    </row>
    <row r="432" spans="1:9" hidden="1" x14ac:dyDescent="0.25">
      <c r="A432" s="36" t="s">
        <v>70</v>
      </c>
      <c r="B432" s="36" t="s">
        <v>1354</v>
      </c>
      <c r="C432" s="36" t="s">
        <v>1355</v>
      </c>
      <c r="D432" s="37">
        <f>SUMIF(RAW_File!D:D,C:C,RAW_File!F:F)</f>
        <v>31808.14584358643</v>
      </c>
      <c r="E432" s="38">
        <f>SUMIF(RAW_File!D:D,C:C,RAW_File!G:G)</f>
        <v>12070</v>
      </c>
      <c r="F432" s="39">
        <f>SUMIF(RAW_File!D:D,C:C,RAW_File!I:I)</f>
        <v>60540</v>
      </c>
      <c r="G432" s="40">
        <f>SUMIF(RAW_File!D:D,C:C,RAW_File!K:K)</f>
        <v>0</v>
      </c>
      <c r="H432" s="41">
        <f>SUMIF(RAW_File!D:D,C:C,RAW_File!M:M)</f>
        <v>30000</v>
      </c>
      <c r="I432" s="40">
        <f t="shared" si="8"/>
        <v>30000</v>
      </c>
    </row>
    <row r="433" spans="1:9" hidden="1" x14ac:dyDescent="0.25">
      <c r="A433" s="36" t="s">
        <v>70</v>
      </c>
      <c r="B433" s="36" t="s">
        <v>1460</v>
      </c>
      <c r="C433" s="36" t="s">
        <v>1461</v>
      </c>
      <c r="D433" s="37">
        <f>SUMIF(RAW_File!D:D,C:C,RAW_File!F:F)</f>
        <v>22870.310743478301</v>
      </c>
      <c r="E433" s="38">
        <f>SUMIF(RAW_File!D:D,C:C,RAW_File!G:G)</f>
        <v>6020</v>
      </c>
      <c r="F433" s="39">
        <f>SUMIF(RAW_File!D:D,C:C,RAW_File!I:I)</f>
        <v>14965</v>
      </c>
      <c r="G433" s="40">
        <f>SUMIF(RAW_File!D:D,C:C,RAW_File!K:K)</f>
        <v>0</v>
      </c>
      <c r="H433" s="41">
        <f>SUMIF(RAW_File!D:D,C:C,RAW_File!M:M)</f>
        <v>0</v>
      </c>
      <c r="I433" s="40">
        <f t="shared" si="8"/>
        <v>0</v>
      </c>
    </row>
    <row r="434" spans="1:9" hidden="1" x14ac:dyDescent="0.25">
      <c r="A434" s="36" t="s">
        <v>70</v>
      </c>
      <c r="B434" s="36" t="s">
        <v>1480</v>
      </c>
      <c r="C434" s="36" t="s">
        <v>1481</v>
      </c>
      <c r="D434" s="37">
        <f>SUMIF(RAW_File!D:D,C:C,RAW_File!F:F)</f>
        <v>45148.840928028512</v>
      </c>
      <c r="E434" s="38">
        <f>SUMIF(RAW_File!D:D,C:C,RAW_File!G:G)</f>
        <v>22941</v>
      </c>
      <c r="F434" s="39">
        <f>SUMIF(RAW_File!D:D,C:C,RAW_File!I:I)</f>
        <v>62116</v>
      </c>
      <c r="G434" s="40">
        <f>SUMIF(RAW_File!D:D,C:C,RAW_File!K:K)</f>
        <v>25000</v>
      </c>
      <c r="H434" s="41">
        <f>SUMIF(RAW_File!D:D,C:C,RAW_File!M:M)</f>
        <v>20000</v>
      </c>
      <c r="I434" s="40">
        <f t="shared" si="8"/>
        <v>5000</v>
      </c>
    </row>
    <row r="435" spans="1:9" hidden="1" x14ac:dyDescent="0.25">
      <c r="A435" s="36" t="s">
        <v>70</v>
      </c>
      <c r="B435" s="36" t="s">
        <v>1518</v>
      </c>
      <c r="C435" s="36" t="s">
        <v>1519</v>
      </c>
      <c r="D435" s="37">
        <f>SUMIF(RAW_File!D:D,C:C,RAW_File!F:F)</f>
        <v>27921.573899999999</v>
      </c>
      <c r="E435" s="38">
        <f>SUMIF(RAW_File!D:D,C:C,RAW_File!G:G)</f>
        <v>3520</v>
      </c>
      <c r="F435" s="39">
        <f>SUMIF(RAW_File!D:D,C:C,RAW_File!I:I)</f>
        <v>21075</v>
      </c>
      <c r="G435" s="40">
        <f>SUMIF(RAW_File!D:D,C:C,RAW_File!K:K)</f>
        <v>0</v>
      </c>
      <c r="H435" s="41">
        <f>SUMIF(RAW_File!D:D,C:C,RAW_File!M:M)</f>
        <v>13000</v>
      </c>
      <c r="I435" s="40">
        <f t="shared" si="8"/>
        <v>13000</v>
      </c>
    </row>
    <row r="436" spans="1:9" hidden="1" x14ac:dyDescent="0.25">
      <c r="A436" s="36" t="s">
        <v>70</v>
      </c>
      <c r="B436" s="36" t="s">
        <v>1635</v>
      </c>
      <c r="C436" s="36" t="s">
        <v>1636</v>
      </c>
      <c r="D436" s="37">
        <f>SUMIF(RAW_File!D:D,C:C,RAW_File!F:F)</f>
        <v>1723.6170054782999</v>
      </c>
      <c r="E436" s="38">
        <f>SUMIF(RAW_File!D:D,C:C,RAW_File!G:G)</f>
        <v>400</v>
      </c>
      <c r="F436" s="39">
        <f>SUMIF(RAW_File!D:D,C:C,RAW_File!I:I)</f>
        <v>22570</v>
      </c>
      <c r="G436" s="40">
        <f>SUMIF(RAW_File!D:D,C:C,RAW_File!K:K)</f>
        <v>0</v>
      </c>
      <c r="H436" s="41">
        <f>SUMIF(RAW_File!D:D,C:C,RAW_File!M:M)</f>
        <v>24000</v>
      </c>
      <c r="I436" s="40">
        <f t="shared" si="8"/>
        <v>24000</v>
      </c>
    </row>
    <row r="437" spans="1:9" hidden="1" x14ac:dyDescent="0.25">
      <c r="A437" s="36" t="s">
        <v>70</v>
      </c>
      <c r="B437" s="36" t="s">
        <v>1730</v>
      </c>
      <c r="C437" s="36" t="s">
        <v>1731</v>
      </c>
      <c r="D437" s="37">
        <f>SUMIF(RAW_File!D:D,C:C,RAW_File!F:F)</f>
        <v>17589.297299999998</v>
      </c>
      <c r="E437" s="38">
        <f>SUMIF(RAW_File!D:D,C:C,RAW_File!G:G)</f>
        <v>4415</v>
      </c>
      <c r="F437" s="39">
        <f>SUMIF(RAW_File!D:D,C:C,RAW_File!I:I)</f>
        <v>12855</v>
      </c>
      <c r="G437" s="40">
        <f>SUMIF(RAW_File!D:D,C:C,RAW_File!K:K)</f>
        <v>10000</v>
      </c>
      <c r="H437" s="41">
        <f>SUMIF(RAW_File!D:D,C:C,RAW_File!M:M)</f>
        <v>4000</v>
      </c>
      <c r="I437" s="40">
        <f t="shared" si="8"/>
        <v>6000</v>
      </c>
    </row>
    <row r="438" spans="1:9" hidden="1" x14ac:dyDescent="0.25">
      <c r="A438" s="36" t="s">
        <v>70</v>
      </c>
      <c r="B438" s="36" t="s">
        <v>1857</v>
      </c>
      <c r="C438" s="36" t="s">
        <v>1858</v>
      </c>
      <c r="D438" s="37">
        <f>SUMIF(RAW_File!D:D,C:C,RAW_File!F:F)</f>
        <v>44796.148806914818</v>
      </c>
      <c r="E438" s="38">
        <f>SUMIF(RAW_File!D:D,C:C,RAW_File!G:G)</f>
        <v>168145</v>
      </c>
      <c r="F438" s="39">
        <f>SUMIF(RAW_File!D:D,C:C,RAW_File!I:I)</f>
        <v>188955</v>
      </c>
      <c r="G438" s="40">
        <f>SUMIF(RAW_File!D:D,C:C,RAW_File!K:K)</f>
        <v>130000</v>
      </c>
      <c r="H438" s="41">
        <f>SUMIF(RAW_File!D:D,C:C,RAW_File!M:M)</f>
        <v>0</v>
      </c>
      <c r="I438" s="40">
        <f t="shared" si="8"/>
        <v>130000</v>
      </c>
    </row>
    <row r="439" spans="1:9" hidden="1" x14ac:dyDescent="0.25">
      <c r="A439" s="36" t="s">
        <v>70</v>
      </c>
      <c r="B439" s="36" t="s">
        <v>2033</v>
      </c>
      <c r="C439" s="36" t="s">
        <v>2034</v>
      </c>
      <c r="D439" s="37">
        <f>SUMIF(RAW_File!D:D,C:C,RAW_File!F:F)</f>
        <v>30544.51421381193</v>
      </c>
      <c r="E439" s="38">
        <f>SUMIF(RAW_File!D:D,C:C,RAW_File!G:G)</f>
        <v>7680</v>
      </c>
      <c r="F439" s="39">
        <f>SUMIF(RAW_File!D:D,C:C,RAW_File!I:I)</f>
        <v>11380</v>
      </c>
      <c r="G439" s="40">
        <f>SUMIF(RAW_File!D:D,C:C,RAW_File!K:K)</f>
        <v>30000</v>
      </c>
      <c r="H439" s="41">
        <f>SUMIF(RAW_File!D:D,C:C,RAW_File!M:M)</f>
        <v>0</v>
      </c>
      <c r="I439" s="40">
        <f t="shared" si="8"/>
        <v>30000</v>
      </c>
    </row>
    <row r="440" spans="1:9" hidden="1" x14ac:dyDescent="0.25">
      <c r="A440" s="36" t="s">
        <v>70</v>
      </c>
      <c r="B440" s="36" t="s">
        <v>2047</v>
      </c>
      <c r="C440" s="36" t="s">
        <v>2048</v>
      </c>
      <c r="D440" s="37">
        <f>SUMIF(RAW_File!D:D,C:C,RAW_File!F:F)</f>
        <v>30370.7693</v>
      </c>
      <c r="E440" s="38">
        <f>SUMIF(RAW_File!D:D,C:C,RAW_File!G:G)</f>
        <v>12890</v>
      </c>
      <c r="F440" s="39">
        <f>SUMIF(RAW_File!D:D,C:C,RAW_File!I:I)</f>
        <v>16230</v>
      </c>
      <c r="G440" s="40">
        <f>SUMIF(RAW_File!D:D,C:C,RAW_File!K:K)</f>
        <v>5000</v>
      </c>
      <c r="H440" s="41">
        <f>SUMIF(RAW_File!D:D,C:C,RAW_File!M:M)</f>
        <v>0</v>
      </c>
      <c r="I440" s="40">
        <f t="shared" si="8"/>
        <v>5000</v>
      </c>
    </row>
    <row r="441" spans="1:9" hidden="1" x14ac:dyDescent="0.25">
      <c r="A441" s="36" t="s">
        <v>70</v>
      </c>
      <c r="B441" s="36" t="s">
        <v>2049</v>
      </c>
      <c r="C441" s="36" t="s">
        <v>2050</v>
      </c>
      <c r="D441" s="37">
        <f>SUMIF(RAW_File!D:D,C:C,RAW_File!F:F)</f>
        <v>643.37144999999998</v>
      </c>
      <c r="E441" s="38">
        <f>SUMIF(RAW_File!D:D,C:C,RAW_File!G:G)</f>
        <v>8750</v>
      </c>
      <c r="F441" s="39">
        <f>SUMIF(RAW_File!D:D,C:C,RAW_File!I:I)</f>
        <v>23950</v>
      </c>
      <c r="G441" s="40">
        <f>SUMIF(RAW_File!D:D,C:C,RAW_File!K:K)</f>
        <v>0</v>
      </c>
      <c r="H441" s="41">
        <f>SUMIF(RAW_File!D:D,C:C,RAW_File!M:M)</f>
        <v>15000</v>
      </c>
      <c r="I441" s="40">
        <f t="shared" si="8"/>
        <v>15000</v>
      </c>
    </row>
    <row r="442" spans="1:9" hidden="1" x14ac:dyDescent="0.25">
      <c r="A442" s="36" t="s">
        <v>70</v>
      </c>
      <c r="B442" s="36" t="s">
        <v>2065</v>
      </c>
      <c r="C442" s="36" t="s">
        <v>2066</v>
      </c>
      <c r="D442" s="37">
        <f>SUMIF(RAW_File!D:D,C:C,RAW_File!F:F)</f>
        <v>2071.4843500000002</v>
      </c>
      <c r="E442" s="38">
        <f>SUMIF(RAW_File!D:D,C:C,RAW_File!G:G)</f>
        <v>5000</v>
      </c>
      <c r="F442" s="39">
        <f>SUMIF(RAW_File!D:D,C:C,RAW_File!I:I)</f>
        <v>5000</v>
      </c>
      <c r="G442" s="40">
        <f>SUMIF(RAW_File!D:D,C:C,RAW_File!K:K)</f>
        <v>5000</v>
      </c>
      <c r="H442" s="41">
        <f>SUMIF(RAW_File!D:D,C:C,RAW_File!M:M)</f>
        <v>0</v>
      </c>
      <c r="I442" s="40">
        <f t="shared" si="8"/>
        <v>5000</v>
      </c>
    </row>
    <row r="443" spans="1:9" hidden="1" x14ac:dyDescent="0.25">
      <c r="A443" s="36" t="s">
        <v>70</v>
      </c>
      <c r="B443" s="36" t="s">
        <v>2089</v>
      </c>
      <c r="C443" s="36" t="s">
        <v>2090</v>
      </c>
      <c r="D443" s="37">
        <f>SUMIF(RAW_File!D:D,C:C,RAW_File!F:F)</f>
        <v>1052.1784515139291</v>
      </c>
      <c r="E443" s="38">
        <f>SUMIF(RAW_File!D:D,C:C,RAW_File!G:G)</f>
        <v>45000</v>
      </c>
      <c r="F443" s="39">
        <f>SUMIF(RAW_File!D:D,C:C,RAW_File!I:I)</f>
        <v>45000</v>
      </c>
      <c r="G443" s="40">
        <f>SUMIF(RAW_File!D:D,C:C,RAW_File!K:K)</f>
        <v>45000</v>
      </c>
      <c r="H443" s="41">
        <f>SUMIF(RAW_File!D:D,C:C,RAW_File!M:M)</f>
        <v>0</v>
      </c>
      <c r="I443" s="40">
        <f t="shared" si="8"/>
        <v>45000</v>
      </c>
    </row>
    <row r="444" spans="1:9" hidden="1" x14ac:dyDescent="0.25">
      <c r="A444" s="36" t="s">
        <v>70</v>
      </c>
      <c r="B444" s="36" t="s">
        <v>2103</v>
      </c>
      <c r="C444" s="36" t="s">
        <v>2104</v>
      </c>
      <c r="D444" s="37">
        <f>SUMIF(RAW_File!D:D,C:C,RAW_File!F:F)</f>
        <v>150.460621</v>
      </c>
      <c r="E444" s="38">
        <f>SUMIF(RAW_File!D:D,C:C,RAW_File!G:G)</f>
        <v>0</v>
      </c>
      <c r="F444" s="39">
        <f>SUMIF(RAW_File!D:D,C:C,RAW_File!I:I)</f>
        <v>2000</v>
      </c>
      <c r="G444" s="40">
        <f>SUMIF(RAW_File!D:D,C:C,RAW_File!K:K)</f>
        <v>0</v>
      </c>
      <c r="H444" s="41">
        <f>SUMIF(RAW_File!D:D,C:C,RAW_File!M:M)</f>
        <v>7000</v>
      </c>
      <c r="I444" s="40">
        <f t="shared" si="8"/>
        <v>7000</v>
      </c>
    </row>
    <row r="445" spans="1:9" hidden="1" x14ac:dyDescent="0.25">
      <c r="A445" s="36" t="s">
        <v>70</v>
      </c>
      <c r="B445" s="36" t="s">
        <v>2231</v>
      </c>
      <c r="C445" s="36" t="s">
        <v>2232</v>
      </c>
      <c r="D445" s="37">
        <f>SUMIF(RAW_File!D:D,C:C,RAW_File!F:F)</f>
        <v>1.3952007082</v>
      </c>
      <c r="E445" s="38">
        <f>SUMIF(RAW_File!D:D,C:C,RAW_File!G:G)</f>
        <v>8369</v>
      </c>
      <c r="F445" s="39">
        <f>SUMIF(RAW_File!D:D,C:C,RAW_File!I:I)</f>
        <v>8369</v>
      </c>
      <c r="G445" s="40">
        <f>SUMIF(RAW_File!D:D,C:C,RAW_File!K:K)</f>
        <v>8000</v>
      </c>
      <c r="H445" s="41">
        <f>SUMIF(RAW_File!D:D,C:C,RAW_File!M:M)</f>
        <v>0</v>
      </c>
      <c r="I445" s="40">
        <f t="shared" si="8"/>
        <v>8000</v>
      </c>
    </row>
    <row r="446" spans="1:9" hidden="1" x14ac:dyDescent="0.25">
      <c r="A446" s="36" t="s">
        <v>70</v>
      </c>
      <c r="B446" s="36" t="s">
        <v>2256</v>
      </c>
      <c r="C446" s="36" t="s">
        <v>2257</v>
      </c>
      <c r="D446" s="37">
        <f>SUMIF(RAW_File!D:D,C:C,RAW_File!F:F)</f>
        <v>2026.10895</v>
      </c>
      <c r="E446" s="38">
        <f>SUMIF(RAW_File!D:D,C:C,RAW_File!G:G)</f>
        <v>13050</v>
      </c>
      <c r="F446" s="39">
        <f>SUMIF(RAW_File!D:D,C:C,RAW_File!I:I)</f>
        <v>13050</v>
      </c>
      <c r="G446" s="40">
        <f>SUMIF(RAW_File!D:D,C:C,RAW_File!K:K)</f>
        <v>15000</v>
      </c>
      <c r="H446" s="41">
        <f>SUMIF(RAW_File!D:D,C:C,RAW_File!M:M)</f>
        <v>0</v>
      </c>
      <c r="I446" s="40">
        <f t="shared" si="8"/>
        <v>15000</v>
      </c>
    </row>
    <row r="447" spans="1:9" hidden="1" x14ac:dyDescent="0.25">
      <c r="A447" s="36" t="s">
        <v>70</v>
      </c>
      <c r="B447" s="36" t="s">
        <v>2345</v>
      </c>
      <c r="C447" s="36" t="s">
        <v>2346</v>
      </c>
      <c r="D447" s="37">
        <f>SUMIF(RAW_File!D:D,C:C,RAW_File!F:F)</f>
        <v>155.9287075394175</v>
      </c>
      <c r="E447" s="38">
        <f>SUMIF(RAW_File!D:D,C:C,RAW_File!G:G)</f>
        <v>23100</v>
      </c>
      <c r="F447" s="39">
        <f>SUMIF(RAW_File!D:D,C:C,RAW_File!I:I)</f>
        <v>23100</v>
      </c>
      <c r="G447" s="40">
        <f>SUMIF(RAW_File!D:D,C:C,RAW_File!K:K)</f>
        <v>27000</v>
      </c>
      <c r="H447" s="41">
        <f>SUMIF(RAW_File!D:D,C:C,RAW_File!M:M)</f>
        <v>0</v>
      </c>
      <c r="I447" s="40">
        <f t="shared" si="8"/>
        <v>27000</v>
      </c>
    </row>
    <row r="448" spans="1:9" hidden="1" x14ac:dyDescent="0.25">
      <c r="A448" s="36" t="s">
        <v>70</v>
      </c>
      <c r="B448" s="36" t="s">
        <v>2432</v>
      </c>
      <c r="C448" s="36" t="s">
        <v>2433</v>
      </c>
      <c r="D448" s="37">
        <f>SUMIF(RAW_File!D:D,C:C,RAW_File!F:F)</f>
        <v>8115.1128000070003</v>
      </c>
      <c r="E448" s="38">
        <f>SUMIF(RAW_File!D:D,C:C,RAW_File!G:G)</f>
        <v>3000</v>
      </c>
      <c r="F448" s="39">
        <f>SUMIF(RAW_File!D:D,C:C,RAW_File!I:I)</f>
        <v>3000</v>
      </c>
      <c r="G448" s="40">
        <f>SUMIF(RAW_File!D:D,C:C,RAW_File!K:K)</f>
        <v>5000</v>
      </c>
      <c r="H448" s="41">
        <f>SUMIF(RAW_File!D:D,C:C,RAW_File!M:M)</f>
        <v>0</v>
      </c>
      <c r="I448" s="40">
        <f t="shared" si="8"/>
        <v>5000</v>
      </c>
    </row>
    <row r="449" spans="1:9" hidden="1" x14ac:dyDescent="0.25">
      <c r="A449" s="36" t="s">
        <v>70</v>
      </c>
      <c r="B449" s="36" t="s">
        <v>2443</v>
      </c>
      <c r="C449" s="36" t="s">
        <v>2444</v>
      </c>
      <c r="D449" s="37">
        <f>SUMIF(RAW_File!D:D,C:C,RAW_File!F:F)</f>
        <v>477.54050000000001</v>
      </c>
      <c r="E449" s="38">
        <f>SUMIF(RAW_File!D:D,C:C,RAW_File!G:G)</f>
        <v>3800</v>
      </c>
      <c r="F449" s="39">
        <f>SUMIF(RAW_File!D:D,C:C,RAW_File!I:I)</f>
        <v>53950</v>
      </c>
      <c r="G449" s="40">
        <f>SUMIF(RAW_File!D:D,C:C,RAW_File!K:K)</f>
        <v>5000</v>
      </c>
      <c r="H449" s="41">
        <f>SUMIF(RAW_File!D:D,C:C,RAW_File!M:M)</f>
        <v>54000</v>
      </c>
      <c r="I449" s="40">
        <f t="shared" si="8"/>
        <v>49000</v>
      </c>
    </row>
    <row r="450" spans="1:9" hidden="1" x14ac:dyDescent="0.25">
      <c r="A450" s="36" t="s">
        <v>70</v>
      </c>
      <c r="B450" s="36" t="s">
        <v>2586</v>
      </c>
      <c r="C450" s="36" t="s">
        <v>2587</v>
      </c>
      <c r="D450" s="37">
        <f>SUMIF(RAW_File!D:D,C:C,RAW_File!F:F)</f>
        <v>1041.0818448151999</v>
      </c>
      <c r="E450" s="38">
        <f>SUMIF(RAW_File!D:D,C:C,RAW_File!G:G)</f>
        <v>5515</v>
      </c>
      <c r="F450" s="39">
        <f>SUMIF(RAW_File!D:D,C:C,RAW_File!I:I)</f>
        <v>21975</v>
      </c>
      <c r="G450" s="40">
        <f>SUMIF(RAW_File!D:D,C:C,RAW_File!K:K)</f>
        <v>10000</v>
      </c>
      <c r="H450" s="41">
        <f>SUMIF(RAW_File!D:D,C:C,RAW_File!M:M)</f>
        <v>20000</v>
      </c>
      <c r="I450" s="40">
        <f t="shared" si="8"/>
        <v>10000</v>
      </c>
    </row>
    <row r="451" spans="1:9" hidden="1" x14ac:dyDescent="0.25">
      <c r="A451" s="36" t="s">
        <v>70</v>
      </c>
      <c r="B451" s="36" t="s">
        <v>2657</v>
      </c>
      <c r="C451" s="36" t="s">
        <v>2658</v>
      </c>
      <c r="D451" s="37">
        <f>SUMIF(RAW_File!D:D,C:C,RAW_File!F:F)</f>
        <v>3302.5263</v>
      </c>
      <c r="E451" s="38">
        <f>SUMIF(RAW_File!D:D,C:C,RAW_File!G:G)</f>
        <v>10065</v>
      </c>
      <c r="F451" s="39">
        <f>SUMIF(RAW_File!D:D,C:C,RAW_File!I:I)</f>
        <v>11365</v>
      </c>
      <c r="G451" s="40">
        <f>SUMIF(RAW_File!D:D,C:C,RAW_File!K:K)</f>
        <v>10000</v>
      </c>
      <c r="H451" s="41">
        <f>SUMIF(RAW_File!D:D,C:C,RAW_File!M:M)</f>
        <v>0</v>
      </c>
      <c r="I451" s="40">
        <f t="shared" ref="I451:I514" si="9">ABS(G451-H451)</f>
        <v>10000</v>
      </c>
    </row>
    <row r="452" spans="1:9" hidden="1" x14ac:dyDescent="0.25">
      <c r="A452" s="36" t="s">
        <v>70</v>
      </c>
      <c r="B452" s="36" t="s">
        <v>2888</v>
      </c>
      <c r="C452" s="36" t="s">
        <v>2889</v>
      </c>
      <c r="D452" s="37">
        <f>SUMIF(RAW_File!D:D,C:C,RAW_File!F:F)</f>
        <v>156.51723336435541</v>
      </c>
      <c r="E452" s="38">
        <f>SUMIF(RAW_File!D:D,C:C,RAW_File!G:G)</f>
        <v>465</v>
      </c>
      <c r="F452" s="39">
        <f>SUMIF(RAW_File!D:D,C:C,RAW_File!I:I)</f>
        <v>465</v>
      </c>
      <c r="G452" s="40">
        <f>SUMIF(RAW_File!D:D,C:C,RAW_File!K:K)</f>
        <v>0</v>
      </c>
      <c r="H452" s="41">
        <f>SUMIF(RAW_File!D:D,C:C,RAW_File!M:M)</f>
        <v>6500</v>
      </c>
      <c r="I452" s="40">
        <f t="shared" si="9"/>
        <v>6500</v>
      </c>
    </row>
    <row r="453" spans="1:9" hidden="1" x14ac:dyDescent="0.25">
      <c r="A453" s="36" t="s">
        <v>70</v>
      </c>
      <c r="B453" s="36" t="s">
        <v>2902</v>
      </c>
      <c r="C453" s="36" t="s">
        <v>2903</v>
      </c>
      <c r="D453" s="37">
        <f>SUMIF(RAW_File!D:D,C:C,RAW_File!F:F)</f>
        <v>87226.519795578046</v>
      </c>
      <c r="E453" s="38">
        <f>SUMIF(RAW_File!D:D,C:C,RAW_File!G:G)</f>
        <v>68180</v>
      </c>
      <c r="F453" s="39">
        <f>SUMIF(RAW_File!D:D,C:C,RAW_File!I:I)</f>
        <v>188120</v>
      </c>
      <c r="G453" s="40">
        <f>SUMIF(RAW_File!D:D,C:C,RAW_File!K:K)</f>
        <v>10000</v>
      </c>
      <c r="H453" s="41">
        <f>SUMIF(RAW_File!D:D,C:C,RAW_File!M:M)</f>
        <v>0</v>
      </c>
      <c r="I453" s="40">
        <f t="shared" si="9"/>
        <v>10000</v>
      </c>
    </row>
    <row r="454" spans="1:9" hidden="1" x14ac:dyDescent="0.25">
      <c r="A454" s="36" t="s">
        <v>70</v>
      </c>
      <c r="B454" s="36" t="s">
        <v>2920</v>
      </c>
      <c r="C454" s="36" t="s">
        <v>2921</v>
      </c>
      <c r="D454" s="37">
        <f>SUMIF(RAW_File!D:D,C:C,RAW_File!F:F)</f>
        <v>18449.4768</v>
      </c>
      <c r="E454" s="38">
        <f>SUMIF(RAW_File!D:D,C:C,RAW_File!G:G)</f>
        <v>1950</v>
      </c>
      <c r="F454" s="39">
        <f>SUMIF(RAW_File!D:D,C:C,RAW_File!I:I)</f>
        <v>18350</v>
      </c>
      <c r="G454" s="40">
        <f>SUMIF(RAW_File!D:D,C:C,RAW_File!K:K)</f>
        <v>0</v>
      </c>
      <c r="H454" s="41">
        <f>SUMIF(RAW_File!D:D,C:C,RAW_File!M:M)</f>
        <v>20000</v>
      </c>
      <c r="I454" s="40">
        <f t="shared" si="9"/>
        <v>20000</v>
      </c>
    </row>
    <row r="455" spans="1:9" hidden="1" x14ac:dyDescent="0.25">
      <c r="A455" s="36" t="s">
        <v>70</v>
      </c>
      <c r="B455" s="36" t="s">
        <v>3018</v>
      </c>
      <c r="C455" s="36" t="s">
        <v>3019</v>
      </c>
      <c r="D455" s="37">
        <f>SUMIF(RAW_File!D:D,C:C,RAW_File!F:F)</f>
        <v>2.7606217387999998</v>
      </c>
      <c r="E455" s="38">
        <f>SUMIF(RAW_File!D:D,C:C,RAW_File!G:G)</f>
        <v>266</v>
      </c>
      <c r="F455" s="39">
        <f>SUMIF(RAW_File!D:D,C:C,RAW_File!I:I)</f>
        <v>7190</v>
      </c>
      <c r="G455" s="40">
        <f>SUMIF(RAW_File!D:D,C:C,RAW_File!K:K)</f>
        <v>0</v>
      </c>
      <c r="H455" s="41">
        <f>SUMIF(RAW_File!D:D,C:C,RAW_File!M:M)</f>
        <v>5000</v>
      </c>
      <c r="I455" s="40">
        <f t="shared" si="9"/>
        <v>5000</v>
      </c>
    </row>
    <row r="456" spans="1:9" hidden="1" x14ac:dyDescent="0.25">
      <c r="A456" s="36" t="s">
        <v>70</v>
      </c>
      <c r="B456" s="36" t="s">
        <v>3058</v>
      </c>
      <c r="C456" s="36" t="s">
        <v>3059</v>
      </c>
      <c r="D456" s="37">
        <f>SUMIF(RAW_File!D:D,C:C,RAW_File!F:F)</f>
        <v>8434.5289459003707</v>
      </c>
      <c r="E456" s="38">
        <f>SUMIF(RAW_File!D:D,C:C,RAW_File!G:G)</f>
        <v>0</v>
      </c>
      <c r="F456" s="39">
        <f>SUMIF(RAW_File!D:D,C:C,RAW_File!I:I)</f>
        <v>10150</v>
      </c>
      <c r="G456" s="40">
        <f>SUMIF(RAW_File!D:D,C:C,RAW_File!K:K)</f>
        <v>0</v>
      </c>
      <c r="H456" s="41">
        <f>SUMIF(RAW_File!D:D,C:C,RAW_File!M:M)</f>
        <v>23000</v>
      </c>
      <c r="I456" s="40">
        <f t="shared" si="9"/>
        <v>23000</v>
      </c>
    </row>
    <row r="457" spans="1:9" hidden="1" x14ac:dyDescent="0.25">
      <c r="A457" s="36" t="s">
        <v>70</v>
      </c>
      <c r="B457" s="36" t="s">
        <v>3197</v>
      </c>
      <c r="C457" s="36" t="s">
        <v>3198</v>
      </c>
      <c r="D457" s="37">
        <f>SUMIF(RAW_File!D:D,C:C,RAW_File!F:F)</f>
        <v>13181.0138734797</v>
      </c>
      <c r="E457" s="38">
        <f>SUMIF(RAW_File!D:D,C:C,RAW_File!G:G)</f>
        <v>0</v>
      </c>
      <c r="F457" s="39">
        <f>SUMIF(RAW_File!D:D,C:C,RAW_File!I:I)</f>
        <v>1500</v>
      </c>
      <c r="G457" s="40">
        <f>SUMIF(RAW_File!D:D,C:C,RAW_File!K:K)</f>
        <v>5000</v>
      </c>
      <c r="H457" s="41">
        <f>SUMIF(RAW_File!D:D,C:C,RAW_File!M:M)</f>
        <v>0</v>
      </c>
      <c r="I457" s="40">
        <f t="shared" si="9"/>
        <v>5000</v>
      </c>
    </row>
    <row r="458" spans="1:9" hidden="1" x14ac:dyDescent="0.25">
      <c r="A458" s="36" t="s">
        <v>70</v>
      </c>
      <c r="B458" s="36" t="s">
        <v>3211</v>
      </c>
      <c r="C458" s="36" t="s">
        <v>3212</v>
      </c>
      <c r="D458" s="37">
        <f>SUMIF(RAW_File!D:D,C:C,RAW_File!F:F)</f>
        <v>8628.6963700389679</v>
      </c>
      <c r="E458" s="38">
        <f>SUMIF(RAW_File!D:D,C:C,RAW_File!G:G)</f>
        <v>2660</v>
      </c>
      <c r="F458" s="39">
        <f>SUMIF(RAW_File!D:D,C:C,RAW_File!I:I)</f>
        <v>8160</v>
      </c>
      <c r="G458" s="40">
        <f>SUMIF(RAW_File!D:D,C:C,RAW_File!K:K)</f>
        <v>5000</v>
      </c>
      <c r="H458" s="41">
        <f>SUMIF(RAW_File!D:D,C:C,RAW_File!M:M)</f>
        <v>15000</v>
      </c>
      <c r="I458" s="40">
        <f t="shared" si="9"/>
        <v>10000</v>
      </c>
    </row>
    <row r="459" spans="1:9" hidden="1" x14ac:dyDescent="0.25">
      <c r="A459" s="36" t="s">
        <v>70</v>
      </c>
      <c r="B459" s="36" t="s">
        <v>3213</v>
      </c>
      <c r="C459" s="36" t="s">
        <v>3214</v>
      </c>
      <c r="D459" s="37">
        <f>SUMIF(RAW_File!D:D,C:C,RAW_File!F:F)</f>
        <v>125.7749</v>
      </c>
      <c r="E459" s="38">
        <f>SUMIF(RAW_File!D:D,C:C,RAW_File!G:G)</f>
        <v>16500</v>
      </c>
      <c r="F459" s="39">
        <f>SUMIF(RAW_File!D:D,C:C,RAW_File!I:I)</f>
        <v>16500</v>
      </c>
      <c r="G459" s="40">
        <f>SUMIF(RAW_File!D:D,C:C,RAW_File!K:K)</f>
        <v>13000</v>
      </c>
      <c r="H459" s="41">
        <f>SUMIF(RAW_File!D:D,C:C,RAW_File!M:M)</f>
        <v>0</v>
      </c>
      <c r="I459" s="40">
        <f t="shared" si="9"/>
        <v>13000</v>
      </c>
    </row>
    <row r="460" spans="1:9" hidden="1" x14ac:dyDescent="0.25">
      <c r="A460" s="36" t="s">
        <v>70</v>
      </c>
      <c r="B460" s="36" t="s">
        <v>3426</v>
      </c>
      <c r="C460" s="36" t="s">
        <v>3427</v>
      </c>
      <c r="D460" s="37">
        <f>SUMIF(RAW_File!D:D,C:C,RAW_File!F:F)</f>
        <v>19348.438260141669</v>
      </c>
      <c r="E460" s="38">
        <f>SUMIF(RAW_File!D:D,C:C,RAW_File!G:G)</f>
        <v>0</v>
      </c>
      <c r="F460" s="39">
        <f>SUMIF(RAW_File!D:D,C:C,RAW_File!I:I)</f>
        <v>7440</v>
      </c>
      <c r="G460" s="40">
        <f>SUMIF(RAW_File!D:D,C:C,RAW_File!K:K)</f>
        <v>5000</v>
      </c>
      <c r="H460" s="41">
        <f>SUMIF(RAW_File!D:D,C:C,RAW_File!M:M)</f>
        <v>0</v>
      </c>
      <c r="I460" s="40">
        <f t="shared" si="9"/>
        <v>5000</v>
      </c>
    </row>
    <row r="461" spans="1:9" hidden="1" x14ac:dyDescent="0.25">
      <c r="A461" s="36" t="s">
        <v>70</v>
      </c>
      <c r="B461" s="36" t="s">
        <v>3462</v>
      </c>
      <c r="C461" s="36" t="s">
        <v>3463</v>
      </c>
      <c r="D461" s="37">
        <f>SUMIF(RAW_File!D:D,C:C,RAW_File!F:F)</f>
        <v>85234.623626335771</v>
      </c>
      <c r="E461" s="38">
        <f>SUMIF(RAW_File!D:D,C:C,RAW_File!G:G)</f>
        <v>14360</v>
      </c>
      <c r="F461" s="39">
        <f>SUMIF(RAW_File!D:D,C:C,RAW_File!I:I)</f>
        <v>135725</v>
      </c>
      <c r="G461" s="40">
        <f>SUMIF(RAW_File!D:D,C:C,RAW_File!K:K)</f>
        <v>0</v>
      </c>
      <c r="H461" s="41">
        <f>SUMIF(RAW_File!D:D,C:C,RAW_File!M:M)</f>
        <v>135000</v>
      </c>
      <c r="I461" s="40">
        <f t="shared" si="9"/>
        <v>135000</v>
      </c>
    </row>
    <row r="462" spans="1:9" hidden="1" x14ac:dyDescent="0.25">
      <c r="A462" s="36" t="s">
        <v>70</v>
      </c>
      <c r="B462" s="36" t="s">
        <v>3482</v>
      </c>
      <c r="C462" s="36" t="s">
        <v>3483</v>
      </c>
      <c r="D462" s="37">
        <f>SUMIF(RAW_File!D:D,C:C,RAW_File!F:F)</f>
        <v>0.80369999999999997</v>
      </c>
      <c r="E462" s="38">
        <f>SUMIF(RAW_File!D:D,C:C,RAW_File!G:G)</f>
        <v>0</v>
      </c>
      <c r="F462" s="39">
        <f>SUMIF(RAW_File!D:D,C:C,RAW_File!I:I)</f>
        <v>0</v>
      </c>
      <c r="G462" s="40">
        <f>SUMIF(RAW_File!D:D,C:C,RAW_File!K:K)</f>
        <v>0</v>
      </c>
      <c r="H462" s="41">
        <f>SUMIF(RAW_File!D:D,C:C,RAW_File!M:M)</f>
        <v>0</v>
      </c>
      <c r="I462" s="40">
        <f t="shared" si="9"/>
        <v>0</v>
      </c>
    </row>
    <row r="463" spans="1:9" hidden="1" x14ac:dyDescent="0.25">
      <c r="A463" s="36" t="s">
        <v>70</v>
      </c>
      <c r="B463" s="36" t="s">
        <v>3524</v>
      </c>
      <c r="C463" s="36" t="s">
        <v>3525</v>
      </c>
      <c r="D463" s="37">
        <f>SUMIF(RAW_File!D:D,C:C,RAW_File!F:F)</f>
        <v>5001.9129999999996</v>
      </c>
      <c r="E463" s="38">
        <f>SUMIF(RAW_File!D:D,C:C,RAW_File!G:G)</f>
        <v>0</v>
      </c>
      <c r="F463" s="39">
        <f>SUMIF(RAW_File!D:D,C:C,RAW_File!I:I)</f>
        <v>0</v>
      </c>
      <c r="G463" s="40">
        <f>SUMIF(RAW_File!D:D,C:C,RAW_File!K:K)</f>
        <v>5000</v>
      </c>
      <c r="H463" s="41">
        <f>SUMIF(RAW_File!D:D,C:C,RAW_File!M:M)</f>
        <v>0</v>
      </c>
      <c r="I463" s="40">
        <f t="shared" si="9"/>
        <v>5000</v>
      </c>
    </row>
    <row r="464" spans="1:9" hidden="1" x14ac:dyDescent="0.25">
      <c r="A464" s="36" t="s">
        <v>87</v>
      </c>
      <c r="B464" s="36" t="s">
        <v>193</v>
      </c>
      <c r="C464" s="36" t="s">
        <v>194</v>
      </c>
      <c r="D464" s="37">
        <f>SUMIF(RAW_File!D:D,C:C,RAW_File!F:F)</f>
        <v>1077.810315687952</v>
      </c>
      <c r="E464" s="38">
        <f>SUMIF(RAW_File!D:D,C:C,RAW_File!G:G)</f>
        <v>1400</v>
      </c>
      <c r="F464" s="39">
        <f>SUMIF(RAW_File!D:D,C:C,RAW_File!I:I)</f>
        <v>2870</v>
      </c>
      <c r="G464" s="40">
        <f>SUMIF(RAW_File!D:D,C:C,RAW_File!K:K)</f>
        <v>0</v>
      </c>
      <c r="H464" s="41">
        <f>SUMIF(RAW_File!D:D,C:C,RAW_File!M:M)</f>
        <v>12000</v>
      </c>
      <c r="I464" s="40">
        <f t="shared" si="9"/>
        <v>12000</v>
      </c>
    </row>
    <row r="465" spans="1:9" hidden="1" x14ac:dyDescent="0.25">
      <c r="A465" s="36" t="s">
        <v>87</v>
      </c>
      <c r="B465" s="36" t="s">
        <v>213</v>
      </c>
      <c r="C465" s="36" t="s">
        <v>214</v>
      </c>
      <c r="D465" s="37">
        <f>SUMIF(RAW_File!D:D,C:C,RAW_File!F:F)</f>
        <v>1837.27315</v>
      </c>
      <c r="E465" s="38">
        <f>SUMIF(RAW_File!D:D,C:C,RAW_File!G:G)</f>
        <v>0</v>
      </c>
      <c r="F465" s="39">
        <f>SUMIF(RAW_File!D:D,C:C,RAW_File!I:I)</f>
        <v>0</v>
      </c>
      <c r="G465" s="40">
        <f>SUMIF(RAW_File!D:D,C:C,RAW_File!K:K)</f>
        <v>0</v>
      </c>
      <c r="H465" s="41">
        <f>SUMIF(RAW_File!D:D,C:C,RAW_File!M:M)</f>
        <v>5000</v>
      </c>
      <c r="I465" s="40">
        <f t="shared" si="9"/>
        <v>5000</v>
      </c>
    </row>
    <row r="466" spans="1:9" hidden="1" x14ac:dyDescent="0.25">
      <c r="A466" s="36" t="s">
        <v>87</v>
      </c>
      <c r="B466" s="36" t="s">
        <v>280</v>
      </c>
      <c r="C466" s="36" t="s">
        <v>281</v>
      </c>
      <c r="D466" s="37">
        <f>SUMIF(RAW_File!D:D,C:C,RAW_File!F:F)</f>
        <v>9956.4076000000005</v>
      </c>
      <c r="E466" s="38">
        <f>SUMIF(RAW_File!D:D,C:C,RAW_File!G:G)</f>
        <v>200</v>
      </c>
      <c r="F466" s="39">
        <f>SUMIF(RAW_File!D:D,C:C,RAW_File!I:I)</f>
        <v>40110</v>
      </c>
      <c r="G466" s="40">
        <f>SUMIF(RAW_File!D:D,C:C,RAW_File!K:K)</f>
        <v>0</v>
      </c>
      <c r="H466" s="41">
        <f>SUMIF(RAW_File!D:D,C:C,RAW_File!M:M)</f>
        <v>30000</v>
      </c>
      <c r="I466" s="40">
        <f t="shared" si="9"/>
        <v>30000</v>
      </c>
    </row>
    <row r="467" spans="1:9" hidden="1" x14ac:dyDescent="0.25">
      <c r="A467" s="36" t="s">
        <v>87</v>
      </c>
      <c r="B467" s="36" t="s">
        <v>407</v>
      </c>
      <c r="C467" s="36" t="s">
        <v>408</v>
      </c>
      <c r="D467" s="37">
        <f>SUMIF(RAW_File!D:D,C:C,RAW_File!F:F)</f>
        <v>19385.842160869499</v>
      </c>
      <c r="E467" s="38">
        <f>SUMIF(RAW_File!D:D,C:C,RAW_File!G:G)</f>
        <v>5410</v>
      </c>
      <c r="F467" s="39">
        <f>SUMIF(RAW_File!D:D,C:C,RAW_File!I:I)</f>
        <v>21060</v>
      </c>
      <c r="G467" s="40">
        <f>SUMIF(RAW_File!D:D,C:C,RAW_File!K:K)</f>
        <v>0</v>
      </c>
      <c r="H467" s="41">
        <f>SUMIF(RAW_File!D:D,C:C,RAW_File!M:M)</f>
        <v>20000</v>
      </c>
      <c r="I467" s="40">
        <f t="shared" si="9"/>
        <v>20000</v>
      </c>
    </row>
    <row r="468" spans="1:9" hidden="1" x14ac:dyDescent="0.25">
      <c r="A468" s="36" t="s">
        <v>87</v>
      </c>
      <c r="B468" s="36" t="s">
        <v>419</v>
      </c>
      <c r="C468" s="36" t="s">
        <v>420</v>
      </c>
      <c r="D468" s="37">
        <f>SUMIF(RAW_File!D:D,C:C,RAW_File!F:F)</f>
        <v>4954.4030270000003</v>
      </c>
      <c r="E468" s="38">
        <f>SUMIF(RAW_File!D:D,C:C,RAW_File!G:G)</f>
        <v>2830</v>
      </c>
      <c r="F468" s="39">
        <f>SUMIF(RAW_File!D:D,C:C,RAW_File!I:I)</f>
        <v>4980</v>
      </c>
      <c r="G468" s="40">
        <f>SUMIF(RAW_File!D:D,C:C,RAW_File!K:K)</f>
        <v>5000</v>
      </c>
      <c r="H468" s="41">
        <f>SUMIF(RAW_File!D:D,C:C,RAW_File!M:M)</f>
        <v>0</v>
      </c>
      <c r="I468" s="40">
        <f t="shared" si="9"/>
        <v>5000</v>
      </c>
    </row>
    <row r="469" spans="1:9" hidden="1" x14ac:dyDescent="0.25">
      <c r="A469" s="36" t="s">
        <v>87</v>
      </c>
      <c r="B469" s="36" t="s">
        <v>445</v>
      </c>
      <c r="C469" s="36" t="s">
        <v>446</v>
      </c>
      <c r="D469" s="37">
        <f>SUMIF(RAW_File!D:D,C:C,RAW_File!F:F)</f>
        <v>22006.527845000001</v>
      </c>
      <c r="E469" s="38">
        <f>SUMIF(RAW_File!D:D,C:C,RAW_File!G:G)</f>
        <v>4750</v>
      </c>
      <c r="F469" s="39">
        <f>SUMIF(RAW_File!D:D,C:C,RAW_File!I:I)</f>
        <v>11090</v>
      </c>
      <c r="G469" s="40">
        <f>SUMIF(RAW_File!D:D,C:C,RAW_File!K:K)</f>
        <v>10000</v>
      </c>
      <c r="H469" s="41">
        <f>SUMIF(RAW_File!D:D,C:C,RAW_File!M:M)</f>
        <v>0</v>
      </c>
      <c r="I469" s="40">
        <f t="shared" si="9"/>
        <v>10000</v>
      </c>
    </row>
    <row r="470" spans="1:9" hidden="1" x14ac:dyDescent="0.25">
      <c r="A470" s="36" t="s">
        <v>87</v>
      </c>
      <c r="B470" s="36" t="s">
        <v>673</v>
      </c>
      <c r="C470" s="36" t="s">
        <v>674</v>
      </c>
      <c r="D470" s="37">
        <f>SUMIF(RAW_File!D:D,C:C,RAW_File!F:F)</f>
        <v>7.7360000028</v>
      </c>
      <c r="E470" s="38">
        <f>SUMIF(RAW_File!D:D,C:C,RAW_File!G:G)</f>
        <v>0</v>
      </c>
      <c r="F470" s="39">
        <f>SUMIF(RAW_File!D:D,C:C,RAW_File!I:I)</f>
        <v>0</v>
      </c>
      <c r="G470" s="40">
        <f>SUMIF(RAW_File!D:D,C:C,RAW_File!K:K)</f>
        <v>0</v>
      </c>
      <c r="H470" s="41">
        <f>SUMIF(RAW_File!D:D,C:C,RAW_File!M:M)</f>
        <v>0</v>
      </c>
      <c r="I470" s="40">
        <f t="shared" si="9"/>
        <v>0</v>
      </c>
    </row>
    <row r="471" spans="1:9" hidden="1" x14ac:dyDescent="0.25">
      <c r="A471" s="36" t="s">
        <v>87</v>
      </c>
      <c r="B471" s="36" t="s">
        <v>681</v>
      </c>
      <c r="C471" s="36" t="s">
        <v>682</v>
      </c>
      <c r="D471" s="37">
        <f>SUMIF(RAW_File!D:D,C:C,RAW_File!F:F)</f>
        <v>6719.4251941191342</v>
      </c>
      <c r="E471" s="38">
        <f>SUMIF(RAW_File!D:D,C:C,RAW_File!G:G)</f>
        <v>1015</v>
      </c>
      <c r="F471" s="39">
        <f>SUMIF(RAW_File!D:D,C:C,RAW_File!I:I)</f>
        <v>1015</v>
      </c>
      <c r="G471" s="40">
        <f>SUMIF(RAW_File!D:D,C:C,RAW_File!K:K)</f>
        <v>5000</v>
      </c>
      <c r="H471" s="41">
        <f>SUMIF(RAW_File!D:D,C:C,RAW_File!M:M)</f>
        <v>0</v>
      </c>
      <c r="I471" s="40">
        <f t="shared" si="9"/>
        <v>5000</v>
      </c>
    </row>
    <row r="472" spans="1:9" hidden="1" x14ac:dyDescent="0.25">
      <c r="A472" s="36" t="s">
        <v>87</v>
      </c>
      <c r="B472" s="36" t="s">
        <v>830</v>
      </c>
      <c r="C472" s="36" t="s">
        <v>831</v>
      </c>
      <c r="D472" s="37">
        <f>SUMIF(RAW_File!D:D,C:C,RAW_File!F:F)</f>
        <v>3202.3494942060729</v>
      </c>
      <c r="E472" s="38">
        <f>SUMIF(RAW_File!D:D,C:C,RAW_File!G:G)</f>
        <v>2500</v>
      </c>
      <c r="F472" s="39">
        <f>SUMIF(RAW_File!D:D,C:C,RAW_File!I:I)</f>
        <v>2640</v>
      </c>
      <c r="G472" s="40">
        <f>SUMIF(RAW_File!D:D,C:C,RAW_File!K:K)</f>
        <v>5000</v>
      </c>
      <c r="H472" s="41">
        <f>SUMIF(RAW_File!D:D,C:C,RAW_File!M:M)</f>
        <v>0</v>
      </c>
      <c r="I472" s="40">
        <f t="shared" si="9"/>
        <v>5000</v>
      </c>
    </row>
    <row r="473" spans="1:9" hidden="1" x14ac:dyDescent="0.25">
      <c r="A473" s="36" t="s">
        <v>87</v>
      </c>
      <c r="B473" s="36" t="s">
        <v>891</v>
      </c>
      <c r="C473" s="36" t="s">
        <v>892</v>
      </c>
      <c r="D473" s="37">
        <f>SUMIF(RAW_File!D:D,C:C,RAW_File!F:F)</f>
        <v>5119.9812000000002</v>
      </c>
      <c r="E473" s="38">
        <f>SUMIF(RAW_File!D:D,C:C,RAW_File!G:G)</f>
        <v>1500</v>
      </c>
      <c r="F473" s="39">
        <f>SUMIF(RAW_File!D:D,C:C,RAW_File!I:I)</f>
        <v>17200</v>
      </c>
      <c r="G473" s="40">
        <f>SUMIF(RAW_File!D:D,C:C,RAW_File!K:K)</f>
        <v>0</v>
      </c>
      <c r="H473" s="41">
        <f>SUMIF(RAW_File!D:D,C:C,RAW_File!M:M)</f>
        <v>12000</v>
      </c>
      <c r="I473" s="40">
        <f t="shared" si="9"/>
        <v>12000</v>
      </c>
    </row>
    <row r="474" spans="1:9" hidden="1" x14ac:dyDescent="0.25">
      <c r="A474" s="36" t="s">
        <v>87</v>
      </c>
      <c r="B474" s="36" t="s">
        <v>911</v>
      </c>
      <c r="C474" s="36" t="s">
        <v>912</v>
      </c>
      <c r="D474" s="37">
        <f>SUMIF(RAW_File!D:D,C:C,RAW_File!F:F)</f>
        <v>10193.96341480429</v>
      </c>
      <c r="E474" s="38">
        <f>SUMIF(RAW_File!D:D,C:C,RAW_File!G:G)</f>
        <v>8365</v>
      </c>
      <c r="F474" s="39">
        <f>SUMIF(RAW_File!D:D,C:C,RAW_File!I:I)</f>
        <v>39890</v>
      </c>
      <c r="G474" s="40">
        <f>SUMIF(RAW_File!D:D,C:C,RAW_File!K:K)</f>
        <v>5000</v>
      </c>
      <c r="H474" s="41">
        <f>SUMIF(RAW_File!D:D,C:C,RAW_File!M:M)</f>
        <v>25000</v>
      </c>
      <c r="I474" s="40">
        <f t="shared" si="9"/>
        <v>20000</v>
      </c>
    </row>
    <row r="475" spans="1:9" hidden="1" x14ac:dyDescent="0.25">
      <c r="A475" s="36" t="s">
        <v>87</v>
      </c>
      <c r="B475" s="36" t="s">
        <v>1025</v>
      </c>
      <c r="C475" s="36" t="s">
        <v>1026</v>
      </c>
      <c r="D475" s="37">
        <f>SUMIF(RAW_File!D:D,C:C,RAW_File!F:F)</f>
        <v>2042.8341</v>
      </c>
      <c r="E475" s="38">
        <f>SUMIF(RAW_File!D:D,C:C,RAW_File!G:G)</f>
        <v>5265</v>
      </c>
      <c r="F475" s="39">
        <f>SUMIF(RAW_File!D:D,C:C,RAW_File!I:I)</f>
        <v>5315</v>
      </c>
      <c r="G475" s="40">
        <f>SUMIF(RAW_File!D:D,C:C,RAW_File!K:K)</f>
        <v>5000</v>
      </c>
      <c r="H475" s="41">
        <f>SUMIF(RAW_File!D:D,C:C,RAW_File!M:M)</f>
        <v>0</v>
      </c>
      <c r="I475" s="40">
        <f t="shared" si="9"/>
        <v>5000</v>
      </c>
    </row>
    <row r="476" spans="1:9" hidden="1" x14ac:dyDescent="0.25">
      <c r="A476" s="36" t="s">
        <v>87</v>
      </c>
      <c r="B476" s="36" t="s">
        <v>1241</v>
      </c>
      <c r="C476" s="36" t="s">
        <v>1242</v>
      </c>
      <c r="D476" s="37">
        <f>SUMIF(RAW_File!D:D,C:C,RAW_File!F:F)</f>
        <v>3982.801100703286</v>
      </c>
      <c r="E476" s="38">
        <f>SUMIF(RAW_File!D:D,C:C,RAW_File!G:G)</f>
        <v>3215</v>
      </c>
      <c r="F476" s="39">
        <f>SUMIF(RAW_File!D:D,C:C,RAW_File!I:I)</f>
        <v>7565</v>
      </c>
      <c r="G476" s="40">
        <f>SUMIF(RAW_File!D:D,C:C,RAW_File!K:K)</f>
        <v>5000</v>
      </c>
      <c r="H476" s="41">
        <f>SUMIF(RAW_File!D:D,C:C,RAW_File!M:M)</f>
        <v>0</v>
      </c>
      <c r="I476" s="40">
        <f t="shared" si="9"/>
        <v>5000</v>
      </c>
    </row>
    <row r="477" spans="1:9" hidden="1" x14ac:dyDescent="0.25">
      <c r="A477" s="36" t="s">
        <v>87</v>
      </c>
      <c r="B477" s="36" t="s">
        <v>1257</v>
      </c>
      <c r="C477" s="36" t="s">
        <v>1258</v>
      </c>
      <c r="D477" s="37">
        <f>SUMIF(RAW_File!D:D,C:C,RAW_File!F:F)</f>
        <v>14319.76693415057</v>
      </c>
      <c r="E477" s="38">
        <f>SUMIF(RAW_File!D:D,C:C,RAW_File!G:G)</f>
        <v>14740</v>
      </c>
      <c r="F477" s="39">
        <f>SUMIF(RAW_File!D:D,C:C,RAW_File!I:I)</f>
        <v>32280</v>
      </c>
      <c r="G477" s="40">
        <f>SUMIF(RAW_File!D:D,C:C,RAW_File!K:K)</f>
        <v>5000</v>
      </c>
      <c r="H477" s="41">
        <f>SUMIF(RAW_File!D:D,C:C,RAW_File!M:M)</f>
        <v>10000</v>
      </c>
      <c r="I477" s="40">
        <f t="shared" si="9"/>
        <v>5000</v>
      </c>
    </row>
    <row r="478" spans="1:9" hidden="1" x14ac:dyDescent="0.25">
      <c r="A478" s="36" t="s">
        <v>87</v>
      </c>
      <c r="B478" s="36" t="s">
        <v>1297</v>
      </c>
      <c r="C478" s="36" t="s">
        <v>1298</v>
      </c>
      <c r="D478" s="37">
        <f>SUMIF(RAW_File!D:D,C:C,RAW_File!F:F)</f>
        <v>5366.7190015576134</v>
      </c>
      <c r="E478" s="38">
        <f>SUMIF(RAW_File!D:D,C:C,RAW_File!G:G)</f>
        <v>1600</v>
      </c>
      <c r="F478" s="39">
        <f>SUMIF(RAW_File!D:D,C:C,RAW_File!I:I)</f>
        <v>1900</v>
      </c>
      <c r="G478" s="40">
        <f>SUMIF(RAW_File!D:D,C:C,RAW_File!K:K)</f>
        <v>6000</v>
      </c>
      <c r="H478" s="41">
        <f>SUMIF(RAW_File!D:D,C:C,RAW_File!M:M)</f>
        <v>0</v>
      </c>
      <c r="I478" s="40">
        <f t="shared" si="9"/>
        <v>6000</v>
      </c>
    </row>
    <row r="479" spans="1:9" hidden="1" x14ac:dyDescent="0.25">
      <c r="A479" s="36" t="s">
        <v>87</v>
      </c>
      <c r="B479" s="36" t="s">
        <v>1338</v>
      </c>
      <c r="C479" s="36" t="s">
        <v>1339</v>
      </c>
      <c r="D479" s="37">
        <f>SUMIF(RAW_File!D:D,C:C,RAW_File!F:F)</f>
        <v>3771.7361157738519</v>
      </c>
      <c r="E479" s="38">
        <f>SUMIF(RAW_File!D:D,C:C,RAW_File!G:G)</f>
        <v>4975</v>
      </c>
      <c r="F479" s="39">
        <f>SUMIF(RAW_File!D:D,C:C,RAW_File!I:I)</f>
        <v>19220</v>
      </c>
      <c r="G479" s="40">
        <f>SUMIF(RAW_File!D:D,C:C,RAW_File!K:K)</f>
        <v>5000</v>
      </c>
      <c r="H479" s="41">
        <f>SUMIF(RAW_File!D:D,C:C,RAW_File!M:M)</f>
        <v>15000</v>
      </c>
      <c r="I479" s="40">
        <f t="shared" si="9"/>
        <v>10000</v>
      </c>
    </row>
    <row r="480" spans="1:9" hidden="1" x14ac:dyDescent="0.25">
      <c r="A480" s="36" t="s">
        <v>87</v>
      </c>
      <c r="B480" s="36" t="s">
        <v>1444</v>
      </c>
      <c r="C480" s="36" t="s">
        <v>1445</v>
      </c>
      <c r="D480" s="37">
        <f>SUMIF(RAW_File!D:D,C:C,RAW_File!F:F)</f>
        <v>1110.5369499999999</v>
      </c>
      <c r="E480" s="38">
        <f>SUMIF(RAW_File!D:D,C:C,RAW_File!G:G)</f>
        <v>48900</v>
      </c>
      <c r="F480" s="39">
        <f>SUMIF(RAW_File!D:D,C:C,RAW_File!I:I)</f>
        <v>92385</v>
      </c>
      <c r="G480" s="40">
        <f>SUMIF(RAW_File!D:D,C:C,RAW_File!K:K)</f>
        <v>0</v>
      </c>
      <c r="H480" s="41">
        <f>SUMIF(RAW_File!D:D,C:C,RAW_File!M:M)</f>
        <v>5000</v>
      </c>
      <c r="I480" s="40">
        <f t="shared" si="9"/>
        <v>5000</v>
      </c>
    </row>
    <row r="481" spans="1:9" hidden="1" x14ac:dyDescent="0.25">
      <c r="A481" s="36" t="s">
        <v>87</v>
      </c>
      <c r="B481" s="36" t="s">
        <v>1450</v>
      </c>
      <c r="C481" s="36" t="s">
        <v>1451</v>
      </c>
      <c r="D481" s="37">
        <f>SUMIF(RAW_File!D:D,C:C,RAW_File!F:F)</f>
        <v>18.803913585044398</v>
      </c>
      <c r="E481" s="38">
        <f>SUMIF(RAW_File!D:D,C:C,RAW_File!G:G)</f>
        <v>0</v>
      </c>
      <c r="F481" s="39">
        <f>SUMIF(RAW_File!D:D,C:C,RAW_File!I:I)</f>
        <v>4980</v>
      </c>
      <c r="G481" s="40">
        <f>SUMIF(RAW_File!D:D,C:C,RAW_File!K:K)</f>
        <v>0</v>
      </c>
      <c r="H481" s="41">
        <f>SUMIF(RAW_File!D:D,C:C,RAW_File!M:M)</f>
        <v>5000</v>
      </c>
      <c r="I481" s="40">
        <f t="shared" si="9"/>
        <v>5000</v>
      </c>
    </row>
    <row r="482" spans="1:9" hidden="1" x14ac:dyDescent="0.25">
      <c r="A482" s="36" t="s">
        <v>87</v>
      </c>
      <c r="B482" s="36" t="s">
        <v>1466</v>
      </c>
      <c r="C482" s="36" t="s">
        <v>1467</v>
      </c>
      <c r="D482" s="37">
        <f>SUMIF(RAW_File!D:D,C:C,RAW_File!F:F)</f>
        <v>23666.428118209678</v>
      </c>
      <c r="E482" s="38">
        <f>SUMIF(RAW_File!D:D,C:C,RAW_File!G:G)</f>
        <v>47200</v>
      </c>
      <c r="F482" s="39">
        <f>SUMIF(RAW_File!D:D,C:C,RAW_File!I:I)</f>
        <v>90470</v>
      </c>
      <c r="G482" s="40">
        <f>SUMIF(RAW_File!D:D,C:C,RAW_File!K:K)</f>
        <v>5000</v>
      </c>
      <c r="H482" s="41">
        <f>SUMIF(RAW_File!D:D,C:C,RAW_File!M:M)</f>
        <v>0</v>
      </c>
      <c r="I482" s="40">
        <f t="shared" si="9"/>
        <v>5000</v>
      </c>
    </row>
    <row r="483" spans="1:9" hidden="1" x14ac:dyDescent="0.25">
      <c r="A483" s="36" t="s">
        <v>87</v>
      </c>
      <c r="B483" s="36" t="s">
        <v>1489</v>
      </c>
      <c r="C483" s="36" t="s">
        <v>1490</v>
      </c>
      <c r="D483" s="37">
        <f>SUMIF(RAW_File!D:D,C:C,RAW_File!F:F)</f>
        <v>42824.422829024639</v>
      </c>
      <c r="E483" s="38">
        <f>SUMIF(RAW_File!D:D,C:C,RAW_File!G:G)</f>
        <v>33010</v>
      </c>
      <c r="F483" s="39">
        <f>SUMIF(RAW_File!D:D,C:C,RAW_File!I:I)</f>
        <v>56560</v>
      </c>
      <c r="G483" s="40">
        <f>SUMIF(RAW_File!D:D,C:C,RAW_File!K:K)</f>
        <v>50000</v>
      </c>
      <c r="H483" s="41">
        <f>SUMIF(RAW_File!D:D,C:C,RAW_File!M:M)</f>
        <v>15000</v>
      </c>
      <c r="I483" s="40">
        <f t="shared" si="9"/>
        <v>35000</v>
      </c>
    </row>
    <row r="484" spans="1:9" hidden="1" x14ac:dyDescent="0.25">
      <c r="A484" s="36" t="s">
        <v>87</v>
      </c>
      <c r="B484" s="36" t="s">
        <v>1684</v>
      </c>
      <c r="C484" s="36" t="s">
        <v>1685</v>
      </c>
      <c r="D484" s="37">
        <f>SUMIF(RAW_File!D:D,C:C,RAW_File!F:F)</f>
        <v>59.197900017800002</v>
      </c>
      <c r="E484" s="38">
        <f>SUMIF(RAW_File!D:D,C:C,RAW_File!G:G)</f>
        <v>535</v>
      </c>
      <c r="F484" s="39">
        <f>SUMIF(RAW_File!D:D,C:C,RAW_File!I:I)</f>
        <v>9535</v>
      </c>
      <c r="G484" s="40">
        <f>SUMIF(RAW_File!D:D,C:C,RAW_File!K:K)</f>
        <v>0</v>
      </c>
      <c r="H484" s="41">
        <f>SUMIF(RAW_File!D:D,C:C,RAW_File!M:M)</f>
        <v>9000</v>
      </c>
      <c r="I484" s="40">
        <f t="shared" si="9"/>
        <v>9000</v>
      </c>
    </row>
    <row r="485" spans="1:9" hidden="1" x14ac:dyDescent="0.25">
      <c r="A485" s="36" t="s">
        <v>87</v>
      </c>
      <c r="B485" s="36" t="s">
        <v>1825</v>
      </c>
      <c r="C485" s="36" t="s">
        <v>1826</v>
      </c>
      <c r="D485" s="37">
        <f>SUMIF(RAW_File!D:D,C:C,RAW_File!F:F)</f>
        <v>32.113976671680767</v>
      </c>
      <c r="E485" s="38">
        <f>SUMIF(RAW_File!D:D,C:C,RAW_File!G:G)</f>
        <v>300</v>
      </c>
      <c r="F485" s="39">
        <f>SUMIF(RAW_File!D:D,C:C,RAW_File!I:I)</f>
        <v>300</v>
      </c>
      <c r="G485" s="40">
        <f>SUMIF(RAW_File!D:D,C:C,RAW_File!K:K)</f>
        <v>0</v>
      </c>
      <c r="H485" s="41">
        <f>SUMIF(RAW_File!D:D,C:C,RAW_File!M:M)</f>
        <v>6000</v>
      </c>
      <c r="I485" s="40">
        <f t="shared" si="9"/>
        <v>6000</v>
      </c>
    </row>
    <row r="486" spans="1:9" hidden="1" x14ac:dyDescent="0.25">
      <c r="A486" s="36" t="s">
        <v>87</v>
      </c>
      <c r="B486" s="36" t="s">
        <v>1868</v>
      </c>
      <c r="C486" s="36" t="s">
        <v>1869</v>
      </c>
      <c r="D486" s="37">
        <f>SUMIF(RAW_File!D:D,C:C,RAW_File!F:F)</f>
        <v>33945.037994521197</v>
      </c>
      <c r="E486" s="38">
        <f>SUMIF(RAW_File!D:D,C:C,RAW_File!G:G)</f>
        <v>1200</v>
      </c>
      <c r="F486" s="39">
        <f>SUMIF(RAW_File!D:D,C:C,RAW_File!I:I)</f>
        <v>2350</v>
      </c>
      <c r="G486" s="40">
        <f>SUMIF(RAW_File!D:D,C:C,RAW_File!K:K)</f>
        <v>10000</v>
      </c>
      <c r="H486" s="41">
        <f>SUMIF(RAW_File!D:D,C:C,RAW_File!M:M)</f>
        <v>0</v>
      </c>
      <c r="I486" s="40">
        <f t="shared" si="9"/>
        <v>10000</v>
      </c>
    </row>
    <row r="487" spans="1:9" hidden="1" x14ac:dyDescent="0.25">
      <c r="A487" s="36" t="s">
        <v>87</v>
      </c>
      <c r="B487" s="36" t="s">
        <v>1903</v>
      </c>
      <c r="C487" s="36" t="s">
        <v>1904</v>
      </c>
      <c r="D487" s="37">
        <f>SUMIF(RAW_File!D:D,C:C,RAW_File!F:F)</f>
        <v>6928.8787165016874</v>
      </c>
      <c r="E487" s="38">
        <f>SUMIF(RAW_File!D:D,C:C,RAW_File!G:G)</f>
        <v>8080</v>
      </c>
      <c r="F487" s="39">
        <f>SUMIF(RAW_File!D:D,C:C,RAW_File!I:I)</f>
        <v>8580</v>
      </c>
      <c r="G487" s="40">
        <f>SUMIF(RAW_File!D:D,C:C,RAW_File!K:K)</f>
        <v>0</v>
      </c>
      <c r="H487" s="41">
        <f>SUMIF(RAW_File!D:D,C:C,RAW_File!M:M)</f>
        <v>6000</v>
      </c>
      <c r="I487" s="40">
        <f t="shared" si="9"/>
        <v>6000</v>
      </c>
    </row>
    <row r="488" spans="1:9" hidden="1" x14ac:dyDescent="0.25">
      <c r="A488" s="36" t="s">
        <v>87</v>
      </c>
      <c r="B488" s="36" t="s">
        <v>1964</v>
      </c>
      <c r="C488" s="36" t="s">
        <v>1965</v>
      </c>
      <c r="D488" s="37">
        <f>SUMIF(RAW_File!D:D,C:C,RAW_File!F:F)</f>
        <v>5059.3680000000004</v>
      </c>
      <c r="E488" s="38">
        <f>SUMIF(RAW_File!D:D,C:C,RAW_File!G:G)</f>
        <v>5988</v>
      </c>
      <c r="F488" s="39">
        <f>SUMIF(RAW_File!D:D,C:C,RAW_File!I:I)</f>
        <v>6378</v>
      </c>
      <c r="G488" s="40">
        <f>SUMIF(RAW_File!D:D,C:C,RAW_File!K:K)</f>
        <v>8000</v>
      </c>
      <c r="H488" s="41">
        <f>SUMIF(RAW_File!D:D,C:C,RAW_File!M:M)</f>
        <v>0</v>
      </c>
      <c r="I488" s="40">
        <f t="shared" si="9"/>
        <v>8000</v>
      </c>
    </row>
    <row r="489" spans="1:9" hidden="1" x14ac:dyDescent="0.25">
      <c r="A489" s="36" t="s">
        <v>87</v>
      </c>
      <c r="B489" s="36" t="s">
        <v>2008</v>
      </c>
      <c r="C489" s="36" t="s">
        <v>2009</v>
      </c>
      <c r="D489" s="37">
        <f>SUMIF(RAW_File!D:D,C:C,RAW_File!F:F)</f>
        <v>11721.86120614187</v>
      </c>
      <c r="E489" s="38">
        <f>SUMIF(RAW_File!D:D,C:C,RAW_File!G:G)</f>
        <v>8610</v>
      </c>
      <c r="F489" s="39">
        <f>SUMIF(RAW_File!D:D,C:C,RAW_File!I:I)</f>
        <v>14090</v>
      </c>
      <c r="G489" s="40">
        <f>SUMIF(RAW_File!D:D,C:C,RAW_File!K:K)</f>
        <v>15000</v>
      </c>
      <c r="H489" s="41">
        <f>SUMIF(RAW_File!D:D,C:C,RAW_File!M:M)</f>
        <v>0</v>
      </c>
      <c r="I489" s="40">
        <f t="shared" si="9"/>
        <v>15000</v>
      </c>
    </row>
    <row r="490" spans="1:9" hidden="1" x14ac:dyDescent="0.25">
      <c r="A490" s="36" t="s">
        <v>87</v>
      </c>
      <c r="B490" s="36" t="s">
        <v>2045</v>
      </c>
      <c r="C490" s="36" t="s">
        <v>2046</v>
      </c>
      <c r="D490" s="37">
        <f>SUMIF(RAW_File!D:D,C:C,RAW_File!F:F)</f>
        <v>22167.512369498079</v>
      </c>
      <c r="E490" s="38">
        <f>SUMIF(RAW_File!D:D,C:C,RAW_File!G:G)</f>
        <v>6940</v>
      </c>
      <c r="F490" s="39">
        <f>SUMIF(RAW_File!D:D,C:C,RAW_File!I:I)</f>
        <v>55780</v>
      </c>
      <c r="G490" s="40">
        <f>SUMIF(RAW_File!D:D,C:C,RAW_File!K:K)</f>
        <v>0</v>
      </c>
      <c r="H490" s="41">
        <f>SUMIF(RAW_File!D:D,C:C,RAW_File!M:M)</f>
        <v>80000</v>
      </c>
      <c r="I490" s="40">
        <f t="shared" si="9"/>
        <v>80000</v>
      </c>
    </row>
    <row r="491" spans="1:9" hidden="1" x14ac:dyDescent="0.25">
      <c r="A491" s="36" t="s">
        <v>87</v>
      </c>
      <c r="B491" s="36" t="s">
        <v>2141</v>
      </c>
      <c r="C491" s="36" t="s">
        <v>2142</v>
      </c>
      <c r="D491" s="37">
        <f>SUMIF(RAW_File!D:D,C:C,RAW_File!F:F)</f>
        <v>18462.545495493108</v>
      </c>
      <c r="E491" s="38">
        <f>SUMIF(RAW_File!D:D,C:C,RAW_File!G:G)</f>
        <v>3950</v>
      </c>
      <c r="F491" s="39">
        <f>SUMIF(RAW_File!D:D,C:C,RAW_File!I:I)</f>
        <v>5970</v>
      </c>
      <c r="G491" s="40">
        <f>SUMIF(RAW_File!D:D,C:C,RAW_File!K:K)</f>
        <v>11000</v>
      </c>
      <c r="H491" s="41">
        <f>SUMIF(RAW_File!D:D,C:C,RAW_File!M:M)</f>
        <v>6000</v>
      </c>
      <c r="I491" s="40">
        <f t="shared" si="9"/>
        <v>5000</v>
      </c>
    </row>
    <row r="492" spans="1:9" hidden="1" x14ac:dyDescent="0.25">
      <c r="A492" s="36" t="s">
        <v>87</v>
      </c>
      <c r="B492" s="36" t="s">
        <v>2278</v>
      </c>
      <c r="C492" s="36" t="s">
        <v>2279</v>
      </c>
      <c r="D492" s="37">
        <f>SUMIF(RAW_File!D:D,C:C,RAW_File!F:F)</f>
        <v>11214.98721307666</v>
      </c>
      <c r="E492" s="38">
        <f>SUMIF(RAW_File!D:D,C:C,RAW_File!G:G)</f>
        <v>3800</v>
      </c>
      <c r="F492" s="39">
        <f>SUMIF(RAW_File!D:D,C:C,RAW_File!I:I)</f>
        <v>11590</v>
      </c>
      <c r="G492" s="40">
        <f>SUMIF(RAW_File!D:D,C:C,RAW_File!K:K)</f>
        <v>5000</v>
      </c>
      <c r="H492" s="41">
        <f>SUMIF(RAW_File!D:D,C:C,RAW_File!M:M)</f>
        <v>0</v>
      </c>
      <c r="I492" s="40">
        <f t="shared" si="9"/>
        <v>5000</v>
      </c>
    </row>
    <row r="493" spans="1:9" hidden="1" x14ac:dyDescent="0.25">
      <c r="A493" s="36" t="s">
        <v>87</v>
      </c>
      <c r="B493" s="36" t="s">
        <v>2292</v>
      </c>
      <c r="C493" s="36" t="s">
        <v>2293</v>
      </c>
      <c r="D493" s="37">
        <f>SUMIF(RAW_File!D:D,C:C,RAW_File!F:F)</f>
        <v>6622.6878621167643</v>
      </c>
      <c r="E493" s="38">
        <f>SUMIF(RAW_File!D:D,C:C,RAW_File!G:G)</f>
        <v>0</v>
      </c>
      <c r="F493" s="39">
        <f>SUMIF(RAW_File!D:D,C:C,RAW_File!I:I)</f>
        <v>0</v>
      </c>
      <c r="G493" s="40">
        <f>SUMIF(RAW_File!D:D,C:C,RAW_File!K:K)</f>
        <v>5000</v>
      </c>
      <c r="H493" s="41">
        <f>SUMIF(RAW_File!D:D,C:C,RAW_File!M:M)</f>
        <v>0</v>
      </c>
      <c r="I493" s="40">
        <f t="shared" si="9"/>
        <v>5000</v>
      </c>
    </row>
    <row r="494" spans="1:9" hidden="1" x14ac:dyDescent="0.25">
      <c r="A494" s="36" t="s">
        <v>87</v>
      </c>
      <c r="B494" s="36" t="s">
        <v>2377</v>
      </c>
      <c r="C494" s="36" t="s">
        <v>2378</v>
      </c>
      <c r="D494" s="37">
        <f>SUMIF(RAW_File!D:D,C:C,RAW_File!F:F)</f>
        <v>11356.111070528539</v>
      </c>
      <c r="E494" s="38">
        <f>SUMIF(RAW_File!D:D,C:C,RAW_File!G:G)</f>
        <v>3120</v>
      </c>
      <c r="F494" s="39">
        <f>SUMIF(RAW_File!D:D,C:C,RAW_File!I:I)</f>
        <v>66838</v>
      </c>
      <c r="G494" s="40">
        <f>SUMIF(RAW_File!D:D,C:C,RAW_File!K:K)</f>
        <v>10000</v>
      </c>
      <c r="H494" s="41">
        <f>SUMIF(RAW_File!D:D,C:C,RAW_File!M:M)</f>
        <v>60000</v>
      </c>
      <c r="I494" s="40">
        <f t="shared" si="9"/>
        <v>50000</v>
      </c>
    </row>
    <row r="495" spans="1:9" hidden="1" x14ac:dyDescent="0.25">
      <c r="A495" s="36" t="s">
        <v>87</v>
      </c>
      <c r="B495" s="36" t="s">
        <v>2417</v>
      </c>
      <c r="C495" s="36" t="s">
        <v>2418</v>
      </c>
      <c r="D495" s="37">
        <f>SUMIF(RAW_File!D:D,C:C,RAW_File!F:F)</f>
        <v>2613.7942351287429</v>
      </c>
      <c r="E495" s="38">
        <f>SUMIF(RAW_File!D:D,C:C,RAW_File!G:G)</f>
        <v>1310</v>
      </c>
      <c r="F495" s="39">
        <f>SUMIF(RAW_File!D:D,C:C,RAW_File!I:I)</f>
        <v>5460</v>
      </c>
      <c r="G495" s="40">
        <f>SUMIF(RAW_File!D:D,C:C,RAW_File!K:K)</f>
        <v>5000</v>
      </c>
      <c r="H495" s="41">
        <f>SUMIF(RAW_File!D:D,C:C,RAW_File!M:M)</f>
        <v>11000</v>
      </c>
      <c r="I495" s="40">
        <f t="shared" si="9"/>
        <v>6000</v>
      </c>
    </row>
    <row r="496" spans="1:9" hidden="1" x14ac:dyDescent="0.25">
      <c r="A496" s="36" t="s">
        <v>87</v>
      </c>
      <c r="B496" s="36" t="s">
        <v>2436</v>
      </c>
      <c r="C496" s="36" t="s">
        <v>2437</v>
      </c>
      <c r="D496" s="37">
        <f>SUMIF(RAW_File!D:D,C:C,RAW_File!F:F)</f>
        <v>13195.6176</v>
      </c>
      <c r="E496" s="38">
        <f>SUMIF(RAW_File!D:D,C:C,RAW_File!G:G)</f>
        <v>5300</v>
      </c>
      <c r="F496" s="39">
        <f>SUMIF(RAW_File!D:D,C:C,RAW_File!I:I)</f>
        <v>13220</v>
      </c>
      <c r="G496" s="40">
        <f>SUMIF(RAW_File!D:D,C:C,RAW_File!K:K)</f>
        <v>0</v>
      </c>
      <c r="H496" s="41">
        <f>SUMIF(RAW_File!D:D,C:C,RAW_File!M:M)</f>
        <v>22000</v>
      </c>
      <c r="I496" s="40">
        <f t="shared" si="9"/>
        <v>22000</v>
      </c>
    </row>
    <row r="497" spans="1:9" hidden="1" x14ac:dyDescent="0.25">
      <c r="A497" s="36" t="s">
        <v>87</v>
      </c>
      <c r="B497" s="36" t="s">
        <v>2527</v>
      </c>
      <c r="C497" s="36" t="s">
        <v>2528</v>
      </c>
      <c r="D497" s="37">
        <f>SUMIF(RAW_File!D:D,C:C,RAW_File!F:F)</f>
        <v>2725.9926190000001</v>
      </c>
      <c r="E497" s="38">
        <f>SUMIF(RAW_File!D:D,C:C,RAW_File!G:G)</f>
        <v>920</v>
      </c>
      <c r="F497" s="39">
        <f>SUMIF(RAW_File!D:D,C:C,RAW_File!I:I)</f>
        <v>12600</v>
      </c>
      <c r="G497" s="40">
        <f>SUMIF(RAW_File!D:D,C:C,RAW_File!K:K)</f>
        <v>0</v>
      </c>
      <c r="H497" s="41">
        <f>SUMIF(RAW_File!D:D,C:C,RAW_File!M:M)</f>
        <v>20000</v>
      </c>
      <c r="I497" s="40">
        <f t="shared" si="9"/>
        <v>20000</v>
      </c>
    </row>
    <row r="498" spans="1:9" hidden="1" x14ac:dyDescent="0.25">
      <c r="A498" s="42" t="s">
        <v>87</v>
      </c>
      <c r="B498" s="36" t="s">
        <v>2535</v>
      </c>
      <c r="C498" s="36" t="s">
        <v>2536</v>
      </c>
      <c r="D498" s="37">
        <f>SUMIF(RAW_File!D:D,C:C,RAW_File!F:F)</f>
        <v>2518.373054900911</v>
      </c>
      <c r="E498" s="38">
        <f>SUMIF(RAW_File!D:D,C:C,RAW_File!G:G)</f>
        <v>3125</v>
      </c>
      <c r="F498" s="39">
        <f>SUMIF(RAW_File!D:D,C:C,RAW_File!I:I)</f>
        <v>9530</v>
      </c>
      <c r="G498" s="40">
        <f>SUMIF(RAW_File!D:D,C:C,RAW_File!K:K)</f>
        <v>0</v>
      </c>
      <c r="H498" s="41">
        <f>SUMIF(RAW_File!D:D,C:C,RAW_File!M:M)</f>
        <v>7000</v>
      </c>
      <c r="I498" s="40">
        <f t="shared" si="9"/>
        <v>7000</v>
      </c>
    </row>
    <row r="499" spans="1:9" hidden="1" x14ac:dyDescent="0.25">
      <c r="A499" s="36" t="s">
        <v>87</v>
      </c>
      <c r="B499" s="36" t="s">
        <v>2843</v>
      </c>
      <c r="C499" s="36" t="s">
        <v>2844</v>
      </c>
      <c r="D499" s="37">
        <f>SUMIF(RAW_File!D:D,C:C,RAW_File!F:F)</f>
        <v>11948.639905895699</v>
      </c>
      <c r="E499" s="38">
        <f>SUMIF(RAW_File!D:D,C:C,RAW_File!G:G)</f>
        <v>1000</v>
      </c>
      <c r="F499" s="39">
        <f>SUMIF(RAW_File!D:D,C:C,RAW_File!I:I)</f>
        <v>2430</v>
      </c>
      <c r="G499" s="40">
        <f>SUMIF(RAW_File!D:D,C:C,RAW_File!K:K)</f>
        <v>5000</v>
      </c>
      <c r="H499" s="41">
        <f>SUMIF(RAW_File!D:D,C:C,RAW_File!M:M)</f>
        <v>0</v>
      </c>
      <c r="I499" s="40">
        <f t="shared" si="9"/>
        <v>5000</v>
      </c>
    </row>
    <row r="500" spans="1:9" hidden="1" x14ac:dyDescent="0.25">
      <c r="A500" s="36" t="s">
        <v>87</v>
      </c>
      <c r="B500" s="36" t="s">
        <v>2926</v>
      </c>
      <c r="C500" s="36" t="s">
        <v>2927</v>
      </c>
      <c r="D500" s="37">
        <f>SUMIF(RAW_File!D:D,C:C,RAW_File!F:F)</f>
        <v>13821.63103533637</v>
      </c>
      <c r="E500" s="38">
        <f>SUMIF(RAW_File!D:D,C:C,RAW_File!G:G)</f>
        <v>4500</v>
      </c>
      <c r="F500" s="39">
        <f>SUMIF(RAW_File!D:D,C:C,RAW_File!I:I)</f>
        <v>75635</v>
      </c>
      <c r="G500" s="40">
        <f>SUMIF(RAW_File!D:D,C:C,RAW_File!K:K)</f>
        <v>0</v>
      </c>
      <c r="H500" s="41">
        <f>SUMIF(RAW_File!D:D,C:C,RAW_File!M:M)</f>
        <v>110000</v>
      </c>
      <c r="I500" s="40">
        <f t="shared" si="9"/>
        <v>110000</v>
      </c>
    </row>
    <row r="501" spans="1:9" hidden="1" x14ac:dyDescent="0.25">
      <c r="A501" s="36" t="s">
        <v>87</v>
      </c>
      <c r="B501" s="36" t="s">
        <v>2930</v>
      </c>
      <c r="C501" s="36" t="s">
        <v>2931</v>
      </c>
      <c r="D501" s="37">
        <f>SUMIF(RAW_File!D:D,C:C,RAW_File!F:F)</f>
        <v>8759.2511851079762</v>
      </c>
      <c r="E501" s="38">
        <f>SUMIF(RAW_File!D:D,C:C,RAW_File!G:G)</f>
        <v>2020</v>
      </c>
      <c r="F501" s="39">
        <f>SUMIF(RAW_File!D:D,C:C,RAW_File!I:I)</f>
        <v>5720</v>
      </c>
      <c r="G501" s="40">
        <f>SUMIF(RAW_File!D:D,C:C,RAW_File!K:K)</f>
        <v>0</v>
      </c>
      <c r="H501" s="41">
        <f>SUMIF(RAW_File!D:D,C:C,RAW_File!M:M)</f>
        <v>5000</v>
      </c>
      <c r="I501" s="40">
        <f t="shared" si="9"/>
        <v>5000</v>
      </c>
    </row>
    <row r="502" spans="1:9" hidden="1" x14ac:dyDescent="0.25">
      <c r="A502" s="36" t="s">
        <v>87</v>
      </c>
      <c r="B502" s="36" t="s">
        <v>3020</v>
      </c>
      <c r="C502" s="36" t="s">
        <v>3021</v>
      </c>
      <c r="D502" s="37">
        <f>SUMIF(RAW_File!D:D,C:C,RAW_File!F:F)</f>
        <v>10091.33232515393</v>
      </c>
      <c r="E502" s="38">
        <f>SUMIF(RAW_File!D:D,C:C,RAW_File!G:G)</f>
        <v>2000</v>
      </c>
      <c r="F502" s="39">
        <f>SUMIF(RAW_File!D:D,C:C,RAW_File!I:I)</f>
        <v>7450</v>
      </c>
      <c r="G502" s="40">
        <f>SUMIF(RAW_File!D:D,C:C,RAW_File!K:K)</f>
        <v>6000</v>
      </c>
      <c r="H502" s="41">
        <f>SUMIF(RAW_File!D:D,C:C,RAW_File!M:M)</f>
        <v>0</v>
      </c>
      <c r="I502" s="40">
        <f t="shared" si="9"/>
        <v>6000</v>
      </c>
    </row>
    <row r="503" spans="1:9" hidden="1" x14ac:dyDescent="0.25">
      <c r="A503" s="36" t="s">
        <v>87</v>
      </c>
      <c r="B503" s="36" t="s">
        <v>3227</v>
      </c>
      <c r="C503" s="36" t="s">
        <v>3228</v>
      </c>
      <c r="D503" s="37">
        <f>SUMIF(RAW_File!D:D,C:C,RAW_File!F:F)</f>
        <v>2428.7501000000002</v>
      </c>
      <c r="E503" s="38">
        <f>SUMIF(RAW_File!D:D,C:C,RAW_File!G:G)</f>
        <v>3400</v>
      </c>
      <c r="F503" s="39">
        <f>SUMIF(RAW_File!D:D,C:C,RAW_File!I:I)</f>
        <v>3400</v>
      </c>
      <c r="G503" s="40">
        <f>SUMIF(RAW_File!D:D,C:C,RAW_File!K:K)</f>
        <v>5000</v>
      </c>
      <c r="H503" s="41">
        <f>SUMIF(RAW_File!D:D,C:C,RAW_File!M:M)</f>
        <v>0</v>
      </c>
      <c r="I503" s="40">
        <f t="shared" si="9"/>
        <v>5000</v>
      </c>
    </row>
    <row r="504" spans="1:9" hidden="1" x14ac:dyDescent="0.25">
      <c r="A504" s="36" t="s">
        <v>87</v>
      </c>
      <c r="B504" s="36" t="s">
        <v>3268</v>
      </c>
      <c r="C504" s="36" t="s">
        <v>3269</v>
      </c>
      <c r="D504" s="37">
        <f>SUMIF(RAW_File!D:D,C:C,RAW_File!F:F)</f>
        <v>10368.20442984824</v>
      </c>
      <c r="E504" s="38">
        <f>SUMIF(RAW_File!D:D,C:C,RAW_File!G:G)</f>
        <v>1015</v>
      </c>
      <c r="F504" s="39">
        <f>SUMIF(RAW_File!D:D,C:C,RAW_File!I:I)</f>
        <v>1015</v>
      </c>
      <c r="G504" s="40">
        <f>SUMIF(RAW_File!D:D,C:C,RAW_File!K:K)</f>
        <v>5000</v>
      </c>
      <c r="H504" s="41">
        <f>SUMIF(RAW_File!D:D,C:C,RAW_File!M:M)</f>
        <v>0</v>
      </c>
      <c r="I504" s="40">
        <f t="shared" si="9"/>
        <v>5000</v>
      </c>
    </row>
    <row r="505" spans="1:9" hidden="1" x14ac:dyDescent="0.25">
      <c r="A505" s="36" t="s">
        <v>87</v>
      </c>
      <c r="B505" s="36" t="s">
        <v>2069</v>
      </c>
      <c r="C505" s="36" t="s">
        <v>3354</v>
      </c>
      <c r="D505" s="37">
        <f>SUMIF(RAW_File!D:D,C:C,RAW_File!F:F)</f>
        <v>4893.3229915169004</v>
      </c>
      <c r="E505" s="38">
        <f>SUMIF(RAW_File!D:D,C:C,RAW_File!G:G)</f>
        <v>300</v>
      </c>
      <c r="F505" s="39">
        <f>SUMIF(RAW_File!D:D,C:C,RAW_File!I:I)</f>
        <v>4790</v>
      </c>
      <c r="G505" s="40">
        <f>SUMIF(RAW_File!D:D,C:C,RAW_File!K:K)</f>
        <v>0</v>
      </c>
      <c r="H505" s="41">
        <f>SUMIF(RAW_File!D:D,C:C,RAW_File!M:M)</f>
        <v>5000</v>
      </c>
      <c r="I505" s="40">
        <f t="shared" si="9"/>
        <v>5000</v>
      </c>
    </row>
    <row r="506" spans="1:9" hidden="1" x14ac:dyDescent="0.25">
      <c r="A506" s="36" t="s">
        <v>87</v>
      </c>
      <c r="B506" s="36" t="s">
        <v>3414</v>
      </c>
      <c r="C506" s="36" t="s">
        <v>3415</v>
      </c>
      <c r="D506" s="37">
        <f>SUMIF(RAW_File!D:D,C:C,RAW_File!F:F)</f>
        <v>9416.1881754783008</v>
      </c>
      <c r="E506" s="38">
        <f>SUMIF(RAW_File!D:D,C:C,RAW_File!G:G)</f>
        <v>42620</v>
      </c>
      <c r="F506" s="39">
        <f>SUMIF(RAW_File!D:D,C:C,RAW_File!I:I)</f>
        <v>65600</v>
      </c>
      <c r="G506" s="40">
        <f>SUMIF(RAW_File!D:D,C:C,RAW_File!K:K)</f>
        <v>25000</v>
      </c>
      <c r="H506" s="41">
        <f>SUMIF(RAW_File!D:D,C:C,RAW_File!M:M)</f>
        <v>20000</v>
      </c>
      <c r="I506" s="40">
        <f t="shared" si="9"/>
        <v>5000</v>
      </c>
    </row>
    <row r="507" spans="1:9" hidden="1" x14ac:dyDescent="0.25">
      <c r="A507" s="36" t="s">
        <v>87</v>
      </c>
      <c r="B507" s="36" t="s">
        <v>3420</v>
      </c>
      <c r="C507" s="36" t="s">
        <v>3421</v>
      </c>
      <c r="D507" s="37">
        <f>SUMIF(RAW_File!D:D,C:C,RAW_File!F:F)</f>
        <v>1183.8735537210309</v>
      </c>
      <c r="E507" s="38">
        <f>SUMIF(RAW_File!D:D,C:C,RAW_File!G:G)</f>
        <v>500</v>
      </c>
      <c r="F507" s="39">
        <f>SUMIF(RAW_File!D:D,C:C,RAW_File!I:I)</f>
        <v>6790</v>
      </c>
      <c r="G507" s="40">
        <f>SUMIF(RAW_File!D:D,C:C,RAW_File!K:K)</f>
        <v>0</v>
      </c>
      <c r="H507" s="41">
        <f>SUMIF(RAW_File!D:D,C:C,RAW_File!M:M)</f>
        <v>7000</v>
      </c>
      <c r="I507" s="40">
        <f t="shared" si="9"/>
        <v>7000</v>
      </c>
    </row>
    <row r="508" spans="1:9" hidden="1" x14ac:dyDescent="0.25">
      <c r="A508" s="36" t="s">
        <v>87</v>
      </c>
      <c r="B508" s="36" t="s">
        <v>3518</v>
      </c>
      <c r="C508" s="36" t="s">
        <v>3519</v>
      </c>
      <c r="D508" s="37">
        <f>SUMIF(RAW_File!D:D,C:C,RAW_File!F:F)</f>
        <v>16198.549499999999</v>
      </c>
      <c r="E508" s="38">
        <f>SUMIF(RAW_File!D:D,C:C,RAW_File!G:G)</f>
        <v>0</v>
      </c>
      <c r="F508" s="39">
        <f>SUMIF(RAW_File!D:D,C:C,RAW_File!I:I)</f>
        <v>3410</v>
      </c>
      <c r="G508" s="40">
        <f>SUMIF(RAW_File!D:D,C:C,RAW_File!K:K)</f>
        <v>10000</v>
      </c>
      <c r="H508" s="41">
        <f>SUMIF(RAW_File!D:D,C:C,RAW_File!M:M)</f>
        <v>4000</v>
      </c>
      <c r="I508" s="40">
        <f t="shared" si="9"/>
        <v>6000</v>
      </c>
    </row>
    <row r="509" spans="1:9" hidden="1" x14ac:dyDescent="0.25">
      <c r="A509" s="36" t="s">
        <v>73</v>
      </c>
      <c r="B509" s="36" t="s">
        <v>310</v>
      </c>
      <c r="C509" s="36" t="s">
        <v>311</v>
      </c>
      <c r="D509" s="37">
        <f>SUMIF(RAW_File!D:D,C:C,RAW_File!F:F)</f>
        <v>6622.6738999999998</v>
      </c>
      <c r="E509" s="38">
        <f>SUMIF(RAW_File!D:D,C:C,RAW_File!G:G)</f>
        <v>1350</v>
      </c>
      <c r="F509" s="39">
        <f>SUMIF(RAW_File!D:D,C:C,RAW_File!I:I)</f>
        <v>2350</v>
      </c>
      <c r="G509" s="40">
        <f>SUMIF(RAW_File!D:D,C:C,RAW_File!K:K)</f>
        <v>5000</v>
      </c>
      <c r="H509" s="41">
        <f>SUMIF(RAW_File!D:D,C:C,RAW_File!M:M)</f>
        <v>0</v>
      </c>
      <c r="I509" s="40">
        <f t="shared" si="9"/>
        <v>5000</v>
      </c>
    </row>
    <row r="510" spans="1:9" hidden="1" x14ac:dyDescent="0.25">
      <c r="A510" s="36" t="s">
        <v>73</v>
      </c>
      <c r="B510" s="36" t="s">
        <v>320</v>
      </c>
      <c r="C510" s="36" t="s">
        <v>321</v>
      </c>
      <c r="D510" s="37">
        <f>SUMIF(RAW_File!D:D,C:C,RAW_File!F:F)</f>
        <v>6163.9446191382121</v>
      </c>
      <c r="E510" s="38">
        <f>SUMIF(RAW_File!D:D,C:C,RAW_File!G:G)</f>
        <v>0</v>
      </c>
      <c r="F510" s="39">
        <f>SUMIF(RAW_File!D:D,C:C,RAW_File!I:I)</f>
        <v>0</v>
      </c>
      <c r="G510" s="40">
        <f>SUMIF(RAW_File!D:D,C:C,RAW_File!K:K)</f>
        <v>6000</v>
      </c>
      <c r="H510" s="41">
        <f>SUMIF(RAW_File!D:D,C:C,RAW_File!M:M)</f>
        <v>0</v>
      </c>
      <c r="I510" s="40">
        <f t="shared" si="9"/>
        <v>6000</v>
      </c>
    </row>
    <row r="511" spans="1:9" hidden="1" x14ac:dyDescent="0.25">
      <c r="A511" s="36" t="s">
        <v>73</v>
      </c>
      <c r="B511" s="36" t="s">
        <v>397</v>
      </c>
      <c r="C511" s="36" t="s">
        <v>398</v>
      </c>
      <c r="D511" s="37">
        <f>SUMIF(RAW_File!D:D,C:C,RAW_File!F:F)</f>
        <v>4347.5663775139928</v>
      </c>
      <c r="E511" s="38">
        <f>SUMIF(RAW_File!D:D,C:C,RAW_File!G:G)</f>
        <v>0</v>
      </c>
      <c r="F511" s="39">
        <f>SUMIF(RAW_File!D:D,C:C,RAW_File!I:I)</f>
        <v>9240</v>
      </c>
      <c r="G511" s="40">
        <f>SUMIF(RAW_File!D:D,C:C,RAW_File!K:K)</f>
        <v>0</v>
      </c>
      <c r="H511" s="41">
        <f>SUMIF(RAW_File!D:D,C:C,RAW_File!M:M)</f>
        <v>5000</v>
      </c>
      <c r="I511" s="40">
        <f t="shared" si="9"/>
        <v>5000</v>
      </c>
    </row>
    <row r="512" spans="1:9" hidden="1" x14ac:dyDescent="0.25">
      <c r="A512" s="36" t="s">
        <v>73</v>
      </c>
      <c r="B512" s="36" t="s">
        <v>870</v>
      </c>
      <c r="C512" s="36" t="s">
        <v>871</v>
      </c>
      <c r="D512" s="37">
        <f>SUMIF(RAW_File!D:D,C:C,RAW_File!F:F)</f>
        <v>5946.3292685315964</v>
      </c>
      <c r="E512" s="38">
        <f>SUMIF(RAW_File!D:D,C:C,RAW_File!G:G)</f>
        <v>6980</v>
      </c>
      <c r="F512" s="39">
        <f>SUMIF(RAW_File!D:D,C:C,RAW_File!I:I)</f>
        <v>20610</v>
      </c>
      <c r="G512" s="40">
        <f>SUMIF(RAW_File!D:D,C:C,RAW_File!K:K)</f>
        <v>5000</v>
      </c>
      <c r="H512" s="41">
        <f>SUMIF(RAW_File!D:D,C:C,RAW_File!M:M)</f>
        <v>10000</v>
      </c>
      <c r="I512" s="40">
        <f t="shared" si="9"/>
        <v>5000</v>
      </c>
    </row>
    <row r="513" spans="1:9" hidden="1" x14ac:dyDescent="0.25">
      <c r="A513" s="36" t="s">
        <v>73</v>
      </c>
      <c r="B513" s="36" t="s">
        <v>889</v>
      </c>
      <c r="C513" s="36" t="s">
        <v>890</v>
      </c>
      <c r="D513" s="37">
        <f>SUMIF(RAW_File!D:D,C:C,RAW_File!F:F)</f>
        <v>435.15517940392567</v>
      </c>
      <c r="E513" s="38">
        <f>SUMIF(RAW_File!D:D,C:C,RAW_File!G:G)</f>
        <v>0</v>
      </c>
      <c r="F513" s="39">
        <f>SUMIF(RAW_File!D:D,C:C,RAW_File!I:I)</f>
        <v>0</v>
      </c>
      <c r="G513" s="40">
        <f>SUMIF(RAW_File!D:D,C:C,RAW_File!K:K)</f>
        <v>0</v>
      </c>
      <c r="H513" s="41">
        <f>SUMIF(RAW_File!D:D,C:C,RAW_File!M:M)</f>
        <v>0</v>
      </c>
      <c r="I513" s="40">
        <f t="shared" si="9"/>
        <v>0</v>
      </c>
    </row>
    <row r="514" spans="1:9" hidden="1" x14ac:dyDescent="0.25">
      <c r="A514" s="36" t="s">
        <v>73</v>
      </c>
      <c r="B514" s="36" t="s">
        <v>913</v>
      </c>
      <c r="C514" s="36" t="s">
        <v>914</v>
      </c>
      <c r="D514" s="37">
        <f>SUMIF(RAW_File!D:D,C:C,RAW_File!F:F)</f>
        <v>5022.2996769317297</v>
      </c>
      <c r="E514" s="38">
        <f>SUMIF(RAW_File!D:D,C:C,RAW_File!G:G)</f>
        <v>8090</v>
      </c>
      <c r="F514" s="39">
        <f>SUMIF(RAW_File!D:D,C:C,RAW_File!I:I)</f>
        <v>8090</v>
      </c>
      <c r="G514" s="40">
        <f>SUMIF(RAW_File!D:D,C:C,RAW_File!K:K)</f>
        <v>5000</v>
      </c>
      <c r="H514" s="41">
        <f>SUMIF(RAW_File!D:D,C:C,RAW_File!M:M)</f>
        <v>0</v>
      </c>
      <c r="I514" s="40">
        <f t="shared" si="9"/>
        <v>5000</v>
      </c>
    </row>
    <row r="515" spans="1:9" hidden="1" x14ac:dyDescent="0.25">
      <c r="A515" s="36" t="s">
        <v>73</v>
      </c>
      <c r="B515" s="36" t="s">
        <v>951</v>
      </c>
      <c r="C515" s="36" t="s">
        <v>952</v>
      </c>
      <c r="D515" s="37">
        <f>SUMIF(RAW_File!D:D,C:C,RAW_File!F:F)</f>
        <v>6971.19021062312</v>
      </c>
      <c r="E515" s="38">
        <f>SUMIF(RAW_File!D:D,C:C,RAW_File!G:G)</f>
        <v>2000</v>
      </c>
      <c r="F515" s="39">
        <f>SUMIF(RAW_File!D:D,C:C,RAW_File!I:I)</f>
        <v>2102</v>
      </c>
      <c r="G515" s="40">
        <f>SUMIF(RAW_File!D:D,C:C,RAW_File!K:K)</f>
        <v>5000</v>
      </c>
      <c r="H515" s="41">
        <f>SUMIF(RAW_File!D:D,C:C,RAW_File!M:M)</f>
        <v>0</v>
      </c>
      <c r="I515" s="40">
        <f t="shared" ref="I515:I578" si="10">ABS(G515-H515)</f>
        <v>5000</v>
      </c>
    </row>
    <row r="516" spans="1:9" hidden="1" x14ac:dyDescent="0.25">
      <c r="A516" s="36" t="s">
        <v>73</v>
      </c>
      <c r="B516" s="36" t="s">
        <v>1065</v>
      </c>
      <c r="C516" s="36" t="s">
        <v>1066</v>
      </c>
      <c r="D516" s="37">
        <f>SUMIF(RAW_File!D:D,C:C,RAW_File!F:F)</f>
        <v>6021.2761</v>
      </c>
      <c r="E516" s="38">
        <f>SUMIF(RAW_File!D:D,C:C,RAW_File!G:G)</f>
        <v>0</v>
      </c>
      <c r="F516" s="39">
        <f>SUMIF(RAW_File!D:D,C:C,RAW_File!I:I)</f>
        <v>0</v>
      </c>
      <c r="G516" s="40">
        <f>SUMIF(RAW_File!D:D,C:C,RAW_File!K:K)</f>
        <v>6000</v>
      </c>
      <c r="H516" s="41">
        <f>SUMIF(RAW_File!D:D,C:C,RAW_File!M:M)</f>
        <v>0</v>
      </c>
      <c r="I516" s="40">
        <f t="shared" si="10"/>
        <v>6000</v>
      </c>
    </row>
    <row r="517" spans="1:9" hidden="1" x14ac:dyDescent="0.25">
      <c r="A517" s="42" t="s">
        <v>73</v>
      </c>
      <c r="B517" s="36" t="s">
        <v>1097</v>
      </c>
      <c r="C517" s="42" t="s">
        <v>1098</v>
      </c>
      <c r="D517" s="37">
        <f>SUMIF(RAW_File!D:D,C:C,RAW_File!F:F)</f>
        <v>6724.5432690423631</v>
      </c>
      <c r="E517" s="38">
        <f>SUMIF(RAW_File!D:D,C:C,RAW_File!G:G)</f>
        <v>4100</v>
      </c>
      <c r="F517" s="39">
        <f>SUMIF(RAW_File!D:D,C:C,RAW_File!I:I)</f>
        <v>4600</v>
      </c>
      <c r="G517" s="40">
        <f>SUMIF(RAW_File!D:D,C:C,RAW_File!K:K)</f>
        <v>5000</v>
      </c>
      <c r="H517" s="41">
        <f>SUMIF(RAW_File!D:D,C:C,RAW_File!M:M)</f>
        <v>0</v>
      </c>
      <c r="I517" s="40">
        <f t="shared" si="10"/>
        <v>5000</v>
      </c>
    </row>
    <row r="518" spans="1:9" hidden="1" x14ac:dyDescent="0.25">
      <c r="A518" s="36" t="s">
        <v>73</v>
      </c>
      <c r="B518" s="36" t="s">
        <v>1133</v>
      </c>
      <c r="C518" s="36" t="s">
        <v>1134</v>
      </c>
      <c r="D518" s="37">
        <f>SUMIF(RAW_File!D:D,C:C,RAW_File!F:F)</f>
        <v>9474.2684410257243</v>
      </c>
      <c r="E518" s="38">
        <f>SUMIF(RAW_File!D:D,C:C,RAW_File!G:G)</f>
        <v>200</v>
      </c>
      <c r="F518" s="39">
        <f>SUMIF(RAW_File!D:D,C:C,RAW_File!I:I)</f>
        <v>1200</v>
      </c>
      <c r="G518" s="40">
        <f>SUMIF(RAW_File!D:D,C:C,RAW_File!K:K)</f>
        <v>6000</v>
      </c>
      <c r="H518" s="41">
        <f>SUMIF(RAW_File!D:D,C:C,RAW_File!M:M)</f>
        <v>0</v>
      </c>
      <c r="I518" s="40">
        <f t="shared" si="10"/>
        <v>6000</v>
      </c>
    </row>
    <row r="519" spans="1:9" hidden="1" x14ac:dyDescent="0.25">
      <c r="A519" s="36" t="s">
        <v>73</v>
      </c>
      <c r="B519" s="36" t="s">
        <v>1178</v>
      </c>
      <c r="C519" s="36" t="s">
        <v>1179</v>
      </c>
      <c r="D519" s="37">
        <f>SUMIF(RAW_File!D:D,C:C,RAW_File!F:F)</f>
        <v>289.20960000000002</v>
      </c>
      <c r="E519" s="38">
        <f>SUMIF(RAW_File!D:D,C:C,RAW_File!G:G)</f>
        <v>4050</v>
      </c>
      <c r="F519" s="39">
        <f>SUMIF(RAW_File!D:D,C:C,RAW_File!I:I)</f>
        <v>8600</v>
      </c>
      <c r="G519" s="40">
        <f>SUMIF(RAW_File!D:D,C:C,RAW_File!K:K)</f>
        <v>0</v>
      </c>
      <c r="H519" s="41">
        <f>SUMIF(RAW_File!D:D,C:C,RAW_File!M:M)</f>
        <v>5000</v>
      </c>
      <c r="I519" s="40">
        <f t="shared" si="10"/>
        <v>5000</v>
      </c>
    </row>
    <row r="520" spans="1:9" hidden="1" x14ac:dyDescent="0.25">
      <c r="A520" s="36" t="s">
        <v>73</v>
      </c>
      <c r="B520" s="36" t="s">
        <v>1180</v>
      </c>
      <c r="C520" s="36" t="s">
        <v>1181</v>
      </c>
      <c r="D520" s="37">
        <f>SUMIF(RAW_File!D:D,C:C,RAW_File!F:F)</f>
        <v>1217.9921882511189</v>
      </c>
      <c r="E520" s="38">
        <f>SUMIF(RAW_File!D:D,C:C,RAW_File!G:G)</f>
        <v>0</v>
      </c>
      <c r="F520" s="39">
        <f>SUMIF(RAW_File!D:D,C:C,RAW_File!I:I)</f>
        <v>70000</v>
      </c>
      <c r="G520" s="40">
        <f>SUMIF(RAW_File!D:D,C:C,RAW_File!K:K)</f>
        <v>0</v>
      </c>
      <c r="H520" s="41">
        <f>SUMIF(RAW_File!D:D,C:C,RAW_File!M:M)</f>
        <v>130000</v>
      </c>
      <c r="I520" s="40">
        <f t="shared" si="10"/>
        <v>130000</v>
      </c>
    </row>
    <row r="521" spans="1:9" hidden="1" x14ac:dyDescent="0.25">
      <c r="A521" s="36" t="s">
        <v>73</v>
      </c>
      <c r="B521" s="36" t="s">
        <v>1191</v>
      </c>
      <c r="C521" s="36" t="s">
        <v>1192</v>
      </c>
      <c r="D521" s="37">
        <f>SUMIF(RAW_File!D:D,C:C,RAW_File!F:F)</f>
        <v>249.5626818412324</v>
      </c>
      <c r="E521" s="38">
        <f>SUMIF(RAW_File!D:D,C:C,RAW_File!G:G)</f>
        <v>2030</v>
      </c>
      <c r="F521" s="39">
        <f>SUMIF(RAW_File!D:D,C:C,RAW_File!I:I)</f>
        <v>8920</v>
      </c>
      <c r="G521" s="40">
        <f>SUMIF(RAW_File!D:D,C:C,RAW_File!K:K)</f>
        <v>5000</v>
      </c>
      <c r="H521" s="41">
        <f>SUMIF(RAW_File!D:D,C:C,RAW_File!M:M)</f>
        <v>10000</v>
      </c>
      <c r="I521" s="40">
        <f t="shared" si="10"/>
        <v>5000</v>
      </c>
    </row>
    <row r="522" spans="1:9" hidden="1" x14ac:dyDescent="0.25">
      <c r="A522" s="36" t="s">
        <v>73</v>
      </c>
      <c r="B522" s="36" t="s">
        <v>1279</v>
      </c>
      <c r="C522" s="36" t="s">
        <v>1280</v>
      </c>
      <c r="D522" s="37">
        <f>SUMIF(RAW_File!D:D,C:C,RAW_File!F:F)</f>
        <v>23615.046108574988</v>
      </c>
      <c r="E522" s="38">
        <f>SUMIF(RAW_File!D:D,C:C,RAW_File!G:G)</f>
        <v>7180</v>
      </c>
      <c r="F522" s="39">
        <f>SUMIF(RAW_File!D:D,C:C,RAW_File!I:I)</f>
        <v>13880</v>
      </c>
      <c r="G522" s="40">
        <f>SUMIF(RAW_File!D:D,C:C,RAW_File!K:K)</f>
        <v>0</v>
      </c>
      <c r="H522" s="41">
        <f>SUMIF(RAW_File!D:D,C:C,RAW_File!M:M)</f>
        <v>20000</v>
      </c>
      <c r="I522" s="40">
        <f t="shared" si="10"/>
        <v>20000</v>
      </c>
    </row>
    <row r="523" spans="1:9" hidden="1" x14ac:dyDescent="0.25">
      <c r="A523" s="36" t="s">
        <v>73</v>
      </c>
      <c r="B523" s="36" t="s">
        <v>1285</v>
      </c>
      <c r="C523" s="36" t="s">
        <v>1286</v>
      </c>
      <c r="D523" s="37">
        <f>SUMIF(RAW_File!D:D,C:C,RAW_File!F:F)</f>
        <v>7842.8167999999996</v>
      </c>
      <c r="E523" s="38">
        <f>SUMIF(RAW_File!D:D,C:C,RAW_File!G:G)</f>
        <v>0</v>
      </c>
      <c r="F523" s="39">
        <f>SUMIF(RAW_File!D:D,C:C,RAW_File!I:I)</f>
        <v>2000</v>
      </c>
      <c r="G523" s="40">
        <f>SUMIF(RAW_File!D:D,C:C,RAW_File!K:K)</f>
        <v>5000</v>
      </c>
      <c r="H523" s="41">
        <f>SUMIF(RAW_File!D:D,C:C,RAW_File!M:M)</f>
        <v>0</v>
      </c>
      <c r="I523" s="40">
        <f t="shared" si="10"/>
        <v>5000</v>
      </c>
    </row>
    <row r="524" spans="1:9" hidden="1" x14ac:dyDescent="0.25">
      <c r="A524" s="36" t="s">
        <v>73</v>
      </c>
      <c r="B524" s="36" t="s">
        <v>1112</v>
      </c>
      <c r="C524" s="36" t="s">
        <v>1311</v>
      </c>
      <c r="D524" s="37">
        <f>SUMIF(RAW_File!D:D,C:C,RAW_File!F:F)</f>
        <v>3195.5706767665502</v>
      </c>
      <c r="E524" s="38">
        <f>SUMIF(RAW_File!D:D,C:C,RAW_File!G:G)</f>
        <v>600</v>
      </c>
      <c r="F524" s="39">
        <f>SUMIF(RAW_File!D:D,C:C,RAW_File!I:I)</f>
        <v>10338</v>
      </c>
      <c r="G524" s="40">
        <f>SUMIF(RAW_File!D:D,C:C,RAW_File!K:K)</f>
        <v>0</v>
      </c>
      <c r="H524" s="41">
        <f>SUMIF(RAW_File!D:D,C:C,RAW_File!M:M)</f>
        <v>14000</v>
      </c>
      <c r="I524" s="40">
        <f t="shared" si="10"/>
        <v>14000</v>
      </c>
    </row>
    <row r="525" spans="1:9" hidden="1" x14ac:dyDescent="0.25">
      <c r="A525" s="36" t="s">
        <v>73</v>
      </c>
      <c r="B525" s="36" t="s">
        <v>1350</v>
      </c>
      <c r="C525" s="36" t="s">
        <v>1351</v>
      </c>
      <c r="D525" s="37">
        <f>SUMIF(RAW_File!D:D,C:C,RAW_File!F:F)</f>
        <v>2913.892172742695</v>
      </c>
      <c r="E525" s="38">
        <f>SUMIF(RAW_File!D:D,C:C,RAW_File!G:G)</f>
        <v>32400</v>
      </c>
      <c r="F525" s="39">
        <f>SUMIF(RAW_File!D:D,C:C,RAW_File!I:I)</f>
        <v>33900</v>
      </c>
      <c r="G525" s="40">
        <f>SUMIF(RAW_File!D:D,C:C,RAW_File!K:K)</f>
        <v>30000</v>
      </c>
      <c r="H525" s="41">
        <f>SUMIF(RAW_File!D:D,C:C,RAW_File!M:M)</f>
        <v>0</v>
      </c>
      <c r="I525" s="40">
        <f t="shared" si="10"/>
        <v>30000</v>
      </c>
    </row>
    <row r="526" spans="1:9" hidden="1" x14ac:dyDescent="0.25">
      <c r="A526" s="36" t="s">
        <v>73</v>
      </c>
      <c r="B526" s="36" t="s">
        <v>1359</v>
      </c>
      <c r="C526" s="36" t="s">
        <v>1360</v>
      </c>
      <c r="D526" s="37">
        <f>SUMIF(RAW_File!D:D,C:C,RAW_File!F:F)</f>
        <v>19832.861400000002</v>
      </c>
      <c r="E526" s="38">
        <f>SUMIF(RAW_File!D:D,C:C,RAW_File!G:G)</f>
        <v>1324</v>
      </c>
      <c r="F526" s="39">
        <f>SUMIF(RAW_File!D:D,C:C,RAW_File!I:I)</f>
        <v>3764</v>
      </c>
      <c r="G526" s="40">
        <f>SUMIF(RAW_File!D:D,C:C,RAW_File!K:K)</f>
        <v>10000</v>
      </c>
      <c r="H526" s="41">
        <f>SUMIF(RAW_File!D:D,C:C,RAW_File!M:M)</f>
        <v>0</v>
      </c>
      <c r="I526" s="40">
        <f t="shared" si="10"/>
        <v>10000</v>
      </c>
    </row>
    <row r="527" spans="1:9" hidden="1" x14ac:dyDescent="0.25">
      <c r="A527" s="36" t="s">
        <v>73</v>
      </c>
      <c r="B527" s="36" t="s">
        <v>1430</v>
      </c>
      <c r="C527" s="36" t="s">
        <v>1431</v>
      </c>
      <c r="D527" s="37">
        <f>SUMIF(RAW_File!D:D,C:C,RAW_File!F:F)</f>
        <v>200.31819999999999</v>
      </c>
      <c r="E527" s="38">
        <f>SUMIF(RAW_File!D:D,C:C,RAW_File!G:G)</f>
        <v>5000</v>
      </c>
      <c r="F527" s="39">
        <f>SUMIF(RAW_File!D:D,C:C,RAW_File!I:I)</f>
        <v>5000</v>
      </c>
      <c r="G527" s="40">
        <f>SUMIF(RAW_File!D:D,C:C,RAW_File!K:K)</f>
        <v>5000</v>
      </c>
      <c r="H527" s="41">
        <f>SUMIF(RAW_File!D:D,C:C,RAW_File!M:M)</f>
        <v>0</v>
      </c>
      <c r="I527" s="40">
        <f t="shared" si="10"/>
        <v>5000</v>
      </c>
    </row>
    <row r="528" spans="1:9" hidden="1" x14ac:dyDescent="0.25">
      <c r="A528" s="36" t="s">
        <v>73</v>
      </c>
      <c r="B528" s="36" t="s">
        <v>1678</v>
      </c>
      <c r="C528" s="36" t="s">
        <v>1679</v>
      </c>
      <c r="D528" s="37">
        <f>SUMIF(RAW_File!D:D,C:C,RAW_File!F:F)</f>
        <v>4227.2239033841261</v>
      </c>
      <c r="E528" s="38">
        <f>SUMIF(RAW_File!D:D,C:C,RAW_File!G:G)</f>
        <v>0</v>
      </c>
      <c r="F528" s="39">
        <f>SUMIF(RAW_File!D:D,C:C,RAW_File!I:I)</f>
        <v>2950</v>
      </c>
      <c r="G528" s="40">
        <f>SUMIF(RAW_File!D:D,C:C,RAW_File!K:K)</f>
        <v>0</v>
      </c>
      <c r="H528" s="41">
        <f>SUMIF(RAW_File!D:D,C:C,RAW_File!M:M)</f>
        <v>5000</v>
      </c>
      <c r="I528" s="40">
        <f t="shared" si="10"/>
        <v>5000</v>
      </c>
    </row>
    <row r="529" spans="1:9" hidden="1" x14ac:dyDescent="0.25">
      <c r="A529" s="36" t="s">
        <v>73</v>
      </c>
      <c r="B529" s="36" t="s">
        <v>1688</v>
      </c>
      <c r="C529" s="36" t="s">
        <v>1689</v>
      </c>
      <c r="D529" s="37">
        <f>SUMIF(RAW_File!D:D,C:C,RAW_File!F:F)</f>
        <v>47.954349999999998</v>
      </c>
      <c r="E529" s="38">
        <f>SUMIF(RAW_File!D:D,C:C,RAW_File!G:G)</f>
        <v>5000</v>
      </c>
      <c r="F529" s="39">
        <f>SUMIF(RAW_File!D:D,C:C,RAW_File!I:I)</f>
        <v>5000</v>
      </c>
      <c r="G529" s="40">
        <f>SUMIF(RAW_File!D:D,C:C,RAW_File!K:K)</f>
        <v>5000</v>
      </c>
      <c r="H529" s="41">
        <f>SUMIF(RAW_File!D:D,C:C,RAW_File!M:M)</f>
        <v>0</v>
      </c>
      <c r="I529" s="40">
        <f t="shared" si="10"/>
        <v>5000</v>
      </c>
    </row>
    <row r="530" spans="1:9" hidden="1" x14ac:dyDescent="0.25">
      <c r="A530" s="36" t="s">
        <v>73</v>
      </c>
      <c r="B530" s="36" t="s">
        <v>1694</v>
      </c>
      <c r="C530" s="36" t="s">
        <v>1695</v>
      </c>
      <c r="D530" s="37">
        <f>SUMIF(RAW_File!D:D,C:C,RAW_File!F:F)</f>
        <v>5475.0204999999996</v>
      </c>
      <c r="E530" s="38">
        <f>SUMIF(RAW_File!D:D,C:C,RAW_File!G:G)</f>
        <v>0</v>
      </c>
      <c r="F530" s="39">
        <f>SUMIF(RAW_File!D:D,C:C,RAW_File!I:I)</f>
        <v>3000</v>
      </c>
      <c r="G530" s="40">
        <f>SUMIF(RAW_File!D:D,C:C,RAW_File!K:K)</f>
        <v>0</v>
      </c>
      <c r="H530" s="41">
        <f>SUMIF(RAW_File!D:D,C:C,RAW_File!M:M)</f>
        <v>8000</v>
      </c>
      <c r="I530" s="40">
        <f t="shared" si="10"/>
        <v>8000</v>
      </c>
    </row>
    <row r="531" spans="1:9" hidden="1" x14ac:dyDescent="0.25">
      <c r="A531" s="36" t="s">
        <v>73</v>
      </c>
      <c r="B531" s="36" t="s">
        <v>1837</v>
      </c>
      <c r="C531" s="36" t="s">
        <v>1838</v>
      </c>
      <c r="D531" s="37">
        <f>SUMIF(RAW_File!D:D,C:C,RAW_File!F:F)</f>
        <v>14656.63385</v>
      </c>
      <c r="E531" s="38">
        <f>SUMIF(RAW_File!D:D,C:C,RAW_File!G:G)</f>
        <v>100</v>
      </c>
      <c r="F531" s="39">
        <f>SUMIF(RAW_File!D:D,C:C,RAW_File!I:I)</f>
        <v>8740</v>
      </c>
      <c r="G531" s="40">
        <f>SUMIF(RAW_File!D:D,C:C,RAW_File!K:K)</f>
        <v>6000</v>
      </c>
      <c r="H531" s="41">
        <f>SUMIF(RAW_File!D:D,C:C,RAW_File!M:M)</f>
        <v>0</v>
      </c>
      <c r="I531" s="40">
        <f t="shared" si="10"/>
        <v>6000</v>
      </c>
    </row>
    <row r="532" spans="1:9" hidden="1" x14ac:dyDescent="0.25">
      <c r="A532" s="36" t="s">
        <v>73</v>
      </c>
      <c r="B532" s="36" t="s">
        <v>1855</v>
      </c>
      <c r="C532" s="36" t="s">
        <v>1856</v>
      </c>
      <c r="D532" s="37">
        <f>SUMIF(RAW_File!D:D,C:C,RAW_File!F:F)</f>
        <v>2.9746999999999999</v>
      </c>
      <c r="E532" s="38">
        <f>SUMIF(RAW_File!D:D,C:C,RAW_File!G:G)</f>
        <v>0</v>
      </c>
      <c r="F532" s="39">
        <f>SUMIF(RAW_File!D:D,C:C,RAW_File!I:I)</f>
        <v>25655</v>
      </c>
      <c r="G532" s="40">
        <f>SUMIF(RAW_File!D:D,C:C,RAW_File!K:K)</f>
        <v>5000</v>
      </c>
      <c r="H532" s="41">
        <f>SUMIF(RAW_File!D:D,C:C,RAW_File!M:M)</f>
        <v>35000</v>
      </c>
      <c r="I532" s="40">
        <f t="shared" si="10"/>
        <v>30000</v>
      </c>
    </row>
    <row r="533" spans="1:9" hidden="1" x14ac:dyDescent="0.25">
      <c r="A533" s="36" t="s">
        <v>73</v>
      </c>
      <c r="B533" s="36" t="s">
        <v>2199</v>
      </c>
      <c r="C533" s="36" t="s">
        <v>2200</v>
      </c>
      <c r="D533" s="37">
        <f>SUMIF(RAW_File!D:D,C:C,RAW_File!F:F)</f>
        <v>5439.8236500254998</v>
      </c>
      <c r="E533" s="38">
        <f>SUMIF(RAW_File!D:D,C:C,RAW_File!G:G)</f>
        <v>0</v>
      </c>
      <c r="F533" s="39">
        <f>SUMIF(RAW_File!D:D,C:C,RAW_File!I:I)</f>
        <v>0</v>
      </c>
      <c r="G533" s="40">
        <f>SUMIF(RAW_File!D:D,C:C,RAW_File!K:K)</f>
        <v>5000</v>
      </c>
      <c r="H533" s="41">
        <f>SUMIF(RAW_File!D:D,C:C,RAW_File!M:M)</f>
        <v>0</v>
      </c>
      <c r="I533" s="40">
        <f t="shared" si="10"/>
        <v>5000</v>
      </c>
    </row>
    <row r="534" spans="1:9" hidden="1" x14ac:dyDescent="0.25">
      <c r="A534" s="36" t="s">
        <v>73</v>
      </c>
      <c r="B534" s="36" t="s">
        <v>2245</v>
      </c>
      <c r="C534" s="36" t="s">
        <v>2246</v>
      </c>
      <c r="D534" s="37">
        <f>SUMIF(RAW_File!D:D,C:C,RAW_File!F:F)</f>
        <v>3714.3283999999999</v>
      </c>
      <c r="E534" s="38">
        <f>SUMIF(RAW_File!D:D,C:C,RAW_File!G:G)</f>
        <v>0</v>
      </c>
      <c r="F534" s="39">
        <f>SUMIF(RAW_File!D:D,C:C,RAW_File!I:I)</f>
        <v>0</v>
      </c>
      <c r="G534" s="40">
        <f>SUMIF(RAW_File!D:D,C:C,RAW_File!K:K)</f>
        <v>0</v>
      </c>
      <c r="H534" s="41">
        <f>SUMIF(RAW_File!D:D,C:C,RAW_File!M:M)</f>
        <v>5000</v>
      </c>
      <c r="I534" s="40">
        <f t="shared" si="10"/>
        <v>5000</v>
      </c>
    </row>
    <row r="535" spans="1:9" hidden="1" x14ac:dyDescent="0.25">
      <c r="A535" s="36" t="s">
        <v>73</v>
      </c>
      <c r="B535" s="36" t="s">
        <v>2284</v>
      </c>
      <c r="C535" s="36" t="s">
        <v>2285</v>
      </c>
      <c r="D535" s="37">
        <f>SUMIF(RAW_File!D:D,C:C,RAW_File!F:F)</f>
        <v>19888.73575945371</v>
      </c>
      <c r="E535" s="38">
        <f>SUMIF(RAW_File!D:D,C:C,RAW_File!G:G)</f>
        <v>450</v>
      </c>
      <c r="F535" s="39">
        <f>SUMIF(RAW_File!D:D,C:C,RAW_File!I:I)</f>
        <v>450</v>
      </c>
      <c r="G535" s="40">
        <f>SUMIF(RAW_File!D:D,C:C,RAW_File!K:K)</f>
        <v>5000</v>
      </c>
      <c r="H535" s="41">
        <f>SUMIF(RAW_File!D:D,C:C,RAW_File!M:M)</f>
        <v>0</v>
      </c>
      <c r="I535" s="40">
        <f t="shared" si="10"/>
        <v>5000</v>
      </c>
    </row>
    <row r="536" spans="1:9" hidden="1" x14ac:dyDescent="0.25">
      <c r="A536" s="36" t="s">
        <v>73</v>
      </c>
      <c r="B536" s="36" t="s">
        <v>2298</v>
      </c>
      <c r="C536" s="36" t="s">
        <v>2299</v>
      </c>
      <c r="D536" s="37">
        <f>SUMIF(RAW_File!D:D,C:C,RAW_File!F:F)</f>
        <v>2227.4680106003179</v>
      </c>
      <c r="E536" s="38">
        <f>SUMIF(RAW_File!D:D,C:C,RAW_File!G:G)</f>
        <v>9250</v>
      </c>
      <c r="F536" s="39">
        <f>SUMIF(RAW_File!D:D,C:C,RAW_File!I:I)</f>
        <v>30120</v>
      </c>
      <c r="G536" s="40">
        <f>SUMIF(RAW_File!D:D,C:C,RAW_File!K:K)</f>
        <v>0</v>
      </c>
      <c r="H536" s="41">
        <f>SUMIF(RAW_File!D:D,C:C,RAW_File!M:M)</f>
        <v>15000</v>
      </c>
      <c r="I536" s="40">
        <f t="shared" si="10"/>
        <v>15000</v>
      </c>
    </row>
    <row r="537" spans="1:9" hidden="1" x14ac:dyDescent="0.25">
      <c r="A537" s="36" t="s">
        <v>73</v>
      </c>
      <c r="B537" s="36" t="s">
        <v>2395</v>
      </c>
      <c r="C537" s="36" t="s">
        <v>2396</v>
      </c>
      <c r="D537" s="37">
        <f>SUMIF(RAW_File!D:D,C:C,RAW_File!F:F)</f>
        <v>550.35820000000001</v>
      </c>
      <c r="E537" s="38">
        <f>SUMIF(RAW_File!D:D,C:C,RAW_File!G:G)</f>
        <v>19342</v>
      </c>
      <c r="F537" s="39">
        <f>SUMIF(RAW_File!D:D,C:C,RAW_File!I:I)</f>
        <v>37997</v>
      </c>
      <c r="G537" s="40">
        <f>SUMIF(RAW_File!D:D,C:C,RAW_File!K:K)</f>
        <v>0</v>
      </c>
      <c r="H537" s="41">
        <f>SUMIF(RAW_File!D:D,C:C,RAW_File!M:M)</f>
        <v>0</v>
      </c>
      <c r="I537" s="40">
        <f t="shared" si="10"/>
        <v>0</v>
      </c>
    </row>
    <row r="538" spans="1:9" hidden="1" x14ac:dyDescent="0.25">
      <c r="A538" s="36" t="s">
        <v>73</v>
      </c>
      <c r="B538" s="36" t="s">
        <v>2487</v>
      </c>
      <c r="C538" s="36" t="s">
        <v>2488</v>
      </c>
      <c r="D538" s="37">
        <f>SUMIF(RAW_File!D:D,C:C,RAW_File!F:F)</f>
        <v>6337.4137000000001</v>
      </c>
      <c r="E538" s="38">
        <f>SUMIF(RAW_File!D:D,C:C,RAW_File!G:G)</f>
        <v>0</v>
      </c>
      <c r="F538" s="39">
        <f>SUMIF(RAW_File!D:D,C:C,RAW_File!I:I)</f>
        <v>0</v>
      </c>
      <c r="G538" s="40">
        <f>SUMIF(RAW_File!D:D,C:C,RAW_File!K:K)</f>
        <v>6000</v>
      </c>
      <c r="H538" s="41">
        <f>SUMIF(RAW_File!D:D,C:C,RAW_File!M:M)</f>
        <v>0</v>
      </c>
      <c r="I538" s="40">
        <f t="shared" si="10"/>
        <v>6000</v>
      </c>
    </row>
    <row r="539" spans="1:9" hidden="1" x14ac:dyDescent="0.25">
      <c r="A539" s="36" t="s">
        <v>73</v>
      </c>
      <c r="B539" s="36" t="s">
        <v>290</v>
      </c>
      <c r="C539" s="36" t="s">
        <v>2543</v>
      </c>
      <c r="D539" s="37">
        <f>SUMIF(RAW_File!D:D,C:C,RAW_File!F:F)</f>
        <v>3524.0118619726891</v>
      </c>
      <c r="E539" s="38">
        <f>SUMIF(RAW_File!D:D,C:C,RAW_File!G:G)</f>
        <v>5160</v>
      </c>
      <c r="F539" s="39">
        <f>SUMIF(RAW_File!D:D,C:C,RAW_File!I:I)</f>
        <v>31554</v>
      </c>
      <c r="G539" s="40">
        <f>SUMIF(RAW_File!D:D,C:C,RAW_File!K:K)</f>
        <v>5000</v>
      </c>
      <c r="H539" s="41">
        <f>SUMIF(RAW_File!D:D,C:C,RAW_File!M:M)</f>
        <v>30000</v>
      </c>
      <c r="I539" s="40">
        <f t="shared" si="10"/>
        <v>25000</v>
      </c>
    </row>
    <row r="540" spans="1:9" hidden="1" x14ac:dyDescent="0.25">
      <c r="A540" s="36" t="s">
        <v>73</v>
      </c>
      <c r="B540" s="36" t="s">
        <v>2646</v>
      </c>
      <c r="C540" s="36" t="s">
        <v>2647</v>
      </c>
      <c r="D540" s="37">
        <f>SUMIF(RAW_File!D:D,C:C,RAW_File!F:F)</f>
        <v>9019.2289000012006</v>
      </c>
      <c r="E540" s="38">
        <f>SUMIF(RAW_File!D:D,C:C,RAW_File!G:G)</f>
        <v>1060</v>
      </c>
      <c r="F540" s="39">
        <f>SUMIF(RAW_File!D:D,C:C,RAW_File!I:I)</f>
        <v>7110</v>
      </c>
      <c r="G540" s="40">
        <f>SUMIF(RAW_File!D:D,C:C,RAW_File!K:K)</f>
        <v>0</v>
      </c>
      <c r="H540" s="41">
        <f>SUMIF(RAW_File!D:D,C:C,RAW_File!M:M)</f>
        <v>5000</v>
      </c>
      <c r="I540" s="40">
        <f t="shared" si="10"/>
        <v>5000</v>
      </c>
    </row>
    <row r="541" spans="1:9" hidden="1" x14ac:dyDescent="0.25">
      <c r="A541" s="36" t="s">
        <v>73</v>
      </c>
      <c r="B541" s="36" t="s">
        <v>881</v>
      </c>
      <c r="C541" s="36" t="s">
        <v>2652</v>
      </c>
      <c r="D541" s="37">
        <f>SUMIF(RAW_File!D:D,C:C,RAW_File!F:F)</f>
        <v>29.984100000000002</v>
      </c>
      <c r="E541" s="38">
        <f>SUMIF(RAW_File!D:D,C:C,RAW_File!G:G)</f>
        <v>5100</v>
      </c>
      <c r="F541" s="39">
        <f>SUMIF(RAW_File!D:D,C:C,RAW_File!I:I)</f>
        <v>5100</v>
      </c>
      <c r="G541" s="40">
        <f>SUMIF(RAW_File!D:D,C:C,RAW_File!K:K)</f>
        <v>5000</v>
      </c>
      <c r="H541" s="41">
        <f>SUMIF(RAW_File!D:D,C:C,RAW_File!M:M)</f>
        <v>0</v>
      </c>
      <c r="I541" s="40">
        <f t="shared" si="10"/>
        <v>5000</v>
      </c>
    </row>
    <row r="542" spans="1:9" hidden="1" x14ac:dyDescent="0.25">
      <c r="A542" s="36" t="s">
        <v>73</v>
      </c>
      <c r="B542" s="36" t="s">
        <v>2697</v>
      </c>
      <c r="C542" s="36" t="s">
        <v>2698</v>
      </c>
      <c r="D542" s="37">
        <f>SUMIF(RAW_File!D:D,C:C,RAW_File!F:F)</f>
        <v>1662.2474999999999</v>
      </c>
      <c r="E542" s="38">
        <f>SUMIF(RAW_File!D:D,C:C,RAW_File!G:G)</f>
        <v>500</v>
      </c>
      <c r="F542" s="39">
        <f>SUMIF(RAW_File!D:D,C:C,RAW_File!I:I)</f>
        <v>500</v>
      </c>
      <c r="G542" s="40">
        <f>SUMIF(RAW_File!D:D,C:C,RAW_File!K:K)</f>
        <v>0</v>
      </c>
      <c r="H542" s="41">
        <f>SUMIF(RAW_File!D:D,C:C,RAW_File!M:M)</f>
        <v>7000</v>
      </c>
      <c r="I542" s="40">
        <f t="shared" si="10"/>
        <v>7000</v>
      </c>
    </row>
    <row r="543" spans="1:9" hidden="1" x14ac:dyDescent="0.25">
      <c r="A543" s="36" t="s">
        <v>73</v>
      </c>
      <c r="B543" s="36" t="s">
        <v>2711</v>
      </c>
      <c r="C543" s="36" t="s">
        <v>2712</v>
      </c>
      <c r="D543" s="37">
        <f>SUMIF(RAW_File!D:D,C:C,RAW_File!F:F)</f>
        <v>50.229048523435829</v>
      </c>
      <c r="E543" s="38">
        <f>SUMIF(RAW_File!D:D,C:C,RAW_File!G:G)</f>
        <v>0</v>
      </c>
      <c r="F543" s="39">
        <f>SUMIF(RAW_File!D:D,C:C,RAW_File!I:I)</f>
        <v>600</v>
      </c>
      <c r="G543" s="40">
        <f>SUMIF(RAW_File!D:D,C:C,RAW_File!K:K)</f>
        <v>0</v>
      </c>
      <c r="H543" s="41">
        <f>SUMIF(RAW_File!D:D,C:C,RAW_File!M:M)</f>
        <v>6000</v>
      </c>
      <c r="I543" s="40">
        <f t="shared" si="10"/>
        <v>6000</v>
      </c>
    </row>
    <row r="544" spans="1:9" hidden="1" x14ac:dyDescent="0.25">
      <c r="A544" s="36" t="s">
        <v>73</v>
      </c>
      <c r="B544" s="36" t="s">
        <v>2728</v>
      </c>
      <c r="C544" s="36" t="s">
        <v>2729</v>
      </c>
      <c r="D544" s="37">
        <f>SUMIF(RAW_File!D:D,C:C,RAW_File!F:F)</f>
        <v>14391.213792585</v>
      </c>
      <c r="E544" s="38">
        <f>SUMIF(RAW_File!D:D,C:C,RAW_File!G:G)</f>
        <v>4500</v>
      </c>
      <c r="F544" s="39">
        <f>SUMIF(RAW_File!D:D,C:C,RAW_File!I:I)</f>
        <v>7600</v>
      </c>
      <c r="G544" s="40">
        <f>SUMIF(RAW_File!D:D,C:C,RAW_File!K:K)</f>
        <v>0</v>
      </c>
      <c r="H544" s="41">
        <f>SUMIF(RAW_File!D:D,C:C,RAW_File!M:M)</f>
        <v>10000</v>
      </c>
      <c r="I544" s="40">
        <f t="shared" si="10"/>
        <v>10000</v>
      </c>
    </row>
    <row r="545" spans="1:9" hidden="1" x14ac:dyDescent="0.25">
      <c r="A545" s="36" t="s">
        <v>73</v>
      </c>
      <c r="B545" s="36" t="s">
        <v>2736</v>
      </c>
      <c r="C545" s="36" t="s">
        <v>2737</v>
      </c>
      <c r="D545" s="37">
        <f>SUMIF(RAW_File!D:D,C:C,RAW_File!F:F)</f>
        <v>11821.144356816239</v>
      </c>
      <c r="E545" s="38">
        <f>SUMIF(RAW_File!D:D,C:C,RAW_File!G:G)</f>
        <v>10060</v>
      </c>
      <c r="F545" s="39">
        <f>SUMIF(RAW_File!D:D,C:C,RAW_File!I:I)</f>
        <v>23640</v>
      </c>
      <c r="G545" s="40">
        <f>SUMIF(RAW_File!D:D,C:C,RAW_File!K:K)</f>
        <v>0</v>
      </c>
      <c r="H545" s="41">
        <f>SUMIF(RAW_File!D:D,C:C,RAW_File!M:M)</f>
        <v>10000</v>
      </c>
      <c r="I545" s="40">
        <f t="shared" si="10"/>
        <v>10000</v>
      </c>
    </row>
    <row r="546" spans="1:9" hidden="1" x14ac:dyDescent="0.25">
      <c r="A546" s="36" t="s">
        <v>73</v>
      </c>
      <c r="B546" s="36" t="s">
        <v>2830</v>
      </c>
      <c r="C546" s="36" t="s">
        <v>2831</v>
      </c>
      <c r="D546" s="37">
        <f>SUMIF(RAW_File!D:D,C:C,RAW_File!F:F)</f>
        <v>6297.7263030818331</v>
      </c>
      <c r="E546" s="38">
        <f>SUMIF(RAW_File!D:D,C:C,RAW_File!G:G)</f>
        <v>0</v>
      </c>
      <c r="F546" s="39">
        <f>SUMIF(RAW_File!D:D,C:C,RAW_File!I:I)</f>
        <v>500</v>
      </c>
      <c r="G546" s="40">
        <f>SUMIF(RAW_File!D:D,C:C,RAW_File!K:K)</f>
        <v>5000</v>
      </c>
      <c r="H546" s="41">
        <f>SUMIF(RAW_File!D:D,C:C,RAW_File!M:M)</f>
        <v>0</v>
      </c>
      <c r="I546" s="40">
        <f t="shared" si="10"/>
        <v>5000</v>
      </c>
    </row>
    <row r="547" spans="1:9" hidden="1" x14ac:dyDescent="0.25">
      <c r="A547" s="36" t="s">
        <v>73</v>
      </c>
      <c r="B547" s="36" t="s">
        <v>3272</v>
      </c>
      <c r="C547" s="36" t="s">
        <v>3273</v>
      </c>
      <c r="D547" s="37">
        <f>SUMIF(RAW_File!D:D,C:C,RAW_File!F:F)</f>
        <v>5379.0599958695002</v>
      </c>
      <c r="E547" s="38">
        <f>SUMIF(RAW_File!D:D,C:C,RAW_File!G:G)</f>
        <v>3105</v>
      </c>
      <c r="F547" s="39">
        <f>SUMIF(RAW_File!D:D,C:C,RAW_File!I:I)</f>
        <v>15065</v>
      </c>
      <c r="G547" s="40">
        <f>SUMIF(RAW_File!D:D,C:C,RAW_File!K:K)</f>
        <v>0</v>
      </c>
      <c r="H547" s="41">
        <f>SUMIF(RAW_File!D:D,C:C,RAW_File!M:M)</f>
        <v>5000</v>
      </c>
      <c r="I547" s="40">
        <f t="shared" si="10"/>
        <v>5000</v>
      </c>
    </row>
    <row r="548" spans="1:9" hidden="1" x14ac:dyDescent="0.25">
      <c r="A548" s="36" t="s">
        <v>73</v>
      </c>
      <c r="B548" s="36" t="s">
        <v>3311</v>
      </c>
      <c r="C548" s="36" t="s">
        <v>3312</v>
      </c>
      <c r="D548" s="37">
        <f>SUMIF(RAW_File!D:D,C:C,RAW_File!F:F)</f>
        <v>364.47</v>
      </c>
      <c r="E548" s="38">
        <f>SUMIF(RAW_File!D:D,C:C,RAW_File!G:G)</f>
        <v>0</v>
      </c>
      <c r="F548" s="39">
        <f>SUMIF(RAW_File!D:D,C:C,RAW_File!I:I)</f>
        <v>0</v>
      </c>
      <c r="G548" s="40">
        <f>SUMIF(RAW_File!D:D,C:C,RAW_File!K:K)</f>
        <v>0</v>
      </c>
      <c r="H548" s="41">
        <f>SUMIF(RAW_File!D:D,C:C,RAW_File!M:M)</f>
        <v>5000</v>
      </c>
      <c r="I548" s="40">
        <f t="shared" si="10"/>
        <v>5000</v>
      </c>
    </row>
    <row r="549" spans="1:9" hidden="1" x14ac:dyDescent="0.25">
      <c r="A549" s="36" t="s">
        <v>73</v>
      </c>
      <c r="B549" s="36" t="s">
        <v>3340</v>
      </c>
      <c r="C549" s="36" t="s">
        <v>3341</v>
      </c>
      <c r="D549" s="37">
        <f>SUMIF(RAW_File!D:D,C:C,RAW_File!F:F)</f>
        <v>4638.7778500000004</v>
      </c>
      <c r="E549" s="38">
        <f>SUMIF(RAW_File!D:D,C:C,RAW_File!G:G)</f>
        <v>3480</v>
      </c>
      <c r="F549" s="39">
        <f>SUMIF(RAW_File!D:D,C:C,RAW_File!I:I)</f>
        <v>6465</v>
      </c>
      <c r="G549" s="40">
        <f>SUMIF(RAW_File!D:D,C:C,RAW_File!K:K)</f>
        <v>5000</v>
      </c>
      <c r="H549" s="41">
        <f>SUMIF(RAW_File!D:D,C:C,RAW_File!M:M)</f>
        <v>0</v>
      </c>
      <c r="I549" s="40">
        <f t="shared" si="10"/>
        <v>5000</v>
      </c>
    </row>
    <row r="550" spans="1:9" hidden="1" x14ac:dyDescent="0.25">
      <c r="A550" s="36" t="s">
        <v>73</v>
      </c>
      <c r="B550" s="36" t="s">
        <v>3416</v>
      </c>
      <c r="C550" s="36" t="s">
        <v>3417</v>
      </c>
      <c r="D550" s="37">
        <f>SUMIF(RAW_File!D:D,C:C,RAW_File!F:F)</f>
        <v>1114.2569000000001</v>
      </c>
      <c r="E550" s="38">
        <f>SUMIF(RAW_File!D:D,C:C,RAW_File!G:G)</f>
        <v>0</v>
      </c>
      <c r="F550" s="39">
        <f>SUMIF(RAW_File!D:D,C:C,RAW_File!I:I)</f>
        <v>0</v>
      </c>
      <c r="G550" s="40">
        <f>SUMIF(RAW_File!D:D,C:C,RAW_File!K:K)</f>
        <v>0</v>
      </c>
      <c r="H550" s="41">
        <f>SUMIF(RAW_File!D:D,C:C,RAW_File!M:M)</f>
        <v>5000</v>
      </c>
      <c r="I550" s="40">
        <f t="shared" si="10"/>
        <v>5000</v>
      </c>
    </row>
    <row r="551" spans="1:9" hidden="1" x14ac:dyDescent="0.25">
      <c r="A551" s="36" t="s">
        <v>73</v>
      </c>
      <c r="B551" s="36" t="s">
        <v>3496</v>
      </c>
      <c r="C551" s="36" t="s">
        <v>3497</v>
      </c>
      <c r="D551" s="37">
        <f>SUMIF(RAW_File!D:D,C:C,RAW_File!F:F)</f>
        <v>338.05500000000001</v>
      </c>
      <c r="E551" s="38">
        <f>SUMIF(RAW_File!D:D,C:C,RAW_File!G:G)</f>
        <v>2000</v>
      </c>
      <c r="F551" s="39">
        <f>SUMIF(RAW_File!D:D,C:C,RAW_File!I:I)</f>
        <v>8500</v>
      </c>
      <c r="G551" s="40">
        <f>SUMIF(RAW_File!D:D,C:C,RAW_File!K:K)</f>
        <v>0</v>
      </c>
      <c r="H551" s="41">
        <f>SUMIF(RAW_File!D:D,C:C,RAW_File!M:M)</f>
        <v>7000</v>
      </c>
      <c r="I551" s="40">
        <f t="shared" si="10"/>
        <v>7000</v>
      </c>
    </row>
    <row r="552" spans="1:9" hidden="1" x14ac:dyDescent="0.25">
      <c r="A552" s="36" t="s">
        <v>73</v>
      </c>
      <c r="B552" s="36" t="s">
        <v>3500</v>
      </c>
      <c r="C552" s="36" t="s">
        <v>3501</v>
      </c>
      <c r="D552" s="37">
        <f>SUMIF(RAW_File!D:D,C:C,RAW_File!F:F)</f>
        <v>85.792500000000004</v>
      </c>
      <c r="E552" s="38">
        <f>SUMIF(RAW_File!D:D,C:C,RAW_File!G:G)</f>
        <v>0</v>
      </c>
      <c r="F552" s="39">
        <f>SUMIF(RAW_File!D:D,C:C,RAW_File!I:I)</f>
        <v>200</v>
      </c>
      <c r="G552" s="40">
        <f>SUMIF(RAW_File!D:D,C:C,RAW_File!K:K)</f>
        <v>0</v>
      </c>
      <c r="H552" s="41">
        <f>SUMIF(RAW_File!D:D,C:C,RAW_File!M:M)</f>
        <v>8000</v>
      </c>
      <c r="I552" s="40">
        <f t="shared" si="10"/>
        <v>8000</v>
      </c>
    </row>
    <row r="553" spans="1:9" hidden="1" x14ac:dyDescent="0.25">
      <c r="A553" s="36" t="s">
        <v>75</v>
      </c>
      <c r="B553" s="36" t="s">
        <v>219</v>
      </c>
      <c r="C553" s="36" t="s">
        <v>220</v>
      </c>
      <c r="D553" s="37">
        <f>SUMIF(RAW_File!D:D,C:C,RAW_File!F:F)</f>
        <v>23.874199999999998</v>
      </c>
      <c r="E553" s="38">
        <f>SUMIF(RAW_File!D:D,C:C,RAW_File!G:G)</f>
        <v>0</v>
      </c>
      <c r="F553" s="39">
        <f>SUMIF(RAW_File!D:D,C:C,RAW_File!I:I)</f>
        <v>0</v>
      </c>
      <c r="G553" s="40">
        <f>SUMIF(RAW_File!D:D,C:C,RAW_File!K:K)</f>
        <v>0</v>
      </c>
      <c r="H553" s="41">
        <f>SUMIF(RAW_File!D:D,C:C,RAW_File!M:M)</f>
        <v>0</v>
      </c>
      <c r="I553" s="40">
        <f t="shared" si="10"/>
        <v>0</v>
      </c>
    </row>
    <row r="554" spans="1:9" hidden="1" x14ac:dyDescent="0.25">
      <c r="A554" s="36" t="s">
        <v>75</v>
      </c>
      <c r="B554" s="36" t="s">
        <v>298</v>
      </c>
      <c r="C554" s="36" t="s">
        <v>299</v>
      </c>
      <c r="D554" s="37">
        <f>SUMIF(RAW_File!D:D,C:C,RAW_File!F:F)</f>
        <v>17177.027766412051</v>
      </c>
      <c r="E554" s="38">
        <f>SUMIF(RAW_File!D:D,C:C,RAW_File!G:G)</f>
        <v>600</v>
      </c>
      <c r="F554" s="39">
        <f>SUMIF(RAW_File!D:D,C:C,RAW_File!I:I)</f>
        <v>6402</v>
      </c>
      <c r="G554" s="40">
        <f>SUMIF(RAW_File!D:D,C:C,RAW_File!K:K)</f>
        <v>0</v>
      </c>
      <c r="H554" s="41">
        <f>SUMIF(RAW_File!D:D,C:C,RAW_File!M:M)</f>
        <v>6000</v>
      </c>
      <c r="I554" s="40">
        <f t="shared" si="10"/>
        <v>6000</v>
      </c>
    </row>
    <row r="555" spans="1:9" hidden="1" x14ac:dyDescent="0.25">
      <c r="A555" s="36" t="s">
        <v>75</v>
      </c>
      <c r="B555" s="36" t="s">
        <v>364</v>
      </c>
      <c r="C555" s="36" t="s">
        <v>365</v>
      </c>
      <c r="D555" s="37">
        <f>SUMIF(RAW_File!D:D,C:C,RAW_File!F:F)</f>
        <v>6563.260267492431</v>
      </c>
      <c r="E555" s="38">
        <f>SUMIF(RAW_File!D:D,C:C,RAW_File!G:G)</f>
        <v>0</v>
      </c>
      <c r="F555" s="39">
        <f>SUMIF(RAW_File!D:D,C:C,RAW_File!I:I)</f>
        <v>300</v>
      </c>
      <c r="G555" s="40">
        <f>SUMIF(RAW_File!D:D,C:C,RAW_File!K:K)</f>
        <v>11000</v>
      </c>
      <c r="H555" s="41">
        <f>SUMIF(RAW_File!D:D,C:C,RAW_File!M:M)</f>
        <v>6000</v>
      </c>
      <c r="I555" s="40">
        <f t="shared" si="10"/>
        <v>5000</v>
      </c>
    </row>
    <row r="556" spans="1:9" hidden="1" x14ac:dyDescent="0.25">
      <c r="A556" s="36" t="s">
        <v>75</v>
      </c>
      <c r="B556" s="36" t="s">
        <v>549</v>
      </c>
      <c r="C556" s="36" t="s">
        <v>550</v>
      </c>
      <c r="D556" s="37">
        <f>SUMIF(RAW_File!D:D,C:C,RAW_File!F:F)</f>
        <v>10995.98618198954</v>
      </c>
      <c r="E556" s="38">
        <f>SUMIF(RAW_File!D:D,C:C,RAW_File!G:G)</f>
        <v>0</v>
      </c>
      <c r="F556" s="39">
        <f>SUMIF(RAW_File!D:D,C:C,RAW_File!I:I)</f>
        <v>0</v>
      </c>
      <c r="G556" s="40">
        <f>SUMIF(RAW_File!D:D,C:C,RAW_File!K:K)</f>
        <v>5000</v>
      </c>
      <c r="H556" s="41">
        <f>SUMIF(RAW_File!D:D,C:C,RAW_File!M:M)</f>
        <v>0</v>
      </c>
      <c r="I556" s="40">
        <f t="shared" si="10"/>
        <v>5000</v>
      </c>
    </row>
    <row r="557" spans="1:9" hidden="1" x14ac:dyDescent="0.25">
      <c r="A557" s="36" t="s">
        <v>75</v>
      </c>
      <c r="B557" s="36" t="s">
        <v>663</v>
      </c>
      <c r="C557" s="42" t="s">
        <v>664</v>
      </c>
      <c r="D557" s="37">
        <f>SUMIF(RAW_File!D:D,C:C,RAW_File!F:F)</f>
        <v>15554.17635</v>
      </c>
      <c r="E557" s="38">
        <f>SUMIF(RAW_File!D:D,C:C,RAW_File!G:G)</f>
        <v>20540</v>
      </c>
      <c r="F557" s="39">
        <f>SUMIF(RAW_File!D:D,C:C,RAW_File!I:I)</f>
        <v>43870</v>
      </c>
      <c r="G557" s="40">
        <f>SUMIF(RAW_File!D:D,C:C,RAW_File!K:K)</f>
        <v>10000</v>
      </c>
      <c r="H557" s="41">
        <f>SUMIF(RAW_File!D:D,C:C,RAW_File!M:M)</f>
        <v>5000</v>
      </c>
      <c r="I557" s="40">
        <f t="shared" si="10"/>
        <v>5000</v>
      </c>
    </row>
    <row r="558" spans="1:9" hidden="1" x14ac:dyDescent="0.25">
      <c r="A558" s="36" t="s">
        <v>75</v>
      </c>
      <c r="B558" s="36" t="s">
        <v>691</v>
      </c>
      <c r="C558" s="36" t="s">
        <v>692</v>
      </c>
      <c r="D558" s="37">
        <f>SUMIF(RAW_File!D:D,C:C,RAW_File!F:F)</f>
        <v>9647.6221499999992</v>
      </c>
      <c r="E558" s="38">
        <f>SUMIF(RAW_File!D:D,C:C,RAW_File!G:G)</f>
        <v>12805</v>
      </c>
      <c r="F558" s="39">
        <f>SUMIF(RAW_File!D:D,C:C,RAW_File!I:I)</f>
        <v>14705</v>
      </c>
      <c r="G558" s="40">
        <f>SUMIF(RAW_File!D:D,C:C,RAW_File!K:K)</f>
        <v>10000</v>
      </c>
      <c r="H558" s="41">
        <f>SUMIF(RAW_File!D:D,C:C,RAW_File!M:M)</f>
        <v>25000</v>
      </c>
      <c r="I558" s="40">
        <f t="shared" si="10"/>
        <v>15000</v>
      </c>
    </row>
    <row r="559" spans="1:9" hidden="1" x14ac:dyDescent="0.25">
      <c r="A559" s="36" t="s">
        <v>75</v>
      </c>
      <c r="B559" s="36" t="s">
        <v>701</v>
      </c>
      <c r="C559" s="36" t="s">
        <v>702</v>
      </c>
      <c r="D559" s="37">
        <f>SUMIF(RAW_File!D:D,C:C,RAW_File!F:F)</f>
        <v>3460.893556047658</v>
      </c>
      <c r="E559" s="38">
        <f>SUMIF(RAW_File!D:D,C:C,RAW_File!G:G)</f>
        <v>3805</v>
      </c>
      <c r="F559" s="39">
        <f>SUMIF(RAW_File!D:D,C:C,RAW_File!I:I)</f>
        <v>31265</v>
      </c>
      <c r="G559" s="40">
        <f>SUMIF(RAW_File!D:D,C:C,RAW_File!K:K)</f>
        <v>0</v>
      </c>
      <c r="H559" s="41">
        <f>SUMIF(RAW_File!D:D,C:C,RAW_File!M:M)</f>
        <v>30000</v>
      </c>
      <c r="I559" s="40">
        <f t="shared" si="10"/>
        <v>30000</v>
      </c>
    </row>
    <row r="560" spans="1:9" hidden="1" x14ac:dyDescent="0.25">
      <c r="A560" s="36" t="s">
        <v>75</v>
      </c>
      <c r="B560" s="36" t="s">
        <v>717</v>
      </c>
      <c r="C560" s="36" t="s">
        <v>718</v>
      </c>
      <c r="D560" s="37">
        <f>SUMIF(RAW_File!D:D,C:C,RAW_File!F:F)</f>
        <v>10779.507799999999</v>
      </c>
      <c r="E560" s="38">
        <f>SUMIF(RAW_File!D:D,C:C,RAW_File!G:G)</f>
        <v>3410</v>
      </c>
      <c r="F560" s="39">
        <f>SUMIF(RAW_File!D:D,C:C,RAW_File!I:I)</f>
        <v>10630</v>
      </c>
      <c r="G560" s="40">
        <f>SUMIF(RAW_File!D:D,C:C,RAW_File!K:K)</f>
        <v>0</v>
      </c>
      <c r="H560" s="41">
        <f>SUMIF(RAW_File!D:D,C:C,RAW_File!M:M)</f>
        <v>10000</v>
      </c>
      <c r="I560" s="40">
        <f t="shared" si="10"/>
        <v>10000</v>
      </c>
    </row>
    <row r="561" spans="1:9" hidden="1" x14ac:dyDescent="0.25">
      <c r="A561" s="36" t="s">
        <v>75</v>
      </c>
      <c r="B561" s="36" t="s">
        <v>810</v>
      </c>
      <c r="C561" s="36" t="s">
        <v>811</v>
      </c>
      <c r="D561" s="37">
        <f>SUMIF(RAW_File!D:D,C:C,RAW_File!F:F)</f>
        <v>5736.1513999999997</v>
      </c>
      <c r="E561" s="38">
        <f>SUMIF(RAW_File!D:D,C:C,RAW_File!G:G)</f>
        <v>5710</v>
      </c>
      <c r="F561" s="39">
        <f>SUMIF(RAW_File!D:D,C:C,RAW_File!I:I)</f>
        <v>40850</v>
      </c>
      <c r="G561" s="40">
        <f>SUMIF(RAW_File!D:D,C:C,RAW_File!K:K)</f>
        <v>0</v>
      </c>
      <c r="H561" s="41">
        <f>SUMIF(RAW_File!D:D,C:C,RAW_File!M:M)</f>
        <v>80000</v>
      </c>
      <c r="I561" s="40">
        <f t="shared" si="10"/>
        <v>80000</v>
      </c>
    </row>
    <row r="562" spans="1:9" hidden="1" x14ac:dyDescent="0.25">
      <c r="A562" s="36" t="s">
        <v>75</v>
      </c>
      <c r="B562" s="36" t="s">
        <v>828</v>
      </c>
      <c r="C562" s="36" t="s">
        <v>829</v>
      </c>
      <c r="D562" s="37">
        <f>SUMIF(RAW_File!D:D,C:C,RAW_File!F:F)</f>
        <v>20595.5731642256</v>
      </c>
      <c r="E562" s="38">
        <f>SUMIF(RAW_File!D:D,C:C,RAW_File!G:G)</f>
        <v>3610</v>
      </c>
      <c r="F562" s="39">
        <f>SUMIF(RAW_File!D:D,C:C,RAW_File!I:I)</f>
        <v>14685</v>
      </c>
      <c r="G562" s="40">
        <f>SUMIF(RAW_File!D:D,C:C,RAW_File!K:K)</f>
        <v>10000</v>
      </c>
      <c r="H562" s="41">
        <f>SUMIF(RAW_File!D:D,C:C,RAW_File!M:M)</f>
        <v>0</v>
      </c>
      <c r="I562" s="40">
        <f t="shared" si="10"/>
        <v>10000</v>
      </c>
    </row>
    <row r="563" spans="1:9" hidden="1" x14ac:dyDescent="0.25">
      <c r="A563" s="36" t="s">
        <v>75</v>
      </c>
      <c r="B563" s="36" t="s">
        <v>832</v>
      </c>
      <c r="C563" s="36" t="s">
        <v>833</v>
      </c>
      <c r="D563" s="37">
        <f>SUMIF(RAW_File!D:D,C:C,RAW_File!F:F)</f>
        <v>166.16794999999999</v>
      </c>
      <c r="E563" s="38">
        <f>SUMIF(RAW_File!D:D,C:C,RAW_File!G:G)</f>
        <v>0</v>
      </c>
      <c r="F563" s="39">
        <f>SUMIF(RAW_File!D:D,C:C,RAW_File!I:I)</f>
        <v>0</v>
      </c>
      <c r="G563" s="40">
        <f>SUMIF(RAW_File!D:D,C:C,RAW_File!K:K)</f>
        <v>0</v>
      </c>
      <c r="H563" s="41">
        <f>SUMIF(RAW_File!D:D,C:C,RAW_File!M:M)</f>
        <v>0</v>
      </c>
      <c r="I563" s="40">
        <f t="shared" si="10"/>
        <v>0</v>
      </c>
    </row>
    <row r="564" spans="1:9" hidden="1" x14ac:dyDescent="0.25">
      <c r="A564" s="36" t="s">
        <v>75</v>
      </c>
      <c r="B564" s="36" t="s">
        <v>931</v>
      </c>
      <c r="C564" s="36" t="s">
        <v>932</v>
      </c>
      <c r="D564" s="37">
        <f>SUMIF(RAW_File!D:D,C:C,RAW_File!F:F)</f>
        <v>3178.5311999999999</v>
      </c>
      <c r="E564" s="38">
        <f>SUMIF(RAW_File!D:D,C:C,RAW_File!G:G)</f>
        <v>14700</v>
      </c>
      <c r="F564" s="39">
        <f>SUMIF(RAW_File!D:D,C:C,RAW_File!I:I)</f>
        <v>16020</v>
      </c>
      <c r="G564" s="40">
        <f>SUMIF(RAW_File!D:D,C:C,RAW_File!K:K)</f>
        <v>10000</v>
      </c>
      <c r="H564" s="41">
        <f>SUMIF(RAW_File!D:D,C:C,RAW_File!M:M)</f>
        <v>0</v>
      </c>
      <c r="I564" s="40">
        <f t="shared" si="10"/>
        <v>10000</v>
      </c>
    </row>
    <row r="565" spans="1:9" hidden="1" x14ac:dyDescent="0.25">
      <c r="A565" s="36" t="s">
        <v>75</v>
      </c>
      <c r="B565" s="36" t="s">
        <v>999</v>
      </c>
      <c r="C565" s="36" t="s">
        <v>1000</v>
      </c>
      <c r="D565" s="37">
        <f>SUMIF(RAW_File!D:D,C:C,RAW_File!F:F)</f>
        <v>6423.3078322115944</v>
      </c>
      <c r="E565" s="38">
        <f>SUMIF(RAW_File!D:D,C:C,RAW_File!G:G)</f>
        <v>0</v>
      </c>
      <c r="F565" s="39">
        <f>SUMIF(RAW_File!D:D,C:C,RAW_File!I:I)</f>
        <v>16330</v>
      </c>
      <c r="G565" s="40">
        <f>SUMIF(RAW_File!D:D,C:C,RAW_File!K:K)</f>
        <v>0</v>
      </c>
      <c r="H565" s="41">
        <f>SUMIF(RAW_File!D:D,C:C,RAW_File!M:M)</f>
        <v>12000</v>
      </c>
      <c r="I565" s="40">
        <f t="shared" si="10"/>
        <v>12000</v>
      </c>
    </row>
    <row r="566" spans="1:9" hidden="1" x14ac:dyDescent="0.25">
      <c r="A566" s="36" t="s">
        <v>75</v>
      </c>
      <c r="B566" s="36" t="s">
        <v>1037</v>
      </c>
      <c r="C566" s="36" t="s">
        <v>1038</v>
      </c>
      <c r="D566" s="37">
        <f>SUMIF(RAW_File!D:D,C:C,RAW_File!F:F)</f>
        <v>1077.5226695652</v>
      </c>
      <c r="E566" s="38">
        <f>SUMIF(RAW_File!D:D,C:C,RAW_File!G:G)</f>
        <v>166</v>
      </c>
      <c r="F566" s="39">
        <f>SUMIF(RAW_File!D:D,C:C,RAW_File!I:I)</f>
        <v>2166</v>
      </c>
      <c r="G566" s="40">
        <f>SUMIF(RAW_File!D:D,C:C,RAW_File!K:K)</f>
        <v>0</v>
      </c>
      <c r="H566" s="41">
        <f>SUMIF(RAW_File!D:D,C:C,RAW_File!M:M)</f>
        <v>5000</v>
      </c>
      <c r="I566" s="40">
        <f t="shared" si="10"/>
        <v>5000</v>
      </c>
    </row>
    <row r="567" spans="1:9" hidden="1" x14ac:dyDescent="0.25">
      <c r="A567" s="36" t="s">
        <v>75</v>
      </c>
      <c r="B567" s="36" t="s">
        <v>1087</v>
      </c>
      <c r="C567" s="36" t="s">
        <v>1088</v>
      </c>
      <c r="D567" s="37">
        <f>SUMIF(RAW_File!D:D,C:C,RAW_File!F:F)</f>
        <v>1673.2670000000001</v>
      </c>
      <c r="E567" s="38">
        <f>SUMIF(RAW_File!D:D,C:C,RAW_File!G:G)</f>
        <v>3405</v>
      </c>
      <c r="F567" s="39">
        <f>SUMIF(RAW_File!D:D,C:C,RAW_File!I:I)</f>
        <v>6995</v>
      </c>
      <c r="G567" s="40">
        <f>SUMIF(RAW_File!D:D,C:C,RAW_File!K:K)</f>
        <v>0</v>
      </c>
      <c r="H567" s="41">
        <f>SUMIF(RAW_File!D:D,C:C,RAW_File!M:M)</f>
        <v>14000</v>
      </c>
      <c r="I567" s="40">
        <f t="shared" si="10"/>
        <v>14000</v>
      </c>
    </row>
    <row r="568" spans="1:9" hidden="1" x14ac:dyDescent="0.25">
      <c r="A568" s="36" t="s">
        <v>75</v>
      </c>
      <c r="B568" s="36" t="s">
        <v>1130</v>
      </c>
      <c r="C568" s="36" t="s">
        <v>1131</v>
      </c>
      <c r="D568" s="37">
        <f>SUMIF(RAW_File!D:D,C:C,RAW_File!F:F)</f>
        <v>117.6844</v>
      </c>
      <c r="E568" s="38">
        <f>SUMIF(RAW_File!D:D,C:C,RAW_File!G:G)</f>
        <v>6800</v>
      </c>
      <c r="F568" s="39">
        <f>SUMIF(RAW_File!D:D,C:C,RAW_File!I:I)</f>
        <v>18400</v>
      </c>
      <c r="G568" s="40">
        <f>SUMIF(RAW_File!D:D,C:C,RAW_File!K:K)</f>
        <v>0</v>
      </c>
      <c r="H568" s="41">
        <f>SUMIF(RAW_File!D:D,C:C,RAW_File!M:M)</f>
        <v>21000</v>
      </c>
      <c r="I568" s="40">
        <f t="shared" si="10"/>
        <v>21000</v>
      </c>
    </row>
    <row r="569" spans="1:9" hidden="1" x14ac:dyDescent="0.25">
      <c r="A569" s="36" t="s">
        <v>75</v>
      </c>
      <c r="B569" s="36" t="s">
        <v>1151</v>
      </c>
      <c r="C569" s="36" t="s">
        <v>1152</v>
      </c>
      <c r="D569" s="37">
        <f>SUMIF(RAW_File!D:D,C:C,RAW_File!F:F)</f>
        <v>27613.95915988999</v>
      </c>
      <c r="E569" s="38">
        <f>SUMIF(RAW_File!D:D,C:C,RAW_File!G:G)</f>
        <v>5748</v>
      </c>
      <c r="F569" s="39">
        <f>SUMIF(RAW_File!D:D,C:C,RAW_File!I:I)</f>
        <v>11988</v>
      </c>
      <c r="G569" s="40">
        <f>SUMIF(RAW_File!D:D,C:C,RAW_File!K:K)</f>
        <v>0</v>
      </c>
      <c r="H569" s="41">
        <f>SUMIF(RAW_File!D:D,C:C,RAW_File!M:M)</f>
        <v>50000</v>
      </c>
      <c r="I569" s="40">
        <f t="shared" si="10"/>
        <v>50000</v>
      </c>
    </row>
    <row r="570" spans="1:9" hidden="1" x14ac:dyDescent="0.25">
      <c r="A570" s="36" t="s">
        <v>75</v>
      </c>
      <c r="B570" s="36" t="s">
        <v>959</v>
      </c>
      <c r="C570" s="36" t="s">
        <v>1217</v>
      </c>
      <c r="D570" s="37">
        <f>SUMIF(RAW_File!D:D,C:C,RAW_File!F:F)</f>
        <v>2992.668988660937</v>
      </c>
      <c r="E570" s="38">
        <f>SUMIF(RAW_File!D:D,C:C,RAW_File!G:G)</f>
        <v>31200</v>
      </c>
      <c r="F570" s="39">
        <f>SUMIF(RAW_File!D:D,C:C,RAW_File!I:I)</f>
        <v>49900</v>
      </c>
      <c r="G570" s="40">
        <f>SUMIF(RAW_File!D:D,C:C,RAW_File!K:K)</f>
        <v>30000</v>
      </c>
      <c r="H570" s="41">
        <f>SUMIF(RAW_File!D:D,C:C,RAW_File!M:M)</f>
        <v>0</v>
      </c>
      <c r="I570" s="40">
        <f t="shared" si="10"/>
        <v>30000</v>
      </c>
    </row>
    <row r="571" spans="1:9" hidden="1" x14ac:dyDescent="0.25">
      <c r="A571" s="36" t="s">
        <v>75</v>
      </c>
      <c r="B571" s="36" t="s">
        <v>1275</v>
      </c>
      <c r="C571" s="36" t="s">
        <v>1276</v>
      </c>
      <c r="D571" s="37">
        <f>SUMIF(RAW_File!D:D,C:C,RAW_File!F:F)</f>
        <v>5610.2826999999997</v>
      </c>
      <c r="E571" s="38">
        <f>SUMIF(RAW_File!D:D,C:C,RAW_File!G:G)</f>
        <v>7600</v>
      </c>
      <c r="F571" s="39">
        <f>SUMIF(RAW_File!D:D,C:C,RAW_File!I:I)</f>
        <v>25535</v>
      </c>
      <c r="G571" s="40">
        <f>SUMIF(RAW_File!D:D,C:C,RAW_File!K:K)</f>
        <v>0</v>
      </c>
      <c r="H571" s="41">
        <f>SUMIF(RAW_File!D:D,C:C,RAW_File!M:M)</f>
        <v>5000</v>
      </c>
      <c r="I571" s="40">
        <f t="shared" si="10"/>
        <v>5000</v>
      </c>
    </row>
    <row r="572" spans="1:9" hidden="1" x14ac:dyDescent="0.25">
      <c r="A572" s="36" t="s">
        <v>75</v>
      </c>
      <c r="B572" s="36" t="s">
        <v>1315</v>
      </c>
      <c r="C572" s="36" t="s">
        <v>1316</v>
      </c>
      <c r="D572" s="37">
        <f>SUMIF(RAW_File!D:D,C:C,RAW_File!F:F)</f>
        <v>174.11940000000001</v>
      </c>
      <c r="E572" s="38">
        <f>SUMIF(RAW_File!D:D,C:C,RAW_File!G:G)</f>
        <v>0</v>
      </c>
      <c r="F572" s="39">
        <f>SUMIF(RAW_File!D:D,C:C,RAW_File!I:I)</f>
        <v>0</v>
      </c>
      <c r="G572" s="40">
        <f>SUMIF(RAW_File!D:D,C:C,RAW_File!K:K)</f>
        <v>0</v>
      </c>
      <c r="H572" s="41">
        <f>SUMIF(RAW_File!D:D,C:C,RAW_File!M:M)</f>
        <v>0</v>
      </c>
      <c r="I572" s="40">
        <f t="shared" si="10"/>
        <v>0</v>
      </c>
    </row>
    <row r="573" spans="1:9" hidden="1" x14ac:dyDescent="0.25">
      <c r="A573" s="36" t="s">
        <v>75</v>
      </c>
      <c r="B573" s="36" t="s">
        <v>1425</v>
      </c>
      <c r="C573" s="36" t="s">
        <v>1426</v>
      </c>
      <c r="D573" s="37">
        <f>SUMIF(RAW_File!D:D,C:C,RAW_File!F:F)</f>
        <v>33081.892887327158</v>
      </c>
      <c r="E573" s="38">
        <f>SUMIF(RAW_File!D:D,C:C,RAW_File!G:G)</f>
        <v>9300</v>
      </c>
      <c r="F573" s="39">
        <f>SUMIF(RAW_File!D:D,C:C,RAW_File!I:I)</f>
        <v>41730</v>
      </c>
      <c r="G573" s="40">
        <f>SUMIF(RAW_File!D:D,C:C,RAW_File!K:K)</f>
        <v>0</v>
      </c>
      <c r="H573" s="41">
        <f>SUMIF(RAW_File!D:D,C:C,RAW_File!M:M)</f>
        <v>10000</v>
      </c>
      <c r="I573" s="40">
        <f t="shared" si="10"/>
        <v>10000</v>
      </c>
    </row>
    <row r="574" spans="1:9" hidden="1" x14ac:dyDescent="0.25">
      <c r="A574" s="36" t="s">
        <v>75</v>
      </c>
      <c r="B574" s="36" t="s">
        <v>1538</v>
      </c>
      <c r="C574" s="36" t="s">
        <v>1539</v>
      </c>
      <c r="D574" s="37">
        <f>SUMIF(RAW_File!D:D,C:C,RAW_File!F:F)</f>
        <v>30207.22768350775</v>
      </c>
      <c r="E574" s="38">
        <f>SUMIF(RAW_File!D:D,C:C,RAW_File!G:G)</f>
        <v>93215</v>
      </c>
      <c r="F574" s="39">
        <f>SUMIF(RAW_File!D:D,C:C,RAW_File!I:I)</f>
        <v>142980</v>
      </c>
      <c r="G574" s="40">
        <f>SUMIF(RAW_File!D:D,C:C,RAW_File!K:K)</f>
        <v>50000</v>
      </c>
      <c r="H574" s="41">
        <f>SUMIF(RAW_File!D:D,C:C,RAW_File!M:M)</f>
        <v>0</v>
      </c>
      <c r="I574" s="40">
        <f t="shared" si="10"/>
        <v>50000</v>
      </c>
    </row>
    <row r="575" spans="1:9" hidden="1" x14ac:dyDescent="0.25">
      <c r="A575" s="36" t="s">
        <v>75</v>
      </c>
      <c r="B575" s="36" t="s">
        <v>1617</v>
      </c>
      <c r="C575" s="36" t="s">
        <v>1618</v>
      </c>
      <c r="D575" s="37">
        <f>SUMIF(RAW_File!D:D,C:C,RAW_File!F:F)</f>
        <v>11486.70583255909</v>
      </c>
      <c r="E575" s="38">
        <f>SUMIF(RAW_File!D:D,C:C,RAW_File!G:G)</f>
        <v>6200</v>
      </c>
      <c r="F575" s="39">
        <f>SUMIF(RAW_File!D:D,C:C,RAW_File!I:I)</f>
        <v>54110</v>
      </c>
      <c r="G575" s="40">
        <f>SUMIF(RAW_File!D:D,C:C,RAW_File!K:K)</f>
        <v>0</v>
      </c>
      <c r="H575" s="41">
        <f>SUMIF(RAW_File!D:D,C:C,RAW_File!M:M)</f>
        <v>45000</v>
      </c>
      <c r="I575" s="40">
        <f t="shared" si="10"/>
        <v>45000</v>
      </c>
    </row>
    <row r="576" spans="1:9" hidden="1" x14ac:dyDescent="0.25">
      <c r="A576" s="36" t="s">
        <v>75</v>
      </c>
      <c r="B576" s="36" t="s">
        <v>1645</v>
      </c>
      <c r="C576" s="36" t="s">
        <v>1646</v>
      </c>
      <c r="D576" s="37">
        <f>SUMIF(RAW_File!D:D,C:C,RAW_File!F:F)</f>
        <v>2146.2120247972921</v>
      </c>
      <c r="E576" s="38">
        <f>SUMIF(RAW_File!D:D,C:C,RAW_File!G:G)</f>
        <v>33100</v>
      </c>
      <c r="F576" s="39">
        <f>SUMIF(RAW_File!D:D,C:C,RAW_File!I:I)</f>
        <v>33205</v>
      </c>
      <c r="G576" s="40">
        <f>SUMIF(RAW_File!D:D,C:C,RAW_File!K:K)</f>
        <v>35000</v>
      </c>
      <c r="H576" s="41">
        <f>SUMIF(RAW_File!D:D,C:C,RAW_File!M:M)</f>
        <v>0</v>
      </c>
      <c r="I576" s="40">
        <f t="shared" si="10"/>
        <v>35000</v>
      </c>
    </row>
    <row r="577" spans="1:9" hidden="1" x14ac:dyDescent="0.25">
      <c r="A577" s="36" t="s">
        <v>75</v>
      </c>
      <c r="B577" s="36" t="s">
        <v>1754</v>
      </c>
      <c r="C577" s="36" t="s">
        <v>1755</v>
      </c>
      <c r="D577" s="37">
        <f>SUMIF(RAW_File!D:D,C:C,RAW_File!F:F)</f>
        <v>19509.116993321331</v>
      </c>
      <c r="E577" s="38">
        <f>SUMIF(RAW_File!D:D,C:C,RAW_File!G:G)</f>
        <v>2513</v>
      </c>
      <c r="F577" s="39">
        <f>SUMIF(RAW_File!D:D,C:C,RAW_File!I:I)</f>
        <v>2513</v>
      </c>
      <c r="G577" s="40">
        <f>SUMIF(RAW_File!D:D,C:C,RAW_File!K:K)</f>
        <v>0</v>
      </c>
      <c r="H577" s="41">
        <f>SUMIF(RAW_File!D:D,C:C,RAW_File!M:M)</f>
        <v>0</v>
      </c>
      <c r="I577" s="40">
        <f t="shared" si="10"/>
        <v>0</v>
      </c>
    </row>
    <row r="578" spans="1:9" hidden="1" x14ac:dyDescent="0.25">
      <c r="A578" s="36" t="s">
        <v>75</v>
      </c>
      <c r="B578" s="36" t="s">
        <v>1764</v>
      </c>
      <c r="C578" s="36" t="s">
        <v>1765</v>
      </c>
      <c r="D578" s="37">
        <f>SUMIF(RAW_File!D:D,C:C,RAW_File!F:F)</f>
        <v>451.2312</v>
      </c>
      <c r="E578" s="38">
        <f>SUMIF(RAW_File!D:D,C:C,RAW_File!G:G)</f>
        <v>23570</v>
      </c>
      <c r="F578" s="39">
        <f>SUMIF(RAW_File!D:D,C:C,RAW_File!I:I)</f>
        <v>31160</v>
      </c>
      <c r="G578" s="40">
        <f>SUMIF(RAW_File!D:D,C:C,RAW_File!K:K)</f>
        <v>20000</v>
      </c>
      <c r="H578" s="41">
        <f>SUMIF(RAW_File!D:D,C:C,RAW_File!M:M)</f>
        <v>7000</v>
      </c>
      <c r="I578" s="40">
        <f t="shared" si="10"/>
        <v>13000</v>
      </c>
    </row>
    <row r="579" spans="1:9" hidden="1" x14ac:dyDescent="0.25">
      <c r="A579" s="36" t="s">
        <v>75</v>
      </c>
      <c r="B579" s="36" t="s">
        <v>1801</v>
      </c>
      <c r="C579" s="36" t="s">
        <v>1802</v>
      </c>
      <c r="D579" s="37">
        <f>SUMIF(RAW_File!D:D,C:C,RAW_File!F:F)</f>
        <v>21890.537400000001</v>
      </c>
      <c r="E579" s="38">
        <f>SUMIF(RAW_File!D:D,C:C,RAW_File!G:G)</f>
        <v>15067</v>
      </c>
      <c r="F579" s="39">
        <f>SUMIF(RAW_File!D:D,C:C,RAW_File!I:I)</f>
        <v>30297</v>
      </c>
      <c r="G579" s="40">
        <f>SUMIF(RAW_File!D:D,C:C,RAW_File!K:K)</f>
        <v>0</v>
      </c>
      <c r="H579" s="41">
        <f>SUMIF(RAW_File!D:D,C:C,RAW_File!M:M)</f>
        <v>6000</v>
      </c>
      <c r="I579" s="40">
        <f t="shared" ref="I579:I642" si="11">ABS(G579-H579)</f>
        <v>6000</v>
      </c>
    </row>
    <row r="580" spans="1:9" hidden="1" x14ac:dyDescent="0.25">
      <c r="A580" s="36" t="s">
        <v>75</v>
      </c>
      <c r="B580" s="36" t="s">
        <v>1831</v>
      </c>
      <c r="C580" s="36" t="s">
        <v>1832</v>
      </c>
      <c r="D580" s="37">
        <f>SUMIF(RAW_File!D:D,C:C,RAW_File!F:F)</f>
        <v>104.6446</v>
      </c>
      <c r="E580" s="38">
        <f>SUMIF(RAW_File!D:D,C:C,RAW_File!G:G)</f>
        <v>200</v>
      </c>
      <c r="F580" s="39">
        <f>SUMIF(RAW_File!D:D,C:C,RAW_File!I:I)</f>
        <v>200</v>
      </c>
      <c r="G580" s="40">
        <f>SUMIF(RAW_File!D:D,C:C,RAW_File!K:K)</f>
        <v>0</v>
      </c>
      <c r="H580" s="41">
        <f>SUMIF(RAW_File!D:D,C:C,RAW_File!M:M)</f>
        <v>0</v>
      </c>
      <c r="I580" s="40">
        <f t="shared" si="11"/>
        <v>0</v>
      </c>
    </row>
    <row r="581" spans="1:9" hidden="1" x14ac:dyDescent="0.25">
      <c r="A581" s="36" t="s">
        <v>75</v>
      </c>
      <c r="B581" s="36" t="s">
        <v>2151</v>
      </c>
      <c r="C581" s="36" t="s">
        <v>2152</v>
      </c>
      <c r="D581" s="37">
        <f>SUMIF(RAW_File!D:D,C:C,RAW_File!F:F)</f>
        <v>32803.225744935458</v>
      </c>
      <c r="E581" s="38">
        <f>SUMIF(RAW_File!D:D,C:C,RAW_File!G:G)</f>
        <v>1150</v>
      </c>
      <c r="F581" s="39">
        <f>SUMIF(RAW_File!D:D,C:C,RAW_File!I:I)</f>
        <v>15440</v>
      </c>
      <c r="G581" s="40">
        <f>SUMIF(RAW_File!D:D,C:C,RAW_File!K:K)</f>
        <v>0</v>
      </c>
      <c r="H581" s="41">
        <f>SUMIF(RAW_File!D:D,C:C,RAW_File!M:M)</f>
        <v>6000</v>
      </c>
      <c r="I581" s="40">
        <f t="shared" si="11"/>
        <v>6000</v>
      </c>
    </row>
    <row r="582" spans="1:9" hidden="1" x14ac:dyDescent="0.25">
      <c r="A582" s="36" t="s">
        <v>75</v>
      </c>
      <c r="B582" s="36" t="s">
        <v>2301</v>
      </c>
      <c r="C582" s="36" t="s">
        <v>2302</v>
      </c>
      <c r="D582" s="37">
        <f>SUMIF(RAW_File!D:D,C:C,RAW_File!F:F)</f>
        <v>41328.400062434157</v>
      </c>
      <c r="E582" s="38">
        <f>SUMIF(RAW_File!D:D,C:C,RAW_File!G:G)</f>
        <v>12260</v>
      </c>
      <c r="F582" s="39">
        <f>SUMIF(RAW_File!D:D,C:C,RAW_File!I:I)</f>
        <v>52620</v>
      </c>
      <c r="G582" s="40">
        <f>SUMIF(RAW_File!D:D,C:C,RAW_File!K:K)</f>
        <v>5000</v>
      </c>
      <c r="H582" s="41">
        <f>SUMIF(RAW_File!D:D,C:C,RAW_File!M:M)</f>
        <v>0</v>
      </c>
      <c r="I582" s="40">
        <f t="shared" si="11"/>
        <v>5000</v>
      </c>
    </row>
    <row r="583" spans="1:9" hidden="1" x14ac:dyDescent="0.25">
      <c r="A583" s="36" t="s">
        <v>75</v>
      </c>
      <c r="B583" s="36" t="s">
        <v>2309</v>
      </c>
      <c r="C583" s="36" t="s">
        <v>2310</v>
      </c>
      <c r="D583" s="37">
        <f>SUMIF(RAW_File!D:D,C:C,RAW_File!F:F)</f>
        <v>84.190100000000001</v>
      </c>
      <c r="E583" s="38">
        <f>SUMIF(RAW_File!D:D,C:C,RAW_File!G:G)</f>
        <v>0</v>
      </c>
      <c r="F583" s="39">
        <f>SUMIF(RAW_File!D:D,C:C,RAW_File!I:I)</f>
        <v>0</v>
      </c>
      <c r="G583" s="40">
        <f>SUMIF(RAW_File!D:D,C:C,RAW_File!K:K)</f>
        <v>0</v>
      </c>
      <c r="H583" s="41">
        <f>SUMIF(RAW_File!D:D,C:C,RAW_File!M:M)</f>
        <v>6000</v>
      </c>
      <c r="I583" s="40">
        <f t="shared" si="11"/>
        <v>6000</v>
      </c>
    </row>
    <row r="584" spans="1:9" hidden="1" x14ac:dyDescent="0.25">
      <c r="A584" s="36" t="s">
        <v>75</v>
      </c>
      <c r="B584" s="36" t="s">
        <v>2405</v>
      </c>
      <c r="C584" s="36" t="s">
        <v>2406</v>
      </c>
      <c r="D584" s="37">
        <f>SUMIF(RAW_File!D:D,C:C,RAW_File!F:F)</f>
        <v>12815.9584</v>
      </c>
      <c r="E584" s="38">
        <f>SUMIF(RAW_File!D:D,C:C,RAW_File!G:G)</f>
        <v>0</v>
      </c>
      <c r="F584" s="39">
        <f>SUMIF(RAW_File!D:D,C:C,RAW_File!I:I)</f>
        <v>0</v>
      </c>
      <c r="G584" s="40">
        <f>SUMIF(RAW_File!D:D,C:C,RAW_File!K:K)</f>
        <v>0</v>
      </c>
      <c r="H584" s="41">
        <f>SUMIF(RAW_File!D:D,C:C,RAW_File!M:M)</f>
        <v>6000</v>
      </c>
      <c r="I584" s="40">
        <f t="shared" si="11"/>
        <v>6000</v>
      </c>
    </row>
    <row r="585" spans="1:9" hidden="1" x14ac:dyDescent="0.25">
      <c r="A585" s="36" t="s">
        <v>75</v>
      </c>
      <c r="B585" s="36" t="s">
        <v>2475</v>
      </c>
      <c r="C585" s="36" t="s">
        <v>2476</v>
      </c>
      <c r="D585" s="37">
        <f>SUMIF(RAW_File!D:D,C:C,RAW_File!F:F)</f>
        <v>65398.211213043498</v>
      </c>
      <c r="E585" s="38">
        <f>SUMIF(RAW_File!D:D,C:C,RAW_File!G:G)</f>
        <v>2100</v>
      </c>
      <c r="F585" s="39">
        <f>SUMIF(RAW_File!D:D,C:C,RAW_File!I:I)</f>
        <v>9240</v>
      </c>
      <c r="G585" s="40">
        <f>SUMIF(RAW_File!D:D,C:C,RAW_File!K:K)</f>
        <v>5000</v>
      </c>
      <c r="H585" s="41">
        <f>SUMIF(RAW_File!D:D,C:C,RAW_File!M:M)</f>
        <v>0</v>
      </c>
      <c r="I585" s="40">
        <f t="shared" si="11"/>
        <v>5000</v>
      </c>
    </row>
    <row r="586" spans="1:9" hidden="1" x14ac:dyDescent="0.25">
      <c r="A586" s="36" t="s">
        <v>75</v>
      </c>
      <c r="B586" s="36" t="s">
        <v>2636</v>
      </c>
      <c r="C586" s="36" t="s">
        <v>2637</v>
      </c>
      <c r="D586" s="37">
        <f>SUMIF(RAW_File!D:D,C:C,RAW_File!F:F)</f>
        <v>45.6008</v>
      </c>
      <c r="E586" s="38">
        <f>SUMIF(RAW_File!D:D,C:C,RAW_File!G:G)</f>
        <v>10030</v>
      </c>
      <c r="F586" s="39">
        <f>SUMIF(RAW_File!D:D,C:C,RAW_File!I:I)</f>
        <v>15030</v>
      </c>
      <c r="G586" s="40">
        <f>SUMIF(RAW_File!D:D,C:C,RAW_File!K:K)</f>
        <v>10000</v>
      </c>
      <c r="H586" s="41">
        <f>SUMIF(RAW_File!D:D,C:C,RAW_File!M:M)</f>
        <v>5000</v>
      </c>
      <c r="I586" s="40">
        <f t="shared" si="11"/>
        <v>5000</v>
      </c>
    </row>
    <row r="587" spans="1:9" hidden="1" x14ac:dyDescent="0.25">
      <c r="A587" s="36" t="s">
        <v>75</v>
      </c>
      <c r="B587" s="36" t="s">
        <v>2661</v>
      </c>
      <c r="C587" s="36" t="s">
        <v>2662</v>
      </c>
      <c r="D587" s="37">
        <f>SUMIF(RAW_File!D:D,C:C,RAW_File!F:F)</f>
        <v>12.8599</v>
      </c>
      <c r="E587" s="38">
        <f>SUMIF(RAW_File!D:D,C:C,RAW_File!G:G)</f>
        <v>0</v>
      </c>
      <c r="F587" s="39">
        <f>SUMIF(RAW_File!D:D,C:C,RAW_File!I:I)</f>
        <v>0</v>
      </c>
      <c r="G587" s="40">
        <f>SUMIF(RAW_File!D:D,C:C,RAW_File!K:K)</f>
        <v>0</v>
      </c>
      <c r="H587" s="41">
        <f>SUMIF(RAW_File!D:D,C:C,RAW_File!M:M)</f>
        <v>0</v>
      </c>
      <c r="I587" s="40">
        <f t="shared" si="11"/>
        <v>0</v>
      </c>
    </row>
    <row r="588" spans="1:9" hidden="1" x14ac:dyDescent="0.25">
      <c r="A588" s="36" t="s">
        <v>75</v>
      </c>
      <c r="B588" s="36" t="s">
        <v>2744</v>
      </c>
      <c r="C588" s="36" t="s">
        <v>2745</v>
      </c>
      <c r="D588" s="37">
        <f>SUMIF(RAW_File!D:D,C:C,RAW_File!F:F)</f>
        <v>1197.087988663558</v>
      </c>
      <c r="E588" s="38">
        <f>SUMIF(RAW_File!D:D,C:C,RAW_File!G:G)</f>
        <v>2880</v>
      </c>
      <c r="F588" s="39">
        <f>SUMIF(RAW_File!D:D,C:C,RAW_File!I:I)</f>
        <v>9410</v>
      </c>
      <c r="G588" s="40">
        <f>SUMIF(RAW_File!D:D,C:C,RAW_File!K:K)</f>
        <v>3000</v>
      </c>
      <c r="H588" s="41">
        <f>SUMIF(RAW_File!D:D,C:C,RAW_File!M:M)</f>
        <v>13000</v>
      </c>
      <c r="I588" s="40">
        <f t="shared" si="11"/>
        <v>10000</v>
      </c>
    </row>
    <row r="589" spans="1:9" hidden="1" x14ac:dyDescent="0.25">
      <c r="A589" s="36" t="s">
        <v>75</v>
      </c>
      <c r="B589" s="36" t="s">
        <v>2806</v>
      </c>
      <c r="C589" s="36" t="s">
        <v>2807</v>
      </c>
      <c r="D589" s="37">
        <f>SUMIF(RAW_File!D:D,C:C,RAW_File!F:F)</f>
        <v>16731.364000000001</v>
      </c>
      <c r="E589" s="38">
        <f>SUMIF(RAW_File!D:D,C:C,RAW_File!G:G)</f>
        <v>23052</v>
      </c>
      <c r="F589" s="39">
        <f>SUMIF(RAW_File!D:D,C:C,RAW_File!I:I)</f>
        <v>32832</v>
      </c>
      <c r="G589" s="40">
        <f>SUMIF(RAW_File!D:D,C:C,RAW_File!K:K)</f>
        <v>10000</v>
      </c>
      <c r="H589" s="41">
        <f>SUMIF(RAW_File!D:D,C:C,RAW_File!M:M)</f>
        <v>25000</v>
      </c>
      <c r="I589" s="40">
        <f t="shared" si="11"/>
        <v>15000</v>
      </c>
    </row>
    <row r="590" spans="1:9" hidden="1" x14ac:dyDescent="0.25">
      <c r="A590" s="36" t="s">
        <v>75</v>
      </c>
      <c r="B590" s="36" t="s">
        <v>2828</v>
      </c>
      <c r="C590" s="36" t="s">
        <v>2829</v>
      </c>
      <c r="D590" s="37">
        <f>SUMIF(RAW_File!D:D,C:C,RAW_File!F:F)</f>
        <v>29680.275711695929</v>
      </c>
      <c r="E590" s="38">
        <f>SUMIF(RAW_File!D:D,C:C,RAW_File!G:G)</f>
        <v>0</v>
      </c>
      <c r="F590" s="39">
        <f>SUMIF(RAW_File!D:D,C:C,RAW_File!I:I)</f>
        <v>0</v>
      </c>
      <c r="G590" s="40">
        <f>SUMIF(RAW_File!D:D,C:C,RAW_File!K:K)</f>
        <v>5000</v>
      </c>
      <c r="H590" s="41">
        <f>SUMIF(RAW_File!D:D,C:C,RAW_File!M:M)</f>
        <v>0</v>
      </c>
      <c r="I590" s="40">
        <f t="shared" si="11"/>
        <v>5000</v>
      </c>
    </row>
    <row r="591" spans="1:9" hidden="1" x14ac:dyDescent="0.25">
      <c r="A591" s="36" t="s">
        <v>75</v>
      </c>
      <c r="B591" s="36" t="s">
        <v>3028</v>
      </c>
      <c r="C591" s="36" t="s">
        <v>3029</v>
      </c>
      <c r="D591" s="37">
        <f>SUMIF(RAW_File!D:D,C:C,RAW_File!F:F)</f>
        <v>9984.0931722760033</v>
      </c>
      <c r="E591" s="38">
        <f>SUMIF(RAW_File!D:D,C:C,RAW_File!G:G)</f>
        <v>1250</v>
      </c>
      <c r="F591" s="39">
        <f>SUMIF(RAW_File!D:D,C:C,RAW_File!I:I)</f>
        <v>6100</v>
      </c>
      <c r="G591" s="40">
        <f>SUMIF(RAW_File!D:D,C:C,RAW_File!K:K)</f>
        <v>0</v>
      </c>
      <c r="H591" s="41">
        <f>SUMIF(RAW_File!D:D,C:C,RAW_File!M:M)</f>
        <v>15000</v>
      </c>
      <c r="I591" s="40">
        <f t="shared" si="11"/>
        <v>15000</v>
      </c>
    </row>
    <row r="592" spans="1:9" hidden="1" x14ac:dyDescent="0.25">
      <c r="A592" s="36" t="s">
        <v>75</v>
      </c>
      <c r="B592" s="36" t="s">
        <v>3046</v>
      </c>
      <c r="C592" s="36" t="s">
        <v>3047</v>
      </c>
      <c r="D592" s="37">
        <f>SUMIF(RAW_File!D:D,C:C,RAW_File!F:F)</f>
        <v>11735.360155070401</v>
      </c>
      <c r="E592" s="38">
        <f>SUMIF(RAW_File!D:D,C:C,RAW_File!G:G)</f>
        <v>400</v>
      </c>
      <c r="F592" s="39">
        <f>SUMIF(RAW_File!D:D,C:C,RAW_File!I:I)</f>
        <v>400</v>
      </c>
      <c r="G592" s="40">
        <f>SUMIF(RAW_File!D:D,C:C,RAW_File!K:K)</f>
        <v>5000</v>
      </c>
      <c r="H592" s="41">
        <f>SUMIF(RAW_File!D:D,C:C,RAW_File!M:M)</f>
        <v>0</v>
      </c>
      <c r="I592" s="40">
        <f t="shared" si="11"/>
        <v>5000</v>
      </c>
    </row>
    <row r="593" spans="1:9" hidden="1" x14ac:dyDescent="0.25">
      <c r="A593" s="36" t="s">
        <v>75</v>
      </c>
      <c r="B593" s="36" t="s">
        <v>3054</v>
      </c>
      <c r="C593" s="36" t="s">
        <v>3055</v>
      </c>
      <c r="D593" s="37">
        <f>SUMIF(RAW_File!D:D,C:C,RAW_File!F:F)</f>
        <v>29630.430140896759</v>
      </c>
      <c r="E593" s="38">
        <f>SUMIF(RAW_File!D:D,C:C,RAW_File!G:G)</f>
        <v>16320</v>
      </c>
      <c r="F593" s="39">
        <f>SUMIF(RAW_File!D:D,C:C,RAW_File!I:I)</f>
        <v>23770</v>
      </c>
      <c r="G593" s="40">
        <f>SUMIF(RAW_File!D:D,C:C,RAW_File!K:K)</f>
        <v>10000</v>
      </c>
      <c r="H593" s="41">
        <f>SUMIF(RAW_File!D:D,C:C,RAW_File!M:M)</f>
        <v>0</v>
      </c>
      <c r="I593" s="40">
        <f t="shared" si="11"/>
        <v>10000</v>
      </c>
    </row>
    <row r="594" spans="1:9" hidden="1" x14ac:dyDescent="0.25">
      <c r="A594" s="36" t="s">
        <v>75</v>
      </c>
      <c r="B594" s="36" t="s">
        <v>3122</v>
      </c>
      <c r="C594" s="36" t="s">
        <v>3123</v>
      </c>
      <c r="D594" s="37">
        <f>SUMIF(RAW_File!D:D,C:C,RAW_File!F:F)</f>
        <v>7985.5821591574713</v>
      </c>
      <c r="E594" s="38">
        <f>SUMIF(RAW_File!D:D,C:C,RAW_File!G:G)</f>
        <v>15610</v>
      </c>
      <c r="F594" s="39">
        <f>SUMIF(RAW_File!D:D,C:C,RAW_File!I:I)</f>
        <v>23720</v>
      </c>
      <c r="G594" s="40">
        <f>SUMIF(RAW_File!D:D,C:C,RAW_File!K:K)</f>
        <v>15000</v>
      </c>
      <c r="H594" s="41">
        <f>SUMIF(RAW_File!D:D,C:C,RAW_File!M:M)</f>
        <v>0</v>
      </c>
      <c r="I594" s="40">
        <f t="shared" si="11"/>
        <v>15000</v>
      </c>
    </row>
    <row r="595" spans="1:9" hidden="1" x14ac:dyDescent="0.25">
      <c r="A595" s="36" t="s">
        <v>75</v>
      </c>
      <c r="B595" s="36" t="s">
        <v>3129</v>
      </c>
      <c r="C595" s="36" t="s">
        <v>3130</v>
      </c>
      <c r="D595" s="37">
        <f>SUMIF(RAW_File!D:D,C:C,RAW_File!F:F)</f>
        <v>53963.067249360727</v>
      </c>
      <c r="E595" s="38">
        <f>SUMIF(RAW_File!D:D,C:C,RAW_File!G:G)</f>
        <v>13780</v>
      </c>
      <c r="F595" s="39">
        <f>SUMIF(RAW_File!D:D,C:C,RAW_File!I:I)</f>
        <v>23130</v>
      </c>
      <c r="G595" s="40">
        <f>SUMIF(RAW_File!D:D,C:C,RAW_File!K:K)</f>
        <v>5000</v>
      </c>
      <c r="H595" s="41">
        <f>SUMIF(RAW_File!D:D,C:C,RAW_File!M:M)</f>
        <v>25000</v>
      </c>
      <c r="I595" s="40">
        <f t="shared" si="11"/>
        <v>20000</v>
      </c>
    </row>
    <row r="596" spans="1:9" hidden="1" x14ac:dyDescent="0.25">
      <c r="A596" s="36" t="s">
        <v>75</v>
      </c>
      <c r="B596" s="36" t="s">
        <v>3134</v>
      </c>
      <c r="C596" s="36" t="s">
        <v>3135</v>
      </c>
      <c r="D596" s="37">
        <f>SUMIF(RAW_File!D:D,C:C,RAW_File!F:F)</f>
        <v>9322.5513236036149</v>
      </c>
      <c r="E596" s="38">
        <f>SUMIF(RAW_File!D:D,C:C,RAW_File!G:G)</f>
        <v>3790</v>
      </c>
      <c r="F596" s="39">
        <f>SUMIF(RAW_File!D:D,C:C,RAW_File!I:I)</f>
        <v>34790</v>
      </c>
      <c r="G596" s="40">
        <f>SUMIF(RAW_File!D:D,C:C,RAW_File!K:K)</f>
        <v>0</v>
      </c>
      <c r="H596" s="41">
        <f>SUMIF(RAW_File!D:D,C:C,RAW_File!M:M)</f>
        <v>30000</v>
      </c>
      <c r="I596" s="40">
        <f t="shared" si="11"/>
        <v>30000</v>
      </c>
    </row>
    <row r="597" spans="1:9" hidden="1" x14ac:dyDescent="0.25">
      <c r="A597" s="36" t="s">
        <v>75</v>
      </c>
      <c r="B597" s="36" t="s">
        <v>3185</v>
      </c>
      <c r="C597" s="36" t="s">
        <v>3186</v>
      </c>
      <c r="D597" s="37">
        <f>SUMIF(RAW_File!D:D,C:C,RAW_File!F:F)</f>
        <v>3043.0527280972879</v>
      </c>
      <c r="E597" s="38">
        <f>SUMIF(RAW_File!D:D,C:C,RAW_File!G:G)</f>
        <v>10760</v>
      </c>
      <c r="F597" s="39">
        <f>SUMIF(RAW_File!D:D,C:C,RAW_File!I:I)</f>
        <v>17180</v>
      </c>
      <c r="G597" s="40">
        <f>SUMIF(RAW_File!D:D,C:C,RAW_File!K:K)</f>
        <v>0</v>
      </c>
      <c r="H597" s="41">
        <f>SUMIF(RAW_File!D:D,C:C,RAW_File!M:M)</f>
        <v>15000</v>
      </c>
      <c r="I597" s="40">
        <f t="shared" si="11"/>
        <v>15000</v>
      </c>
    </row>
    <row r="598" spans="1:9" hidden="1" x14ac:dyDescent="0.25">
      <c r="A598" s="36" t="s">
        <v>75</v>
      </c>
      <c r="B598" s="36" t="s">
        <v>3484</v>
      </c>
      <c r="C598" s="36" t="s">
        <v>3485</v>
      </c>
      <c r="D598" s="37">
        <f>SUMIF(RAW_File!D:D,C:C,RAW_File!F:F)</f>
        <v>11358.912</v>
      </c>
      <c r="E598" s="38">
        <f>SUMIF(RAW_File!D:D,C:C,RAW_File!G:G)</f>
        <v>0</v>
      </c>
      <c r="F598" s="39">
        <f>SUMIF(RAW_File!D:D,C:C,RAW_File!I:I)</f>
        <v>0</v>
      </c>
      <c r="G598" s="40">
        <f>SUMIF(RAW_File!D:D,C:C,RAW_File!K:K)</f>
        <v>6000</v>
      </c>
      <c r="H598" s="41">
        <f>SUMIF(RAW_File!D:D,C:C,RAW_File!M:M)</f>
        <v>0</v>
      </c>
      <c r="I598" s="40">
        <f t="shared" si="11"/>
        <v>6000</v>
      </c>
    </row>
    <row r="599" spans="1:9" hidden="1" x14ac:dyDescent="0.25">
      <c r="A599" s="36" t="s">
        <v>60</v>
      </c>
      <c r="B599" s="36" t="s">
        <v>272</v>
      </c>
      <c r="C599" s="36" t="s">
        <v>273</v>
      </c>
      <c r="D599" s="37">
        <f>SUMIF(RAW_File!D:D,C:C,RAW_File!F:F)</f>
        <v>25062.119524595309</v>
      </c>
      <c r="E599" s="38">
        <f>SUMIF(RAW_File!D:D,C:C,RAW_File!G:G)</f>
        <v>16080</v>
      </c>
      <c r="F599" s="39">
        <f>SUMIF(RAW_File!D:D,C:C,RAW_File!I:I)</f>
        <v>21680</v>
      </c>
      <c r="G599" s="40">
        <f>SUMIF(RAW_File!D:D,C:C,RAW_File!K:K)</f>
        <v>0</v>
      </c>
      <c r="H599" s="41">
        <f>SUMIF(RAW_File!D:D,C:C,RAW_File!M:M)</f>
        <v>25000</v>
      </c>
      <c r="I599" s="40">
        <f t="shared" si="11"/>
        <v>25000</v>
      </c>
    </row>
    <row r="600" spans="1:9" hidden="1" x14ac:dyDescent="0.25">
      <c r="A600" s="36" t="s">
        <v>60</v>
      </c>
      <c r="B600" s="36" t="s">
        <v>401</v>
      </c>
      <c r="C600" s="36" t="s">
        <v>402</v>
      </c>
      <c r="D600" s="37">
        <f>SUMIF(RAW_File!D:D,C:C,RAW_File!F:F)</f>
        <v>120800.1716406409</v>
      </c>
      <c r="E600" s="38">
        <f>SUMIF(RAW_File!D:D,C:C,RAW_File!G:G)</f>
        <v>101210</v>
      </c>
      <c r="F600" s="39">
        <f>SUMIF(RAW_File!D:D,C:C,RAW_File!I:I)</f>
        <v>169600</v>
      </c>
      <c r="G600" s="40">
        <f>SUMIF(RAW_File!D:D,C:C,RAW_File!K:K)</f>
        <v>20000</v>
      </c>
      <c r="H600" s="41">
        <f>SUMIF(RAW_File!D:D,C:C,RAW_File!M:M)</f>
        <v>0</v>
      </c>
      <c r="I600" s="40">
        <f t="shared" si="11"/>
        <v>20000</v>
      </c>
    </row>
    <row r="601" spans="1:9" hidden="1" x14ac:dyDescent="0.25">
      <c r="A601" s="36" t="s">
        <v>60</v>
      </c>
      <c r="B601" s="36" t="s">
        <v>449</v>
      </c>
      <c r="C601" s="36" t="s">
        <v>450</v>
      </c>
      <c r="D601" s="37">
        <f>SUMIF(RAW_File!D:D,C:C,RAW_File!F:F)</f>
        <v>7498.8739202996876</v>
      </c>
      <c r="E601" s="38">
        <f>SUMIF(RAW_File!D:D,C:C,RAW_File!G:G)</f>
        <v>3290</v>
      </c>
      <c r="F601" s="39">
        <f>SUMIF(RAW_File!D:D,C:C,RAW_File!I:I)</f>
        <v>6310</v>
      </c>
      <c r="G601" s="40">
        <f>SUMIF(RAW_File!D:D,C:C,RAW_File!K:K)</f>
        <v>0</v>
      </c>
      <c r="H601" s="41">
        <f>SUMIF(RAW_File!D:D,C:C,RAW_File!M:M)</f>
        <v>6000</v>
      </c>
      <c r="I601" s="40">
        <f t="shared" si="11"/>
        <v>6000</v>
      </c>
    </row>
    <row r="602" spans="1:9" hidden="1" x14ac:dyDescent="0.25">
      <c r="A602" s="36" t="s">
        <v>60</v>
      </c>
      <c r="B602" s="36" t="s">
        <v>463</v>
      </c>
      <c r="C602" s="36" t="s">
        <v>464</v>
      </c>
      <c r="D602" s="37">
        <f>SUMIF(RAW_File!D:D,C:C,RAW_File!F:F)</f>
        <v>60454.168100167772</v>
      </c>
      <c r="E602" s="38">
        <f>SUMIF(RAW_File!D:D,C:C,RAW_File!G:G)</f>
        <v>30670</v>
      </c>
      <c r="F602" s="39">
        <f>SUMIF(RAW_File!D:D,C:C,RAW_File!I:I)</f>
        <v>51070</v>
      </c>
      <c r="G602" s="40">
        <f>SUMIF(RAW_File!D:D,C:C,RAW_File!K:K)</f>
        <v>25000</v>
      </c>
      <c r="H602" s="41">
        <f>SUMIF(RAW_File!D:D,C:C,RAW_File!M:M)</f>
        <v>0</v>
      </c>
      <c r="I602" s="40">
        <f t="shared" si="11"/>
        <v>25000</v>
      </c>
    </row>
    <row r="603" spans="1:9" hidden="1" x14ac:dyDescent="0.25">
      <c r="A603" s="36" t="s">
        <v>60</v>
      </c>
      <c r="B603" s="36" t="s">
        <v>470</v>
      </c>
      <c r="C603" s="36" t="s">
        <v>471</v>
      </c>
      <c r="D603" s="37">
        <f>SUMIF(RAW_File!D:D,C:C,RAW_File!F:F)</f>
        <v>5046.8163000000004</v>
      </c>
      <c r="E603" s="38">
        <f>SUMIF(RAW_File!D:D,C:C,RAW_File!G:G)</f>
        <v>0</v>
      </c>
      <c r="F603" s="39">
        <f>SUMIF(RAW_File!D:D,C:C,RAW_File!I:I)</f>
        <v>0</v>
      </c>
      <c r="G603" s="40">
        <f>SUMIF(RAW_File!D:D,C:C,RAW_File!K:K)</f>
        <v>5000</v>
      </c>
      <c r="H603" s="41">
        <f>SUMIF(RAW_File!D:D,C:C,RAW_File!M:M)</f>
        <v>0</v>
      </c>
      <c r="I603" s="40">
        <f t="shared" si="11"/>
        <v>5000</v>
      </c>
    </row>
    <row r="604" spans="1:9" hidden="1" x14ac:dyDescent="0.25">
      <c r="A604" s="36" t="s">
        <v>60</v>
      </c>
      <c r="B604" s="36" t="s">
        <v>582</v>
      </c>
      <c r="C604" s="36" t="s">
        <v>583</v>
      </c>
      <c r="D604" s="37">
        <f>SUMIF(RAW_File!D:D,C:C,RAW_File!F:F)</f>
        <v>52.3673</v>
      </c>
      <c r="E604" s="38">
        <f>SUMIF(RAW_File!D:D,C:C,RAW_File!G:G)</f>
        <v>0</v>
      </c>
      <c r="F604" s="39">
        <f>SUMIF(RAW_File!D:D,C:C,RAW_File!I:I)</f>
        <v>0</v>
      </c>
      <c r="G604" s="40">
        <f>SUMIF(RAW_File!D:D,C:C,RAW_File!K:K)</f>
        <v>0</v>
      </c>
      <c r="H604" s="41">
        <f>SUMIF(RAW_File!D:D,C:C,RAW_File!M:M)</f>
        <v>0</v>
      </c>
      <c r="I604" s="40">
        <f t="shared" si="11"/>
        <v>0</v>
      </c>
    </row>
    <row r="605" spans="1:9" hidden="1" x14ac:dyDescent="0.25">
      <c r="A605" s="36" t="s">
        <v>60</v>
      </c>
      <c r="B605" s="36" t="s">
        <v>755</v>
      </c>
      <c r="C605" s="36" t="s">
        <v>756</v>
      </c>
      <c r="D605" s="37">
        <f>SUMIF(RAW_File!D:D,C:C,RAW_File!F:F)</f>
        <v>793.92469997390003</v>
      </c>
      <c r="E605" s="38">
        <f>SUMIF(RAW_File!D:D,C:C,RAW_File!G:G)</f>
        <v>150</v>
      </c>
      <c r="F605" s="39">
        <f>SUMIF(RAW_File!D:D,C:C,RAW_File!I:I)</f>
        <v>1845</v>
      </c>
      <c r="G605" s="40">
        <f>SUMIF(RAW_File!D:D,C:C,RAW_File!K:K)</f>
        <v>0</v>
      </c>
      <c r="H605" s="41">
        <f>SUMIF(RAW_File!D:D,C:C,RAW_File!M:M)</f>
        <v>5000</v>
      </c>
      <c r="I605" s="40">
        <f t="shared" si="11"/>
        <v>5000</v>
      </c>
    </row>
    <row r="606" spans="1:9" hidden="1" x14ac:dyDescent="0.25">
      <c r="A606" s="36" t="s">
        <v>60</v>
      </c>
      <c r="B606" s="36" t="s">
        <v>836</v>
      </c>
      <c r="C606" s="36" t="s">
        <v>837</v>
      </c>
      <c r="D606" s="37">
        <f>SUMIF(RAW_File!D:D,C:C,RAW_File!F:F)</f>
        <v>1424.4191000000001</v>
      </c>
      <c r="E606" s="38">
        <f>SUMIF(RAW_File!D:D,C:C,RAW_File!G:G)</f>
        <v>900</v>
      </c>
      <c r="F606" s="39">
        <f>SUMIF(RAW_File!D:D,C:C,RAW_File!I:I)</f>
        <v>2520</v>
      </c>
      <c r="G606" s="40">
        <f>SUMIF(RAW_File!D:D,C:C,RAW_File!K:K)</f>
        <v>0</v>
      </c>
      <c r="H606" s="41">
        <f>SUMIF(RAW_File!D:D,C:C,RAW_File!M:M)</f>
        <v>5000</v>
      </c>
      <c r="I606" s="40">
        <f t="shared" si="11"/>
        <v>5000</v>
      </c>
    </row>
    <row r="607" spans="1:9" hidden="1" x14ac:dyDescent="0.25">
      <c r="A607" s="36" t="s">
        <v>60</v>
      </c>
      <c r="B607" s="36" t="s">
        <v>838</v>
      </c>
      <c r="C607" s="36" t="s">
        <v>839</v>
      </c>
      <c r="D607" s="37">
        <f>SUMIF(RAW_File!D:D,C:C,RAW_File!F:F)</f>
        <v>5497.1125499999998</v>
      </c>
      <c r="E607" s="38">
        <f>SUMIF(RAW_File!D:D,C:C,RAW_File!G:G)</f>
        <v>0</v>
      </c>
      <c r="F607" s="39">
        <f>SUMIF(RAW_File!D:D,C:C,RAW_File!I:I)</f>
        <v>2200</v>
      </c>
      <c r="G607" s="40">
        <f>SUMIF(RAW_File!D:D,C:C,RAW_File!K:K)</f>
        <v>0</v>
      </c>
      <c r="H607" s="41">
        <f>SUMIF(RAW_File!D:D,C:C,RAW_File!M:M)</f>
        <v>20000</v>
      </c>
      <c r="I607" s="40">
        <f t="shared" si="11"/>
        <v>20000</v>
      </c>
    </row>
    <row r="608" spans="1:9" hidden="1" x14ac:dyDescent="0.25">
      <c r="A608" s="36" t="s">
        <v>60</v>
      </c>
      <c r="B608" s="36" t="s">
        <v>846</v>
      </c>
      <c r="C608" s="36" t="s">
        <v>847</v>
      </c>
      <c r="D608" s="37">
        <f>SUMIF(RAW_File!D:D,C:C,RAW_File!F:F)</f>
        <v>11631.7449000044</v>
      </c>
      <c r="E608" s="38">
        <f>SUMIF(RAW_File!D:D,C:C,RAW_File!G:G)</f>
        <v>485</v>
      </c>
      <c r="F608" s="39">
        <f>SUMIF(RAW_File!D:D,C:C,RAW_File!I:I)</f>
        <v>5080</v>
      </c>
      <c r="G608" s="40">
        <f>SUMIF(RAW_File!D:D,C:C,RAW_File!K:K)</f>
        <v>0</v>
      </c>
      <c r="H608" s="41">
        <f>SUMIF(RAW_File!D:D,C:C,RAW_File!M:M)</f>
        <v>6000</v>
      </c>
      <c r="I608" s="40">
        <f t="shared" si="11"/>
        <v>6000</v>
      </c>
    </row>
    <row r="609" spans="1:9" hidden="1" x14ac:dyDescent="0.25">
      <c r="A609" s="36" t="s">
        <v>60</v>
      </c>
      <c r="B609" s="36" t="s">
        <v>881</v>
      </c>
      <c r="C609" s="36" t="s">
        <v>1109</v>
      </c>
      <c r="D609" s="37">
        <f>SUMIF(RAW_File!D:D,C:C,RAW_File!F:F)</f>
        <v>5223.3950000000004</v>
      </c>
      <c r="E609" s="38">
        <f>SUMIF(RAW_File!D:D,C:C,RAW_File!G:G)</f>
        <v>0</v>
      </c>
      <c r="F609" s="39">
        <f>SUMIF(RAW_File!D:D,C:C,RAW_File!I:I)</f>
        <v>0</v>
      </c>
      <c r="G609" s="40">
        <f>SUMIF(RAW_File!D:D,C:C,RAW_File!K:K)</f>
        <v>5000</v>
      </c>
      <c r="H609" s="41">
        <f>SUMIF(RAW_File!D:D,C:C,RAW_File!M:M)</f>
        <v>0</v>
      </c>
      <c r="I609" s="40">
        <f t="shared" si="11"/>
        <v>5000</v>
      </c>
    </row>
    <row r="610" spans="1:9" hidden="1" x14ac:dyDescent="0.25">
      <c r="A610" s="36" t="s">
        <v>60</v>
      </c>
      <c r="B610" s="36" t="s">
        <v>1346</v>
      </c>
      <c r="C610" s="36" t="s">
        <v>1347</v>
      </c>
      <c r="D610" s="37">
        <f>SUMIF(RAW_File!D:D,C:C,RAW_File!F:F)</f>
        <v>23666.890942923361</v>
      </c>
      <c r="E610" s="38">
        <f>SUMIF(RAW_File!D:D,C:C,RAW_File!G:G)</f>
        <v>15300</v>
      </c>
      <c r="F610" s="39">
        <f>SUMIF(RAW_File!D:D,C:C,RAW_File!I:I)</f>
        <v>47420</v>
      </c>
      <c r="G610" s="40">
        <f>SUMIF(RAW_File!D:D,C:C,RAW_File!K:K)</f>
        <v>5000</v>
      </c>
      <c r="H610" s="41">
        <f>SUMIF(RAW_File!D:D,C:C,RAW_File!M:M)</f>
        <v>0</v>
      </c>
      <c r="I610" s="40">
        <f t="shared" si="11"/>
        <v>5000</v>
      </c>
    </row>
    <row r="611" spans="1:9" hidden="1" x14ac:dyDescent="0.25">
      <c r="A611" s="36" t="s">
        <v>60</v>
      </c>
      <c r="B611" s="36" t="s">
        <v>1413</v>
      </c>
      <c r="C611" s="36" t="s">
        <v>1414</v>
      </c>
      <c r="D611" s="37">
        <f>SUMIF(RAW_File!D:D,C:C,RAW_File!F:F)</f>
        <v>5554.1079</v>
      </c>
      <c r="E611" s="38">
        <f>SUMIF(RAW_File!D:D,C:C,RAW_File!G:G)</f>
        <v>22165</v>
      </c>
      <c r="F611" s="39">
        <f>SUMIF(RAW_File!D:D,C:C,RAW_File!I:I)</f>
        <v>28715</v>
      </c>
      <c r="G611" s="40">
        <f>SUMIF(RAW_File!D:D,C:C,RAW_File!K:K)</f>
        <v>10000</v>
      </c>
      <c r="H611" s="41">
        <f>SUMIF(RAW_File!D:D,C:C,RAW_File!M:M)</f>
        <v>0</v>
      </c>
      <c r="I611" s="40">
        <f t="shared" si="11"/>
        <v>10000</v>
      </c>
    </row>
    <row r="612" spans="1:9" hidden="1" x14ac:dyDescent="0.25">
      <c r="A612" s="36" t="s">
        <v>60</v>
      </c>
      <c r="B612" s="36" t="s">
        <v>1736</v>
      </c>
      <c r="C612" s="36" t="s">
        <v>1737</v>
      </c>
      <c r="D612" s="37">
        <f>SUMIF(RAW_File!D:D,C:C,RAW_File!F:F)</f>
        <v>1222.8434</v>
      </c>
      <c r="E612" s="38">
        <f>SUMIF(RAW_File!D:D,C:C,RAW_File!G:G)</f>
        <v>500</v>
      </c>
      <c r="F612" s="39">
        <f>SUMIF(RAW_File!D:D,C:C,RAW_File!I:I)</f>
        <v>500</v>
      </c>
      <c r="G612" s="40">
        <f>SUMIF(RAW_File!D:D,C:C,RAW_File!K:K)</f>
        <v>0</v>
      </c>
      <c r="H612" s="41">
        <f>SUMIF(RAW_File!D:D,C:C,RAW_File!M:M)</f>
        <v>0</v>
      </c>
      <c r="I612" s="40">
        <f t="shared" si="11"/>
        <v>0</v>
      </c>
    </row>
    <row r="613" spans="1:9" hidden="1" x14ac:dyDescent="0.25">
      <c r="A613" s="36" t="s">
        <v>60</v>
      </c>
      <c r="B613" s="36" t="s">
        <v>1874</v>
      </c>
      <c r="C613" s="36" t="s">
        <v>1875</v>
      </c>
      <c r="D613" s="37">
        <f>SUMIF(RAW_File!D:D,C:C,RAW_File!F:F)</f>
        <v>869.61635000000001</v>
      </c>
      <c r="E613" s="38">
        <f>SUMIF(RAW_File!D:D,C:C,RAW_File!G:G)</f>
        <v>300</v>
      </c>
      <c r="F613" s="39">
        <f>SUMIF(RAW_File!D:D,C:C,RAW_File!I:I)</f>
        <v>300</v>
      </c>
      <c r="G613" s="40">
        <f>SUMIF(RAW_File!D:D,C:C,RAW_File!K:K)</f>
        <v>0</v>
      </c>
      <c r="H613" s="41">
        <f>SUMIF(RAW_File!D:D,C:C,RAW_File!M:M)</f>
        <v>0</v>
      </c>
      <c r="I613" s="40">
        <f t="shared" si="11"/>
        <v>0</v>
      </c>
    </row>
    <row r="614" spans="1:9" hidden="1" x14ac:dyDescent="0.25">
      <c r="A614" s="36" t="s">
        <v>60</v>
      </c>
      <c r="B614" s="36" t="s">
        <v>1915</v>
      </c>
      <c r="C614" s="36" t="s">
        <v>1916</v>
      </c>
      <c r="D614" s="37">
        <f>SUMIF(RAW_File!D:D,C:C,RAW_File!F:F)</f>
        <v>3755.2609031033489</v>
      </c>
      <c r="E614" s="38">
        <f>SUMIF(RAW_File!D:D,C:C,RAW_File!G:G)</f>
        <v>4165</v>
      </c>
      <c r="F614" s="39">
        <f>SUMIF(RAW_File!D:D,C:C,RAW_File!I:I)</f>
        <v>9455</v>
      </c>
      <c r="G614" s="40">
        <f>SUMIF(RAW_File!D:D,C:C,RAW_File!K:K)</f>
        <v>0</v>
      </c>
      <c r="H614" s="41">
        <f>SUMIF(RAW_File!D:D,C:C,RAW_File!M:M)</f>
        <v>10000</v>
      </c>
      <c r="I614" s="40">
        <f t="shared" si="11"/>
        <v>10000</v>
      </c>
    </row>
    <row r="615" spans="1:9" hidden="1" x14ac:dyDescent="0.25">
      <c r="A615" s="36" t="s">
        <v>60</v>
      </c>
      <c r="B615" s="36" t="s">
        <v>2121</v>
      </c>
      <c r="C615" s="36" t="s">
        <v>2122</v>
      </c>
      <c r="D615" s="37">
        <f>SUMIF(RAW_File!D:D,C:C,RAW_File!F:F)</f>
        <v>13270.90792747703</v>
      </c>
      <c r="E615" s="38">
        <f>SUMIF(RAW_File!D:D,C:C,RAW_File!G:G)</f>
        <v>25290</v>
      </c>
      <c r="F615" s="39">
        <f>SUMIF(RAW_File!D:D,C:C,RAW_File!I:I)</f>
        <v>32330</v>
      </c>
      <c r="G615" s="40">
        <f>SUMIF(RAW_File!D:D,C:C,RAW_File!K:K)</f>
        <v>10000</v>
      </c>
      <c r="H615" s="41">
        <f>SUMIF(RAW_File!D:D,C:C,RAW_File!M:M)</f>
        <v>0</v>
      </c>
      <c r="I615" s="40">
        <f t="shared" si="11"/>
        <v>10000</v>
      </c>
    </row>
    <row r="616" spans="1:9" hidden="1" x14ac:dyDescent="0.25">
      <c r="A616" s="36" t="s">
        <v>60</v>
      </c>
      <c r="B616" s="36" t="s">
        <v>2131</v>
      </c>
      <c r="C616" s="36" t="s">
        <v>2132</v>
      </c>
      <c r="D616" s="37">
        <f>SUMIF(RAW_File!D:D,C:C,RAW_File!F:F)</f>
        <v>7402.7555182800861</v>
      </c>
      <c r="E616" s="38">
        <f>SUMIF(RAW_File!D:D,C:C,RAW_File!G:G)</f>
        <v>11100</v>
      </c>
      <c r="F616" s="39">
        <f>SUMIF(RAW_File!D:D,C:C,RAW_File!I:I)</f>
        <v>11600</v>
      </c>
      <c r="G616" s="40">
        <f>SUMIF(RAW_File!D:D,C:C,RAW_File!K:K)</f>
        <v>6000</v>
      </c>
      <c r="H616" s="41">
        <f>SUMIF(RAW_File!D:D,C:C,RAW_File!M:M)</f>
        <v>0</v>
      </c>
      <c r="I616" s="40">
        <f t="shared" si="11"/>
        <v>6000</v>
      </c>
    </row>
    <row r="617" spans="1:9" hidden="1" x14ac:dyDescent="0.25">
      <c r="A617" s="36" t="s">
        <v>60</v>
      </c>
      <c r="B617" s="36" t="s">
        <v>2135</v>
      </c>
      <c r="C617" s="36" t="s">
        <v>2136</v>
      </c>
      <c r="D617" s="37">
        <f>SUMIF(RAW_File!D:D,C:C,RAW_File!F:F)</f>
        <v>24210.2778</v>
      </c>
      <c r="E617" s="38">
        <f>SUMIF(RAW_File!D:D,C:C,RAW_File!G:G)</f>
        <v>950</v>
      </c>
      <c r="F617" s="39">
        <f>SUMIF(RAW_File!D:D,C:C,RAW_File!I:I)</f>
        <v>8880</v>
      </c>
      <c r="G617" s="40">
        <f>SUMIF(RAW_File!D:D,C:C,RAW_File!K:K)</f>
        <v>5000</v>
      </c>
      <c r="H617" s="41">
        <f>SUMIF(RAW_File!D:D,C:C,RAW_File!M:M)</f>
        <v>0</v>
      </c>
      <c r="I617" s="40">
        <f t="shared" si="11"/>
        <v>5000</v>
      </c>
    </row>
    <row r="618" spans="1:9" hidden="1" x14ac:dyDescent="0.25">
      <c r="A618" s="36" t="s">
        <v>60</v>
      </c>
      <c r="B618" s="36" t="s">
        <v>2290</v>
      </c>
      <c r="C618" s="36" t="s">
        <v>2291</v>
      </c>
      <c r="D618" s="37">
        <f>SUMIF(RAW_File!D:D,C:C,RAW_File!F:F)</f>
        <v>3311.3924810103999</v>
      </c>
      <c r="E618" s="38">
        <f>SUMIF(RAW_File!D:D,C:C,RAW_File!G:G)</f>
        <v>987.6</v>
      </c>
      <c r="F618" s="39">
        <f>SUMIF(RAW_File!D:D,C:C,RAW_File!I:I)</f>
        <v>12152.6</v>
      </c>
      <c r="G618" s="40">
        <f>SUMIF(RAW_File!D:D,C:C,RAW_File!K:K)</f>
        <v>0</v>
      </c>
      <c r="H618" s="41">
        <f>SUMIF(RAW_File!D:D,C:C,RAW_File!M:M)</f>
        <v>7000</v>
      </c>
      <c r="I618" s="40">
        <f t="shared" si="11"/>
        <v>7000</v>
      </c>
    </row>
    <row r="619" spans="1:9" hidden="1" x14ac:dyDescent="0.25">
      <c r="A619" s="36" t="s">
        <v>60</v>
      </c>
      <c r="B619" s="36" t="s">
        <v>2347</v>
      </c>
      <c r="C619" s="36" t="s">
        <v>2348</v>
      </c>
      <c r="D619" s="37">
        <f>SUMIF(RAW_File!D:D,C:C,RAW_File!F:F)</f>
        <v>29.239100000000001</v>
      </c>
      <c r="E619" s="38">
        <f>SUMIF(RAW_File!D:D,C:C,RAW_File!G:G)</f>
        <v>0</v>
      </c>
      <c r="F619" s="39">
        <f>SUMIF(RAW_File!D:D,C:C,RAW_File!I:I)</f>
        <v>0</v>
      </c>
      <c r="G619" s="40">
        <f>SUMIF(RAW_File!D:D,C:C,RAW_File!K:K)</f>
        <v>0</v>
      </c>
      <c r="H619" s="41">
        <f>SUMIF(RAW_File!D:D,C:C,RAW_File!M:M)</f>
        <v>0</v>
      </c>
      <c r="I619" s="40">
        <f t="shared" si="11"/>
        <v>0</v>
      </c>
    </row>
    <row r="620" spans="1:9" hidden="1" x14ac:dyDescent="0.25">
      <c r="A620" s="36" t="s">
        <v>60</v>
      </c>
      <c r="B620" s="36" t="s">
        <v>2357</v>
      </c>
      <c r="C620" s="36" t="s">
        <v>2358</v>
      </c>
      <c r="D620" s="37">
        <f>SUMIF(RAW_File!D:D,C:C,RAW_File!F:F)</f>
        <v>17218.244841030129</v>
      </c>
      <c r="E620" s="38">
        <f>SUMIF(RAW_File!D:D,C:C,RAW_File!G:G)</f>
        <v>2910</v>
      </c>
      <c r="F620" s="39">
        <f>SUMIF(RAW_File!D:D,C:C,RAW_File!I:I)</f>
        <v>20270</v>
      </c>
      <c r="G620" s="40">
        <f>SUMIF(RAW_File!D:D,C:C,RAW_File!K:K)</f>
        <v>0</v>
      </c>
      <c r="H620" s="41">
        <f>SUMIF(RAW_File!D:D,C:C,RAW_File!M:M)</f>
        <v>20000</v>
      </c>
      <c r="I620" s="40">
        <f t="shared" si="11"/>
        <v>20000</v>
      </c>
    </row>
    <row r="621" spans="1:9" hidden="1" x14ac:dyDescent="0.25">
      <c r="A621" s="36" t="s">
        <v>60</v>
      </c>
      <c r="B621" s="36" t="s">
        <v>2365</v>
      </c>
      <c r="C621" s="36" t="s">
        <v>2366</v>
      </c>
      <c r="D621" s="37">
        <f>SUMIF(RAW_File!D:D,C:C,RAW_File!F:F)</f>
        <v>65336.528862397383</v>
      </c>
      <c r="E621" s="38">
        <f>SUMIF(RAW_File!D:D,C:C,RAW_File!G:G)</f>
        <v>64395</v>
      </c>
      <c r="F621" s="39">
        <f>SUMIF(RAW_File!D:D,C:C,RAW_File!I:I)</f>
        <v>96665</v>
      </c>
      <c r="G621" s="40">
        <f>SUMIF(RAW_File!D:D,C:C,RAW_File!K:K)</f>
        <v>30000</v>
      </c>
      <c r="H621" s="41">
        <f>SUMIF(RAW_File!D:D,C:C,RAW_File!M:M)</f>
        <v>0</v>
      </c>
      <c r="I621" s="40">
        <f t="shared" si="11"/>
        <v>30000</v>
      </c>
    </row>
    <row r="622" spans="1:9" hidden="1" x14ac:dyDescent="0.25">
      <c r="A622" s="36" t="s">
        <v>60</v>
      </c>
      <c r="B622" s="36" t="s">
        <v>2415</v>
      </c>
      <c r="C622" s="36" t="s">
        <v>2416</v>
      </c>
      <c r="D622" s="37">
        <f>SUMIF(RAW_File!D:D,C:C,RAW_File!F:F)</f>
        <v>4267.7091297178285</v>
      </c>
      <c r="E622" s="38">
        <f>SUMIF(RAW_File!D:D,C:C,RAW_File!G:G)</f>
        <v>2320</v>
      </c>
      <c r="F622" s="39">
        <f>SUMIF(RAW_File!D:D,C:C,RAW_File!I:I)</f>
        <v>3820</v>
      </c>
      <c r="G622" s="40">
        <f>SUMIF(RAW_File!D:D,C:C,RAW_File!K:K)</f>
        <v>5000</v>
      </c>
      <c r="H622" s="41">
        <f>SUMIF(RAW_File!D:D,C:C,RAW_File!M:M)</f>
        <v>0</v>
      </c>
      <c r="I622" s="40">
        <f t="shared" si="11"/>
        <v>5000</v>
      </c>
    </row>
    <row r="623" spans="1:9" hidden="1" x14ac:dyDescent="0.25">
      <c r="A623" s="36" t="s">
        <v>60</v>
      </c>
      <c r="B623" s="36" t="s">
        <v>2592</v>
      </c>
      <c r="C623" s="36" t="s">
        <v>2593</v>
      </c>
      <c r="D623" s="37">
        <f>SUMIF(RAW_File!D:D,C:C,RAW_File!F:F)</f>
        <v>4710.0842379056603</v>
      </c>
      <c r="E623" s="38">
        <f>SUMIF(RAW_File!D:D,C:C,RAW_File!G:G)</f>
        <v>0</v>
      </c>
      <c r="F623" s="39">
        <f>SUMIF(RAW_File!D:D,C:C,RAW_File!I:I)</f>
        <v>0</v>
      </c>
      <c r="G623" s="40">
        <f>SUMIF(RAW_File!D:D,C:C,RAW_File!K:K)</f>
        <v>5000</v>
      </c>
      <c r="H623" s="41">
        <f>SUMIF(RAW_File!D:D,C:C,RAW_File!M:M)</f>
        <v>0</v>
      </c>
      <c r="I623" s="40">
        <f t="shared" si="11"/>
        <v>5000</v>
      </c>
    </row>
    <row r="624" spans="1:9" hidden="1" x14ac:dyDescent="0.25">
      <c r="A624" s="36" t="s">
        <v>60</v>
      </c>
      <c r="B624" s="36" t="s">
        <v>2596</v>
      </c>
      <c r="C624" s="36" t="s">
        <v>2597</v>
      </c>
      <c r="D624" s="37">
        <f>SUMIF(RAW_File!D:D,C:C,RAW_File!F:F)</f>
        <v>1.40065</v>
      </c>
      <c r="E624" s="38">
        <f>SUMIF(RAW_File!D:D,C:C,RAW_File!G:G)</f>
        <v>0</v>
      </c>
      <c r="F624" s="39">
        <f>SUMIF(RAW_File!D:D,C:C,RAW_File!I:I)</f>
        <v>0</v>
      </c>
      <c r="G624" s="40">
        <f>SUMIF(RAW_File!D:D,C:C,RAW_File!K:K)</f>
        <v>0</v>
      </c>
      <c r="H624" s="41">
        <f>SUMIF(RAW_File!D:D,C:C,RAW_File!M:M)</f>
        <v>0</v>
      </c>
      <c r="I624" s="40">
        <f t="shared" si="11"/>
        <v>0</v>
      </c>
    </row>
    <row r="625" spans="1:9" hidden="1" x14ac:dyDescent="0.25">
      <c r="A625" s="36" t="s">
        <v>60</v>
      </c>
      <c r="B625" s="36" t="s">
        <v>2644</v>
      </c>
      <c r="C625" s="36" t="s">
        <v>2645</v>
      </c>
      <c r="D625" s="37">
        <f>SUMIF(RAW_File!D:D,C:C,RAW_File!F:F)</f>
        <v>63757.451300000001</v>
      </c>
      <c r="E625" s="38">
        <f>SUMIF(RAW_File!D:D,C:C,RAW_File!G:G)</f>
        <v>21610</v>
      </c>
      <c r="F625" s="39">
        <f>SUMIF(RAW_File!D:D,C:C,RAW_File!I:I)</f>
        <v>31280</v>
      </c>
      <c r="G625" s="40">
        <f>SUMIF(RAW_File!D:D,C:C,RAW_File!K:K)</f>
        <v>40000</v>
      </c>
      <c r="H625" s="41">
        <f>SUMIF(RAW_File!D:D,C:C,RAW_File!M:M)</f>
        <v>0</v>
      </c>
      <c r="I625" s="40">
        <f t="shared" si="11"/>
        <v>40000</v>
      </c>
    </row>
    <row r="626" spans="1:9" hidden="1" x14ac:dyDescent="0.25">
      <c r="A626" s="36" t="s">
        <v>60</v>
      </c>
      <c r="B626" s="36" t="s">
        <v>2691</v>
      </c>
      <c r="C626" s="36" t="s">
        <v>2692</v>
      </c>
      <c r="D626" s="37">
        <f>SUMIF(RAW_File!D:D,C:C,RAW_File!F:F)</f>
        <v>6003.4790000000003</v>
      </c>
      <c r="E626" s="38">
        <f>SUMIF(RAW_File!D:D,C:C,RAW_File!G:G)</f>
        <v>0</v>
      </c>
      <c r="F626" s="39">
        <f>SUMIF(RAW_File!D:D,C:C,RAW_File!I:I)</f>
        <v>0</v>
      </c>
      <c r="G626" s="40">
        <f>SUMIF(RAW_File!D:D,C:C,RAW_File!K:K)</f>
        <v>6000</v>
      </c>
      <c r="H626" s="41">
        <f>SUMIF(RAW_File!D:D,C:C,RAW_File!M:M)</f>
        <v>0</v>
      </c>
      <c r="I626" s="40">
        <f t="shared" si="11"/>
        <v>6000</v>
      </c>
    </row>
    <row r="627" spans="1:9" hidden="1" x14ac:dyDescent="0.25">
      <c r="A627" s="36" t="s">
        <v>60</v>
      </c>
      <c r="B627" s="36" t="s">
        <v>2693</v>
      </c>
      <c r="C627" s="36" t="s">
        <v>2694</v>
      </c>
      <c r="D627" s="37">
        <f>SUMIF(RAW_File!D:D,C:C,RAW_File!F:F)</f>
        <v>5001.7383410000002</v>
      </c>
      <c r="E627" s="38">
        <f>SUMIF(RAW_File!D:D,C:C,RAW_File!G:G)</f>
        <v>0</v>
      </c>
      <c r="F627" s="39">
        <f>SUMIF(RAW_File!D:D,C:C,RAW_File!I:I)</f>
        <v>0</v>
      </c>
      <c r="G627" s="40">
        <f>SUMIF(RAW_File!D:D,C:C,RAW_File!K:K)</f>
        <v>5000</v>
      </c>
      <c r="H627" s="41">
        <f>SUMIF(RAW_File!D:D,C:C,RAW_File!M:M)</f>
        <v>0</v>
      </c>
      <c r="I627" s="40">
        <f t="shared" si="11"/>
        <v>5000</v>
      </c>
    </row>
    <row r="628" spans="1:9" hidden="1" x14ac:dyDescent="0.25">
      <c r="A628" s="36" t="s">
        <v>60</v>
      </c>
      <c r="B628" s="36" t="s">
        <v>2876</v>
      </c>
      <c r="C628" s="36" t="s">
        <v>2877</v>
      </c>
      <c r="D628" s="37">
        <f>SUMIF(RAW_File!D:D,C:C,RAW_File!F:F)</f>
        <v>10041.22883338889</v>
      </c>
      <c r="E628" s="38">
        <f>SUMIF(RAW_File!D:D,C:C,RAW_File!G:G)</f>
        <v>6100</v>
      </c>
      <c r="F628" s="39">
        <f>SUMIF(RAW_File!D:D,C:C,RAW_File!I:I)</f>
        <v>6100</v>
      </c>
      <c r="G628" s="40">
        <f>SUMIF(RAW_File!D:D,C:C,RAW_File!K:K)</f>
        <v>5000</v>
      </c>
      <c r="H628" s="41">
        <f>SUMIF(RAW_File!D:D,C:C,RAW_File!M:M)</f>
        <v>0</v>
      </c>
      <c r="I628" s="40">
        <f t="shared" si="11"/>
        <v>5000</v>
      </c>
    </row>
    <row r="629" spans="1:9" hidden="1" x14ac:dyDescent="0.25">
      <c r="A629" s="36" t="s">
        <v>60</v>
      </c>
      <c r="B629" s="36" t="s">
        <v>2904</v>
      </c>
      <c r="C629" s="36" t="s">
        <v>2905</v>
      </c>
      <c r="D629" s="37">
        <f>SUMIF(RAW_File!D:D,C:C,RAW_File!F:F)</f>
        <v>5280.558853974112</v>
      </c>
      <c r="E629" s="38">
        <f>SUMIF(RAW_File!D:D,C:C,RAW_File!G:G)</f>
        <v>0</v>
      </c>
      <c r="F629" s="39">
        <f>SUMIF(RAW_File!D:D,C:C,RAW_File!I:I)</f>
        <v>0</v>
      </c>
      <c r="G629" s="40">
        <f>SUMIF(RAW_File!D:D,C:C,RAW_File!K:K)</f>
        <v>5000</v>
      </c>
      <c r="H629" s="41">
        <f>SUMIF(RAW_File!D:D,C:C,RAW_File!M:M)</f>
        <v>0</v>
      </c>
      <c r="I629" s="40">
        <f t="shared" si="11"/>
        <v>5000</v>
      </c>
    </row>
    <row r="630" spans="1:9" hidden="1" x14ac:dyDescent="0.25">
      <c r="A630" s="36" t="s">
        <v>60</v>
      </c>
      <c r="B630" s="36" t="s">
        <v>2993</v>
      </c>
      <c r="C630" s="36" t="s">
        <v>2994</v>
      </c>
      <c r="D630" s="37">
        <f>SUMIF(RAW_File!D:D,C:C,RAW_File!F:F)</f>
        <v>4867.3901381686646</v>
      </c>
      <c r="E630" s="38">
        <f>SUMIF(RAW_File!D:D,C:C,RAW_File!G:G)</f>
        <v>16875</v>
      </c>
      <c r="F630" s="39">
        <f>SUMIF(RAW_File!D:D,C:C,RAW_File!I:I)</f>
        <v>38865</v>
      </c>
      <c r="G630" s="40">
        <f>SUMIF(RAW_File!D:D,C:C,RAW_File!K:K)</f>
        <v>7000</v>
      </c>
      <c r="H630" s="41">
        <f>SUMIF(RAW_File!D:D,C:C,RAW_File!M:M)</f>
        <v>32000</v>
      </c>
      <c r="I630" s="40">
        <f t="shared" si="11"/>
        <v>25000</v>
      </c>
    </row>
    <row r="631" spans="1:9" hidden="1" x14ac:dyDescent="0.25">
      <c r="A631" s="36" t="s">
        <v>60</v>
      </c>
      <c r="B631" s="36" t="s">
        <v>3070</v>
      </c>
      <c r="C631" s="36" t="s">
        <v>3071</v>
      </c>
      <c r="D631" s="37">
        <f>SUMIF(RAW_File!D:D,C:C,RAW_File!F:F)</f>
        <v>21608.322922865998</v>
      </c>
      <c r="E631" s="38">
        <f>SUMIF(RAW_File!D:D,C:C,RAW_File!G:G)</f>
        <v>12250</v>
      </c>
      <c r="F631" s="39">
        <f>SUMIF(RAW_File!D:D,C:C,RAW_File!I:I)</f>
        <v>57055</v>
      </c>
      <c r="G631" s="40">
        <f>SUMIF(RAW_File!D:D,C:C,RAW_File!K:K)</f>
        <v>0</v>
      </c>
      <c r="H631" s="41">
        <f>SUMIF(RAW_File!D:D,C:C,RAW_File!M:M)</f>
        <v>45000</v>
      </c>
      <c r="I631" s="40">
        <f t="shared" si="11"/>
        <v>45000</v>
      </c>
    </row>
    <row r="632" spans="1:9" hidden="1" x14ac:dyDescent="0.25">
      <c r="A632" s="36" t="s">
        <v>60</v>
      </c>
      <c r="B632" s="36" t="s">
        <v>3093</v>
      </c>
      <c r="C632" s="36" t="s">
        <v>3094</v>
      </c>
      <c r="D632" s="37">
        <f>SUMIF(RAW_File!D:D,C:C,RAW_File!F:F)</f>
        <v>127.62483398762041</v>
      </c>
      <c r="E632" s="38">
        <f>SUMIF(RAW_File!D:D,C:C,RAW_File!G:G)</f>
        <v>0</v>
      </c>
      <c r="F632" s="39">
        <f>SUMIF(RAW_File!D:D,C:C,RAW_File!I:I)</f>
        <v>4952</v>
      </c>
      <c r="G632" s="40">
        <f>SUMIF(RAW_File!D:D,C:C,RAW_File!K:K)</f>
        <v>0</v>
      </c>
      <c r="H632" s="41">
        <f>SUMIF(RAW_File!D:D,C:C,RAW_File!M:M)</f>
        <v>5000</v>
      </c>
      <c r="I632" s="40">
        <f t="shared" si="11"/>
        <v>5000</v>
      </c>
    </row>
    <row r="633" spans="1:9" hidden="1" x14ac:dyDescent="0.25">
      <c r="A633" s="36" t="s">
        <v>60</v>
      </c>
      <c r="B633" s="36" t="s">
        <v>3112</v>
      </c>
      <c r="C633" s="36" t="s">
        <v>3113</v>
      </c>
      <c r="D633" s="37">
        <f>SUMIF(RAW_File!D:D,C:C,RAW_File!F:F)</f>
        <v>4039.791168102598</v>
      </c>
      <c r="E633" s="38">
        <f>SUMIF(RAW_File!D:D,C:C,RAW_File!G:G)</f>
        <v>1000</v>
      </c>
      <c r="F633" s="39">
        <f>SUMIF(RAW_File!D:D,C:C,RAW_File!I:I)</f>
        <v>1000</v>
      </c>
      <c r="G633" s="40">
        <f>SUMIF(RAW_File!D:D,C:C,RAW_File!K:K)</f>
        <v>5000</v>
      </c>
      <c r="H633" s="41">
        <f>SUMIF(RAW_File!D:D,C:C,RAW_File!M:M)</f>
        <v>0</v>
      </c>
      <c r="I633" s="40">
        <f t="shared" si="11"/>
        <v>5000</v>
      </c>
    </row>
    <row r="634" spans="1:9" hidden="1" x14ac:dyDescent="0.25">
      <c r="A634" s="36" t="s">
        <v>60</v>
      </c>
      <c r="B634" s="36" t="s">
        <v>3118</v>
      </c>
      <c r="C634" s="36" t="s">
        <v>3119</v>
      </c>
      <c r="D634" s="37">
        <f>SUMIF(RAW_File!D:D,C:C,RAW_File!F:F)</f>
        <v>7869.3238576923404</v>
      </c>
      <c r="E634" s="38">
        <f>SUMIF(RAW_File!D:D,C:C,RAW_File!G:G)</f>
        <v>10620</v>
      </c>
      <c r="F634" s="39">
        <f>SUMIF(RAW_File!D:D,C:C,RAW_File!I:I)</f>
        <v>27965</v>
      </c>
      <c r="G634" s="40">
        <f>SUMIF(RAW_File!D:D,C:C,RAW_File!K:K)</f>
        <v>0</v>
      </c>
      <c r="H634" s="41">
        <f>SUMIF(RAW_File!D:D,C:C,RAW_File!M:M)</f>
        <v>5000</v>
      </c>
      <c r="I634" s="40">
        <f t="shared" si="11"/>
        <v>5000</v>
      </c>
    </row>
    <row r="635" spans="1:9" hidden="1" x14ac:dyDescent="0.25">
      <c r="A635" s="36" t="s">
        <v>60</v>
      </c>
      <c r="B635" s="36" t="s">
        <v>3161</v>
      </c>
      <c r="C635" s="36" t="s">
        <v>3162</v>
      </c>
      <c r="D635" s="37">
        <f>SUMIF(RAW_File!D:D,C:C,RAW_File!F:F)</f>
        <v>12602.1324</v>
      </c>
      <c r="E635" s="38">
        <f>SUMIF(RAW_File!D:D,C:C,RAW_File!G:G)</f>
        <v>2000</v>
      </c>
      <c r="F635" s="39">
        <f>SUMIF(RAW_File!D:D,C:C,RAW_File!I:I)</f>
        <v>2000</v>
      </c>
      <c r="G635" s="40">
        <f>SUMIF(RAW_File!D:D,C:C,RAW_File!K:K)</f>
        <v>6000</v>
      </c>
      <c r="H635" s="41">
        <f>SUMIF(RAW_File!D:D,C:C,RAW_File!M:M)</f>
        <v>0</v>
      </c>
      <c r="I635" s="40">
        <f t="shared" si="11"/>
        <v>6000</v>
      </c>
    </row>
    <row r="636" spans="1:9" hidden="1" x14ac:dyDescent="0.25">
      <c r="A636" s="36" t="s">
        <v>60</v>
      </c>
      <c r="B636" s="36" t="s">
        <v>3205</v>
      </c>
      <c r="C636" s="36" t="s">
        <v>3206</v>
      </c>
      <c r="D636" s="37">
        <f>SUMIF(RAW_File!D:D,C:C,RAW_File!F:F)</f>
        <v>82325.340400000001</v>
      </c>
      <c r="E636" s="38">
        <f>SUMIF(RAW_File!D:D,C:C,RAW_File!G:G)</f>
        <v>34310</v>
      </c>
      <c r="F636" s="39">
        <f>SUMIF(RAW_File!D:D,C:C,RAW_File!I:I)</f>
        <v>56665</v>
      </c>
      <c r="G636" s="40">
        <f>SUMIF(RAW_File!D:D,C:C,RAW_File!K:K)</f>
        <v>7000</v>
      </c>
      <c r="H636" s="41">
        <f>SUMIF(RAW_File!D:D,C:C,RAW_File!M:M)</f>
        <v>0</v>
      </c>
      <c r="I636" s="40">
        <f t="shared" si="11"/>
        <v>7000</v>
      </c>
    </row>
    <row r="637" spans="1:9" hidden="1" x14ac:dyDescent="0.25">
      <c r="A637" s="36" t="s">
        <v>60</v>
      </c>
      <c r="B637" s="36" t="s">
        <v>3221</v>
      </c>
      <c r="C637" s="36" t="s">
        <v>3222</v>
      </c>
      <c r="D637" s="37">
        <f>SUMIF(RAW_File!D:D,C:C,RAW_File!F:F)</f>
        <v>254.54400000000001</v>
      </c>
      <c r="E637" s="38">
        <f>SUMIF(RAW_File!D:D,C:C,RAW_File!G:G)</f>
        <v>0</v>
      </c>
      <c r="F637" s="39">
        <f>SUMIF(RAW_File!D:D,C:C,RAW_File!I:I)</f>
        <v>7600</v>
      </c>
      <c r="G637" s="40">
        <f>SUMIF(RAW_File!D:D,C:C,RAW_File!K:K)</f>
        <v>0</v>
      </c>
      <c r="H637" s="41">
        <f>SUMIF(RAW_File!D:D,C:C,RAW_File!M:M)</f>
        <v>10000</v>
      </c>
      <c r="I637" s="40">
        <f t="shared" si="11"/>
        <v>10000</v>
      </c>
    </row>
    <row r="638" spans="1:9" hidden="1" x14ac:dyDescent="0.25">
      <c r="A638" s="36" t="s">
        <v>60</v>
      </c>
      <c r="B638" s="36" t="s">
        <v>3225</v>
      </c>
      <c r="C638" s="36" t="s">
        <v>3226</v>
      </c>
      <c r="D638" s="37">
        <f>SUMIF(RAW_File!D:D,C:C,RAW_File!F:F)</f>
        <v>11873.6492</v>
      </c>
      <c r="E638" s="38">
        <f>SUMIF(RAW_File!D:D,C:C,RAW_File!G:G)</f>
        <v>0</v>
      </c>
      <c r="F638" s="39">
        <f>SUMIF(RAW_File!D:D,C:C,RAW_File!I:I)</f>
        <v>3000</v>
      </c>
      <c r="G638" s="40">
        <f>SUMIF(RAW_File!D:D,C:C,RAW_File!K:K)</f>
        <v>0</v>
      </c>
      <c r="H638" s="41">
        <f>SUMIF(RAW_File!D:D,C:C,RAW_File!M:M)</f>
        <v>13000</v>
      </c>
      <c r="I638" s="40">
        <f t="shared" si="11"/>
        <v>13000</v>
      </c>
    </row>
    <row r="639" spans="1:9" hidden="1" x14ac:dyDescent="0.25">
      <c r="A639" s="36" t="s">
        <v>60</v>
      </c>
      <c r="B639" s="36" t="s">
        <v>3309</v>
      </c>
      <c r="C639" s="36" t="s">
        <v>3310</v>
      </c>
      <c r="D639" s="37">
        <f>SUMIF(RAW_File!D:D,C:C,RAW_File!F:F)</f>
        <v>1493.938698079688</v>
      </c>
      <c r="E639" s="38">
        <f>SUMIF(RAW_File!D:D,C:C,RAW_File!G:G)</f>
        <v>0</v>
      </c>
      <c r="F639" s="39">
        <f>SUMIF(RAW_File!D:D,C:C,RAW_File!I:I)</f>
        <v>0</v>
      </c>
      <c r="G639" s="40">
        <f>SUMIF(RAW_File!D:D,C:C,RAW_File!K:K)</f>
        <v>0</v>
      </c>
      <c r="H639" s="41">
        <f>SUMIF(RAW_File!D:D,C:C,RAW_File!M:M)</f>
        <v>0</v>
      </c>
      <c r="I639" s="40">
        <f t="shared" si="11"/>
        <v>0</v>
      </c>
    </row>
    <row r="640" spans="1:9" hidden="1" x14ac:dyDescent="0.25">
      <c r="A640" s="36" t="s">
        <v>60</v>
      </c>
      <c r="B640" s="36" t="s">
        <v>3422</v>
      </c>
      <c r="C640" s="36" t="s">
        <v>3423</v>
      </c>
      <c r="D640" s="37">
        <f>SUMIF(RAW_File!D:D,C:C,RAW_File!F:F)</f>
        <v>11387.4089</v>
      </c>
      <c r="E640" s="38">
        <f>SUMIF(RAW_File!D:D,C:C,RAW_File!G:G)</f>
        <v>14610</v>
      </c>
      <c r="F640" s="39">
        <f>SUMIF(RAW_File!D:D,C:C,RAW_File!I:I)</f>
        <v>32470</v>
      </c>
      <c r="G640" s="40">
        <f>SUMIF(RAW_File!D:D,C:C,RAW_File!K:K)</f>
        <v>0</v>
      </c>
      <c r="H640" s="41">
        <f>SUMIF(RAW_File!D:D,C:C,RAW_File!M:M)</f>
        <v>15000</v>
      </c>
      <c r="I640" s="40">
        <f t="shared" si="11"/>
        <v>15000</v>
      </c>
    </row>
    <row r="641" spans="1:9" hidden="1" x14ac:dyDescent="0.25">
      <c r="A641" s="36" t="s">
        <v>60</v>
      </c>
      <c r="B641" s="36" t="s">
        <v>3464</v>
      </c>
      <c r="C641" s="36" t="s">
        <v>3465</v>
      </c>
      <c r="D641" s="37">
        <f>SUMIF(RAW_File!D:D,C:C,RAW_File!F:F)</f>
        <v>5635.6476000000002</v>
      </c>
      <c r="E641" s="38">
        <f>SUMIF(RAW_File!D:D,C:C,RAW_File!G:G)</f>
        <v>6220</v>
      </c>
      <c r="F641" s="39">
        <f>SUMIF(RAW_File!D:D,C:C,RAW_File!I:I)</f>
        <v>7920</v>
      </c>
      <c r="G641" s="40">
        <f>SUMIF(RAW_File!D:D,C:C,RAW_File!K:K)</f>
        <v>10000</v>
      </c>
      <c r="H641" s="41">
        <f>SUMIF(RAW_File!D:D,C:C,RAW_File!M:M)</f>
        <v>0</v>
      </c>
      <c r="I641" s="40">
        <f t="shared" si="11"/>
        <v>10000</v>
      </c>
    </row>
    <row r="642" spans="1:9" hidden="1" x14ac:dyDescent="0.25">
      <c r="A642" s="36" t="s">
        <v>60</v>
      </c>
      <c r="B642" s="36" t="s">
        <v>3512</v>
      </c>
      <c r="C642" s="36" t="s">
        <v>3513</v>
      </c>
      <c r="D642" s="37">
        <f>SUMIF(RAW_File!D:D,C:C,RAW_File!F:F)</f>
        <v>48842.773099999999</v>
      </c>
      <c r="E642" s="38">
        <f>SUMIF(RAW_File!D:D,C:C,RAW_File!G:G)</f>
        <v>12410</v>
      </c>
      <c r="F642" s="39">
        <f>SUMIF(RAW_File!D:D,C:C,RAW_File!I:I)</f>
        <v>22760</v>
      </c>
      <c r="G642" s="40">
        <f>SUMIF(RAW_File!D:D,C:C,RAW_File!K:K)</f>
        <v>10000</v>
      </c>
      <c r="H642" s="41">
        <f>SUMIF(RAW_File!D:D,C:C,RAW_File!M:M)</f>
        <v>0</v>
      </c>
      <c r="I642" s="40">
        <f t="shared" si="11"/>
        <v>10000</v>
      </c>
    </row>
    <row r="643" spans="1:9" hidden="1" x14ac:dyDescent="0.25">
      <c r="A643" s="36" t="s">
        <v>60</v>
      </c>
      <c r="B643" s="36" t="s">
        <v>3552</v>
      </c>
      <c r="C643" s="36" t="s">
        <v>3553</v>
      </c>
      <c r="D643" s="37">
        <f>SUMIF(RAW_File!D:D,C:C,RAW_File!F:F)</f>
        <v>51050.055200000003</v>
      </c>
      <c r="E643" s="38">
        <f>SUMIF(RAW_File!D:D,C:C,RAW_File!G:G)</f>
        <v>3000</v>
      </c>
      <c r="F643" s="39">
        <f>SUMIF(RAW_File!D:D,C:C,RAW_File!I:I)</f>
        <v>3000</v>
      </c>
      <c r="G643" s="40">
        <f>SUMIF(RAW_File!D:D,C:C,RAW_File!K:K)</f>
        <v>10000</v>
      </c>
      <c r="H643" s="41">
        <f>SUMIF(RAW_File!D:D,C:C,RAW_File!M:M)</f>
        <v>0</v>
      </c>
      <c r="I643" s="40">
        <f t="shared" ref="I643:I706" si="12">ABS(G643-H643)</f>
        <v>10000</v>
      </c>
    </row>
    <row r="644" spans="1:9" hidden="1" x14ac:dyDescent="0.25">
      <c r="A644" s="36" t="s">
        <v>58</v>
      </c>
      <c r="B644" s="36" t="s">
        <v>314</v>
      </c>
      <c r="C644" s="36" t="s">
        <v>315</v>
      </c>
      <c r="D644" s="37">
        <f>SUMIF(RAW_File!D:D,C:C,RAW_File!F:F)</f>
        <v>672.6037</v>
      </c>
      <c r="E644" s="38">
        <f>SUMIF(RAW_File!D:D,C:C,RAW_File!G:G)</f>
        <v>2030</v>
      </c>
      <c r="F644" s="39">
        <f>SUMIF(RAW_File!D:D,C:C,RAW_File!I:I)</f>
        <v>2030</v>
      </c>
      <c r="G644" s="40">
        <f>SUMIF(RAW_File!D:D,C:C,RAW_File!K:K)</f>
        <v>0</v>
      </c>
      <c r="H644" s="41">
        <f>SUMIF(RAW_File!D:D,C:C,RAW_File!M:M)</f>
        <v>4000</v>
      </c>
      <c r="I644" s="40">
        <f t="shared" si="12"/>
        <v>4000</v>
      </c>
    </row>
    <row r="645" spans="1:9" hidden="1" x14ac:dyDescent="0.25">
      <c r="A645" s="36" t="s">
        <v>58</v>
      </c>
      <c r="B645" s="36" t="s">
        <v>387</v>
      </c>
      <c r="C645" s="36" t="s">
        <v>388</v>
      </c>
      <c r="D645" s="37">
        <f>SUMIF(RAW_File!D:D,C:C,RAW_File!F:F)</f>
        <v>99280.527365852817</v>
      </c>
      <c r="E645" s="38">
        <f>SUMIF(RAW_File!D:D,C:C,RAW_File!G:G)</f>
        <v>4150</v>
      </c>
      <c r="F645" s="39">
        <f>SUMIF(RAW_File!D:D,C:C,RAW_File!I:I)</f>
        <v>26950</v>
      </c>
      <c r="G645" s="40">
        <f>SUMIF(RAW_File!D:D,C:C,RAW_File!K:K)</f>
        <v>0</v>
      </c>
      <c r="H645" s="41">
        <f>SUMIF(RAW_File!D:D,C:C,RAW_File!M:M)</f>
        <v>15000</v>
      </c>
      <c r="I645" s="40">
        <f t="shared" si="12"/>
        <v>15000</v>
      </c>
    </row>
    <row r="646" spans="1:9" hidden="1" x14ac:dyDescent="0.25">
      <c r="A646" s="36" t="s">
        <v>58</v>
      </c>
      <c r="B646" s="36" t="s">
        <v>405</v>
      </c>
      <c r="C646" s="36" t="s">
        <v>406</v>
      </c>
      <c r="D646" s="37">
        <f>SUMIF(RAW_File!D:D,C:C,RAW_File!F:F)</f>
        <v>4154.1369434783001</v>
      </c>
      <c r="E646" s="38">
        <f>SUMIF(RAW_File!D:D,C:C,RAW_File!G:G)</f>
        <v>7742</v>
      </c>
      <c r="F646" s="39">
        <f>SUMIF(RAW_File!D:D,C:C,RAW_File!I:I)</f>
        <v>42972</v>
      </c>
      <c r="G646" s="40">
        <f>SUMIF(RAW_File!D:D,C:C,RAW_File!K:K)</f>
        <v>0</v>
      </c>
      <c r="H646" s="41">
        <f>SUMIF(RAW_File!D:D,C:C,RAW_File!M:M)</f>
        <v>30000</v>
      </c>
      <c r="I646" s="40">
        <f t="shared" si="12"/>
        <v>30000</v>
      </c>
    </row>
    <row r="647" spans="1:9" hidden="1" x14ac:dyDescent="0.25">
      <c r="A647" s="36" t="s">
        <v>58</v>
      </c>
      <c r="B647" s="36" t="s">
        <v>584</v>
      </c>
      <c r="C647" s="36" t="s">
        <v>585</v>
      </c>
      <c r="D647" s="37">
        <f>SUMIF(RAW_File!D:D,C:C,RAW_File!F:F)</f>
        <v>24954.260699999999</v>
      </c>
      <c r="E647" s="38">
        <f>SUMIF(RAW_File!D:D,C:C,RAW_File!G:G)</f>
        <v>28410</v>
      </c>
      <c r="F647" s="39">
        <f>SUMIF(RAW_File!D:D,C:C,RAW_File!I:I)</f>
        <v>35705</v>
      </c>
      <c r="G647" s="40">
        <f>SUMIF(RAW_File!D:D,C:C,RAW_File!K:K)</f>
        <v>35000</v>
      </c>
      <c r="H647" s="41">
        <f>SUMIF(RAW_File!D:D,C:C,RAW_File!M:M)</f>
        <v>0</v>
      </c>
      <c r="I647" s="40">
        <f t="shared" si="12"/>
        <v>35000</v>
      </c>
    </row>
    <row r="648" spans="1:9" hidden="1" x14ac:dyDescent="0.25">
      <c r="A648" s="36" t="s">
        <v>58</v>
      </c>
      <c r="B648" s="36" t="s">
        <v>598</v>
      </c>
      <c r="C648" s="36" t="s">
        <v>599</v>
      </c>
      <c r="D648" s="37">
        <f>SUMIF(RAW_File!D:D,C:C,RAW_File!F:F)</f>
        <v>645.88379999999995</v>
      </c>
      <c r="E648" s="38">
        <f>SUMIF(RAW_File!D:D,C:C,RAW_File!G:G)</f>
        <v>9315</v>
      </c>
      <c r="F648" s="39">
        <f>SUMIF(RAW_File!D:D,C:C,RAW_File!I:I)</f>
        <v>10815</v>
      </c>
      <c r="G648" s="40">
        <f>SUMIF(RAW_File!D:D,C:C,RAW_File!K:K)</f>
        <v>7000</v>
      </c>
      <c r="H648" s="41">
        <f>SUMIF(RAW_File!D:D,C:C,RAW_File!M:M)</f>
        <v>0</v>
      </c>
      <c r="I648" s="40">
        <f t="shared" si="12"/>
        <v>7000</v>
      </c>
    </row>
    <row r="649" spans="1:9" hidden="1" x14ac:dyDescent="0.25">
      <c r="A649" s="36" t="s">
        <v>58</v>
      </c>
      <c r="B649" s="36" t="s">
        <v>606</v>
      </c>
      <c r="C649" s="36" t="s">
        <v>607</v>
      </c>
      <c r="D649" s="37">
        <f>SUMIF(RAW_File!D:D,C:C,RAW_File!F:F)</f>
        <v>54783.205138126403</v>
      </c>
      <c r="E649" s="38">
        <f>SUMIF(RAW_File!D:D,C:C,RAW_File!G:G)</f>
        <v>4500</v>
      </c>
      <c r="F649" s="39">
        <f>SUMIF(RAW_File!D:D,C:C,RAW_File!I:I)</f>
        <v>44245</v>
      </c>
      <c r="G649" s="40">
        <f>SUMIF(RAW_File!D:D,C:C,RAW_File!K:K)</f>
        <v>0</v>
      </c>
      <c r="H649" s="41">
        <f>SUMIF(RAW_File!D:D,C:C,RAW_File!M:M)</f>
        <v>50000</v>
      </c>
      <c r="I649" s="40">
        <f t="shared" si="12"/>
        <v>50000</v>
      </c>
    </row>
    <row r="650" spans="1:9" hidden="1" x14ac:dyDescent="0.25">
      <c r="A650" s="36" t="s">
        <v>58</v>
      </c>
      <c r="B650" s="36" t="s">
        <v>736</v>
      </c>
      <c r="C650" s="36" t="s">
        <v>737</v>
      </c>
      <c r="D650" s="37">
        <f>SUMIF(RAW_File!D:D,C:C,RAW_File!F:F)</f>
        <v>11635.880800000001</v>
      </c>
      <c r="E650" s="38">
        <f>SUMIF(RAW_File!D:D,C:C,RAW_File!G:G)</f>
        <v>910</v>
      </c>
      <c r="F650" s="39">
        <f>SUMIF(RAW_File!D:D,C:C,RAW_File!I:I)</f>
        <v>3580</v>
      </c>
      <c r="G650" s="40">
        <f>SUMIF(RAW_File!D:D,C:C,RAW_File!K:K)</f>
        <v>0</v>
      </c>
      <c r="H650" s="41">
        <f>SUMIF(RAW_File!D:D,C:C,RAW_File!M:M)</f>
        <v>10000</v>
      </c>
      <c r="I650" s="40">
        <f t="shared" si="12"/>
        <v>10000</v>
      </c>
    </row>
    <row r="651" spans="1:9" hidden="1" x14ac:dyDescent="0.25">
      <c r="A651" s="36" t="s">
        <v>58</v>
      </c>
      <c r="B651" s="36" t="s">
        <v>1081</v>
      </c>
      <c r="C651" s="36" t="s">
        <v>1082</v>
      </c>
      <c r="D651" s="37">
        <f>SUMIF(RAW_File!D:D,C:C,RAW_File!F:F)</f>
        <v>2108.069587117951</v>
      </c>
      <c r="E651" s="38">
        <f>SUMIF(RAW_File!D:D,C:C,RAW_File!G:G)</f>
        <v>7807</v>
      </c>
      <c r="F651" s="39">
        <f>SUMIF(RAW_File!D:D,C:C,RAW_File!I:I)</f>
        <v>12887</v>
      </c>
      <c r="G651" s="40">
        <f>SUMIF(RAW_File!D:D,C:C,RAW_File!K:K)</f>
        <v>5000</v>
      </c>
      <c r="H651" s="41">
        <f>SUMIF(RAW_File!D:D,C:C,RAW_File!M:M)</f>
        <v>0</v>
      </c>
      <c r="I651" s="40">
        <f t="shared" si="12"/>
        <v>5000</v>
      </c>
    </row>
    <row r="652" spans="1:9" hidden="1" x14ac:dyDescent="0.25">
      <c r="A652" s="36" t="s">
        <v>58</v>
      </c>
      <c r="B652" s="36" t="s">
        <v>1287</v>
      </c>
      <c r="C652" s="36" t="s">
        <v>1288</v>
      </c>
      <c r="D652" s="37">
        <f>SUMIF(RAW_File!D:D,C:C,RAW_File!F:F)</f>
        <v>3925.7712999619798</v>
      </c>
      <c r="E652" s="38">
        <f>SUMIF(RAW_File!D:D,C:C,RAW_File!G:G)</f>
        <v>9470</v>
      </c>
      <c r="F652" s="39">
        <f>SUMIF(RAW_File!D:D,C:C,RAW_File!I:I)</f>
        <v>15600</v>
      </c>
      <c r="G652" s="40">
        <f>SUMIF(RAW_File!D:D,C:C,RAW_File!K:K)</f>
        <v>5000</v>
      </c>
      <c r="H652" s="41">
        <f>SUMIF(RAW_File!D:D,C:C,RAW_File!M:M)</f>
        <v>0</v>
      </c>
      <c r="I652" s="40">
        <f t="shared" si="12"/>
        <v>5000</v>
      </c>
    </row>
    <row r="653" spans="1:9" hidden="1" x14ac:dyDescent="0.25">
      <c r="A653" s="36" t="s">
        <v>58</v>
      </c>
      <c r="B653" s="36" t="s">
        <v>1251</v>
      </c>
      <c r="C653" s="36" t="s">
        <v>1314</v>
      </c>
      <c r="D653" s="37">
        <f>SUMIF(RAW_File!D:D,C:C,RAW_File!F:F)</f>
        <v>17723.48852313677</v>
      </c>
      <c r="E653" s="38">
        <f>SUMIF(RAW_File!D:D,C:C,RAW_File!G:G)</f>
        <v>4920</v>
      </c>
      <c r="F653" s="39">
        <f>SUMIF(RAW_File!D:D,C:C,RAW_File!I:I)</f>
        <v>34930</v>
      </c>
      <c r="G653" s="40">
        <f>SUMIF(RAW_File!D:D,C:C,RAW_File!K:K)</f>
        <v>0</v>
      </c>
      <c r="H653" s="41">
        <f>SUMIF(RAW_File!D:D,C:C,RAW_File!M:M)</f>
        <v>14000</v>
      </c>
      <c r="I653" s="40">
        <f t="shared" si="12"/>
        <v>14000</v>
      </c>
    </row>
    <row r="654" spans="1:9" hidden="1" x14ac:dyDescent="0.25">
      <c r="A654" s="36" t="s">
        <v>58</v>
      </c>
      <c r="B654" s="36" t="s">
        <v>1317</v>
      </c>
      <c r="C654" s="36" t="s">
        <v>1318</v>
      </c>
      <c r="D654" s="37">
        <f>SUMIF(RAW_File!D:D,C:C,RAW_File!F:F)</f>
        <v>4544.4222182197927</v>
      </c>
      <c r="E654" s="38">
        <f>SUMIF(RAW_File!D:D,C:C,RAW_File!G:G)</f>
        <v>5240</v>
      </c>
      <c r="F654" s="39">
        <f>SUMIF(RAW_File!D:D,C:C,RAW_File!I:I)</f>
        <v>10540</v>
      </c>
      <c r="G654" s="40">
        <f>SUMIF(RAW_File!D:D,C:C,RAW_File!K:K)</f>
        <v>5000</v>
      </c>
      <c r="H654" s="41">
        <f>SUMIF(RAW_File!D:D,C:C,RAW_File!M:M)</f>
        <v>0</v>
      </c>
      <c r="I654" s="40">
        <f t="shared" si="12"/>
        <v>5000</v>
      </c>
    </row>
    <row r="655" spans="1:9" hidden="1" x14ac:dyDescent="0.25">
      <c r="A655" s="36" t="s">
        <v>58</v>
      </c>
      <c r="B655" s="36" t="s">
        <v>1382</v>
      </c>
      <c r="C655" s="36" t="s">
        <v>1383</v>
      </c>
      <c r="D655" s="37">
        <f>SUMIF(RAW_File!D:D,C:C,RAW_File!F:F)</f>
        <v>9887.6839999999993</v>
      </c>
      <c r="E655" s="38">
        <f>SUMIF(RAW_File!D:D,C:C,RAW_File!G:G)</f>
        <v>20030</v>
      </c>
      <c r="F655" s="39">
        <f>SUMIF(RAW_File!D:D,C:C,RAW_File!I:I)</f>
        <v>22415</v>
      </c>
      <c r="G655" s="40">
        <f>SUMIF(RAW_File!D:D,C:C,RAW_File!K:K)</f>
        <v>8000</v>
      </c>
      <c r="H655" s="41">
        <f>SUMIF(RAW_File!D:D,C:C,RAW_File!M:M)</f>
        <v>0</v>
      </c>
      <c r="I655" s="40">
        <f t="shared" si="12"/>
        <v>8000</v>
      </c>
    </row>
    <row r="656" spans="1:9" hidden="1" x14ac:dyDescent="0.25">
      <c r="A656" s="36" t="s">
        <v>58</v>
      </c>
      <c r="B656" s="36" t="s">
        <v>1392</v>
      </c>
      <c r="C656" s="36" t="s">
        <v>1393</v>
      </c>
      <c r="D656" s="37">
        <f>SUMIF(RAW_File!D:D,C:C,RAW_File!F:F)</f>
        <v>11838.7693</v>
      </c>
      <c r="E656" s="38">
        <f>SUMIF(RAW_File!D:D,C:C,RAW_File!G:G)</f>
        <v>5600</v>
      </c>
      <c r="F656" s="39">
        <f>SUMIF(RAW_File!D:D,C:C,RAW_File!I:I)</f>
        <v>6590</v>
      </c>
      <c r="G656" s="40">
        <f>SUMIF(RAW_File!D:D,C:C,RAW_File!K:K)</f>
        <v>5000</v>
      </c>
      <c r="H656" s="41">
        <f>SUMIF(RAW_File!D:D,C:C,RAW_File!M:M)</f>
        <v>0</v>
      </c>
      <c r="I656" s="40">
        <f t="shared" si="12"/>
        <v>5000</v>
      </c>
    </row>
    <row r="657" spans="1:9" hidden="1" x14ac:dyDescent="0.25">
      <c r="A657" s="36" t="s">
        <v>58</v>
      </c>
      <c r="B657" s="36" t="s">
        <v>1394</v>
      </c>
      <c r="C657" s="36" t="s">
        <v>1395</v>
      </c>
      <c r="D657" s="37">
        <f>SUMIF(RAW_File!D:D,C:C,RAW_File!F:F)</f>
        <v>11978.324199999999</v>
      </c>
      <c r="E657" s="38">
        <f>SUMIF(RAW_File!D:D,C:C,RAW_File!G:G)</f>
        <v>2320</v>
      </c>
      <c r="F657" s="39">
        <f>SUMIF(RAW_File!D:D,C:C,RAW_File!I:I)</f>
        <v>16545</v>
      </c>
      <c r="G657" s="40">
        <f>SUMIF(RAW_File!D:D,C:C,RAW_File!K:K)</f>
        <v>0</v>
      </c>
      <c r="H657" s="41">
        <f>SUMIF(RAW_File!D:D,C:C,RAW_File!M:M)</f>
        <v>5000</v>
      </c>
      <c r="I657" s="40">
        <f t="shared" si="12"/>
        <v>5000</v>
      </c>
    </row>
    <row r="658" spans="1:9" hidden="1" x14ac:dyDescent="0.25">
      <c r="A658" s="36" t="s">
        <v>58</v>
      </c>
      <c r="B658" s="36" t="s">
        <v>1452</v>
      </c>
      <c r="C658" s="36" t="s">
        <v>1453</v>
      </c>
      <c r="D658" s="37">
        <f>SUMIF(RAW_File!D:D,C:C,RAW_File!F:F)</f>
        <v>86.128600000000006</v>
      </c>
      <c r="E658" s="38">
        <f>SUMIF(RAW_File!D:D,C:C,RAW_File!G:G)</f>
        <v>0</v>
      </c>
      <c r="F658" s="39">
        <f>SUMIF(RAW_File!D:D,C:C,RAW_File!I:I)</f>
        <v>5050</v>
      </c>
      <c r="G658" s="40">
        <f>SUMIF(RAW_File!D:D,C:C,RAW_File!K:K)</f>
        <v>0</v>
      </c>
      <c r="H658" s="41">
        <f>SUMIF(RAW_File!D:D,C:C,RAW_File!M:M)</f>
        <v>5000</v>
      </c>
      <c r="I658" s="40">
        <f t="shared" si="12"/>
        <v>5000</v>
      </c>
    </row>
    <row r="659" spans="1:9" hidden="1" x14ac:dyDescent="0.25">
      <c r="A659" s="36" t="s">
        <v>58</v>
      </c>
      <c r="B659" s="36" t="s">
        <v>1501</v>
      </c>
      <c r="C659" s="36" t="s">
        <v>1502</v>
      </c>
      <c r="D659" s="37">
        <f>SUMIF(RAW_File!D:D,C:C,RAW_File!F:F)</f>
        <v>13325.937668687029</v>
      </c>
      <c r="E659" s="38">
        <f>SUMIF(RAW_File!D:D,C:C,RAW_File!G:G)</f>
        <v>6310</v>
      </c>
      <c r="F659" s="39">
        <f>SUMIF(RAW_File!D:D,C:C,RAW_File!I:I)</f>
        <v>17610</v>
      </c>
      <c r="G659" s="40">
        <f>SUMIF(RAW_File!D:D,C:C,RAW_File!K:K)</f>
        <v>0</v>
      </c>
      <c r="H659" s="41">
        <f>SUMIF(RAW_File!D:D,C:C,RAW_File!M:M)</f>
        <v>5000</v>
      </c>
      <c r="I659" s="40">
        <f t="shared" si="12"/>
        <v>5000</v>
      </c>
    </row>
    <row r="660" spans="1:9" hidden="1" x14ac:dyDescent="0.25">
      <c r="A660" s="36" t="s">
        <v>58</v>
      </c>
      <c r="B660" s="36" t="s">
        <v>1506</v>
      </c>
      <c r="C660" s="36" t="s">
        <v>1507</v>
      </c>
      <c r="D660" s="37">
        <f>SUMIF(RAW_File!D:D,C:C,RAW_File!F:F)</f>
        <v>11.68445</v>
      </c>
      <c r="E660" s="38">
        <f>SUMIF(RAW_File!D:D,C:C,RAW_File!G:G)</f>
        <v>0</v>
      </c>
      <c r="F660" s="39">
        <f>SUMIF(RAW_File!D:D,C:C,RAW_File!I:I)</f>
        <v>0</v>
      </c>
      <c r="G660" s="40">
        <f>SUMIF(RAW_File!D:D,C:C,RAW_File!K:K)</f>
        <v>0</v>
      </c>
      <c r="H660" s="41">
        <f>SUMIF(RAW_File!D:D,C:C,RAW_File!M:M)</f>
        <v>0</v>
      </c>
      <c r="I660" s="40">
        <f t="shared" si="12"/>
        <v>0</v>
      </c>
    </row>
    <row r="661" spans="1:9" hidden="1" x14ac:dyDescent="0.25">
      <c r="A661" s="36" t="s">
        <v>58</v>
      </c>
      <c r="B661" s="36" t="s">
        <v>1532</v>
      </c>
      <c r="C661" s="36" t="s">
        <v>1533</v>
      </c>
      <c r="D661" s="37">
        <f>SUMIF(RAW_File!D:D,C:C,RAW_File!F:F)</f>
        <v>1413.4391000000001</v>
      </c>
      <c r="E661" s="38">
        <f>SUMIF(RAW_File!D:D,C:C,RAW_File!G:G)</f>
        <v>0</v>
      </c>
      <c r="F661" s="39">
        <f>SUMIF(RAW_File!D:D,C:C,RAW_File!I:I)</f>
        <v>4500</v>
      </c>
      <c r="G661" s="40">
        <f>SUMIF(RAW_File!D:D,C:C,RAW_File!K:K)</f>
        <v>0</v>
      </c>
      <c r="H661" s="41">
        <f>SUMIF(RAW_File!D:D,C:C,RAW_File!M:M)</f>
        <v>5000</v>
      </c>
      <c r="I661" s="40">
        <f t="shared" si="12"/>
        <v>5000</v>
      </c>
    </row>
    <row r="662" spans="1:9" hidden="1" x14ac:dyDescent="0.25">
      <c r="A662" s="36" t="s">
        <v>58</v>
      </c>
      <c r="B662" s="36" t="s">
        <v>1560</v>
      </c>
      <c r="C662" s="36" t="s">
        <v>1561</v>
      </c>
      <c r="D662" s="37">
        <f>SUMIF(RAW_File!D:D,C:C,RAW_File!F:F)</f>
        <v>6180.6664002354</v>
      </c>
      <c r="E662" s="38">
        <f>SUMIF(RAW_File!D:D,C:C,RAW_File!G:G)</f>
        <v>1214</v>
      </c>
      <c r="F662" s="39">
        <f>SUMIF(RAW_File!D:D,C:C,RAW_File!I:I)</f>
        <v>6613</v>
      </c>
      <c r="G662" s="40">
        <f>SUMIF(RAW_File!D:D,C:C,RAW_File!K:K)</f>
        <v>10000</v>
      </c>
      <c r="H662" s="41">
        <f>SUMIF(RAW_File!D:D,C:C,RAW_File!M:M)</f>
        <v>0</v>
      </c>
      <c r="I662" s="40">
        <f t="shared" si="12"/>
        <v>10000</v>
      </c>
    </row>
    <row r="663" spans="1:9" hidden="1" x14ac:dyDescent="0.25">
      <c r="A663" s="36" t="s">
        <v>58</v>
      </c>
      <c r="B663" s="36" t="s">
        <v>1603</v>
      </c>
      <c r="C663" s="36" t="s">
        <v>1604</v>
      </c>
      <c r="D663" s="37">
        <f>SUMIF(RAW_File!D:D,C:C,RAW_File!F:F)</f>
        <v>2123.66993538324</v>
      </c>
      <c r="E663" s="38">
        <f>SUMIF(RAW_File!D:D,C:C,RAW_File!G:G)</f>
        <v>750</v>
      </c>
      <c r="F663" s="39">
        <f>SUMIF(RAW_File!D:D,C:C,RAW_File!I:I)</f>
        <v>50345</v>
      </c>
      <c r="G663" s="40">
        <f>SUMIF(RAW_File!D:D,C:C,RAW_File!K:K)</f>
        <v>5000</v>
      </c>
      <c r="H663" s="41">
        <f>SUMIF(RAW_File!D:D,C:C,RAW_File!M:M)</f>
        <v>52000</v>
      </c>
      <c r="I663" s="40">
        <f t="shared" si="12"/>
        <v>47000</v>
      </c>
    </row>
    <row r="664" spans="1:9" hidden="1" x14ac:dyDescent="0.25">
      <c r="A664" s="36" t="s">
        <v>58</v>
      </c>
      <c r="B664" s="36" t="s">
        <v>1666</v>
      </c>
      <c r="C664" s="36" t="s">
        <v>1667</v>
      </c>
      <c r="D664" s="37">
        <f>SUMIF(RAW_File!D:D,C:C,RAW_File!F:F)</f>
        <v>31299.74737818108</v>
      </c>
      <c r="E664" s="38">
        <f>SUMIF(RAW_File!D:D,C:C,RAW_File!G:G)</f>
        <v>1100</v>
      </c>
      <c r="F664" s="39">
        <f>SUMIF(RAW_File!D:D,C:C,RAW_File!I:I)</f>
        <v>6215</v>
      </c>
      <c r="G664" s="40">
        <f>SUMIF(RAW_File!D:D,C:C,RAW_File!K:K)</f>
        <v>25000</v>
      </c>
      <c r="H664" s="41">
        <f>SUMIF(RAW_File!D:D,C:C,RAW_File!M:M)</f>
        <v>0</v>
      </c>
      <c r="I664" s="40">
        <f t="shared" si="12"/>
        <v>25000</v>
      </c>
    </row>
    <row r="665" spans="1:9" hidden="1" x14ac:dyDescent="0.25">
      <c r="A665" s="36" t="s">
        <v>58</v>
      </c>
      <c r="B665" s="36" t="s">
        <v>1710</v>
      </c>
      <c r="C665" s="36" t="s">
        <v>1711</v>
      </c>
      <c r="D665" s="37">
        <f>SUMIF(RAW_File!D:D,C:C,RAW_File!F:F)</f>
        <v>10003.0072</v>
      </c>
      <c r="E665" s="38">
        <f>SUMIF(RAW_File!D:D,C:C,RAW_File!G:G)</f>
        <v>5910</v>
      </c>
      <c r="F665" s="39">
        <f>SUMIF(RAW_File!D:D,C:C,RAW_File!I:I)</f>
        <v>10670</v>
      </c>
      <c r="G665" s="40">
        <f>SUMIF(RAW_File!D:D,C:C,RAW_File!K:K)</f>
        <v>0</v>
      </c>
      <c r="H665" s="41">
        <f>SUMIF(RAW_File!D:D,C:C,RAW_File!M:M)</f>
        <v>5000</v>
      </c>
      <c r="I665" s="40">
        <f t="shared" si="12"/>
        <v>5000</v>
      </c>
    </row>
    <row r="666" spans="1:9" hidden="1" x14ac:dyDescent="0.25">
      <c r="A666" s="36" t="s">
        <v>58</v>
      </c>
      <c r="B666" s="36" t="s">
        <v>1740</v>
      </c>
      <c r="C666" s="36" t="s">
        <v>1741</v>
      </c>
      <c r="D666" s="37">
        <f>SUMIF(RAW_File!D:D,C:C,RAW_File!F:F)</f>
        <v>1197.094978327759</v>
      </c>
      <c r="E666" s="38">
        <f>SUMIF(RAW_File!D:D,C:C,RAW_File!G:G)</f>
        <v>6170</v>
      </c>
      <c r="F666" s="39">
        <f>SUMIF(RAW_File!D:D,C:C,RAW_File!I:I)</f>
        <v>8470</v>
      </c>
      <c r="G666" s="40">
        <f>SUMIF(RAW_File!D:D,C:C,RAW_File!K:K)</f>
        <v>5000</v>
      </c>
      <c r="H666" s="41">
        <f>SUMIF(RAW_File!D:D,C:C,RAW_File!M:M)</f>
        <v>0</v>
      </c>
      <c r="I666" s="40">
        <f t="shared" si="12"/>
        <v>5000</v>
      </c>
    </row>
    <row r="667" spans="1:9" hidden="1" x14ac:dyDescent="0.25">
      <c r="A667" s="36" t="s">
        <v>58</v>
      </c>
      <c r="B667" s="36" t="s">
        <v>1827</v>
      </c>
      <c r="C667" s="36" t="s">
        <v>1828</v>
      </c>
      <c r="D667" s="37">
        <f>SUMIF(RAW_File!D:D,C:C,RAW_File!F:F)</f>
        <v>52.849714619374403</v>
      </c>
      <c r="E667" s="38">
        <f>SUMIF(RAW_File!D:D,C:C,RAW_File!G:G)</f>
        <v>25070</v>
      </c>
      <c r="F667" s="39">
        <f>SUMIF(RAW_File!D:D,C:C,RAW_File!I:I)</f>
        <v>25070</v>
      </c>
      <c r="G667" s="40">
        <f>SUMIF(RAW_File!D:D,C:C,RAW_File!K:K)</f>
        <v>25000</v>
      </c>
      <c r="H667" s="41">
        <f>SUMIF(RAW_File!D:D,C:C,RAW_File!M:M)</f>
        <v>0</v>
      </c>
      <c r="I667" s="40">
        <f t="shared" si="12"/>
        <v>25000</v>
      </c>
    </row>
    <row r="668" spans="1:9" hidden="1" x14ac:dyDescent="0.25">
      <c r="A668" s="36" t="s">
        <v>58</v>
      </c>
      <c r="B668" s="36" t="s">
        <v>1863</v>
      </c>
      <c r="C668" s="36" t="s">
        <v>1864</v>
      </c>
      <c r="D668" s="37">
        <f>SUMIF(RAW_File!D:D,C:C,RAW_File!F:F)</f>
        <v>13084.16609795054</v>
      </c>
      <c r="E668" s="38">
        <f>SUMIF(RAW_File!D:D,C:C,RAW_File!G:G)</f>
        <v>2400</v>
      </c>
      <c r="F668" s="39">
        <f>SUMIF(RAW_File!D:D,C:C,RAW_File!I:I)</f>
        <v>13900</v>
      </c>
      <c r="G668" s="40">
        <f>SUMIF(RAW_File!D:D,C:C,RAW_File!K:K)</f>
        <v>0</v>
      </c>
      <c r="H668" s="41">
        <f>SUMIF(RAW_File!D:D,C:C,RAW_File!M:M)</f>
        <v>5000</v>
      </c>
      <c r="I668" s="40">
        <f t="shared" si="12"/>
        <v>5000</v>
      </c>
    </row>
    <row r="669" spans="1:9" hidden="1" x14ac:dyDescent="0.25">
      <c r="A669" s="36" t="s">
        <v>58</v>
      </c>
      <c r="B669" s="36" t="s">
        <v>1866</v>
      </c>
      <c r="C669" s="36" t="s">
        <v>1867</v>
      </c>
      <c r="D669" s="37">
        <f>SUMIF(RAW_File!D:D,C:C,RAW_File!F:F)</f>
        <v>114.8683</v>
      </c>
      <c r="E669" s="38">
        <f>SUMIF(RAW_File!D:D,C:C,RAW_File!G:G)</f>
        <v>0</v>
      </c>
      <c r="F669" s="39">
        <f>SUMIF(RAW_File!D:D,C:C,RAW_File!I:I)</f>
        <v>0</v>
      </c>
      <c r="G669" s="40">
        <f>SUMIF(RAW_File!D:D,C:C,RAW_File!K:K)</f>
        <v>0</v>
      </c>
      <c r="H669" s="41">
        <f>SUMIF(RAW_File!D:D,C:C,RAW_File!M:M)</f>
        <v>0</v>
      </c>
      <c r="I669" s="40">
        <f t="shared" si="12"/>
        <v>0</v>
      </c>
    </row>
    <row r="670" spans="1:9" hidden="1" x14ac:dyDescent="0.25">
      <c r="A670" s="36" t="s">
        <v>58</v>
      </c>
      <c r="B670" s="36" t="s">
        <v>1996</v>
      </c>
      <c r="C670" s="36" t="s">
        <v>1997</v>
      </c>
      <c r="D670" s="37">
        <f>SUMIF(RAW_File!D:D,C:C,RAW_File!F:F)</f>
        <v>167.15696193354691</v>
      </c>
      <c r="E670" s="38">
        <f>SUMIF(RAW_File!D:D,C:C,RAW_File!G:G)</f>
        <v>7679</v>
      </c>
      <c r="F670" s="39">
        <f>SUMIF(RAW_File!D:D,C:C,RAW_File!I:I)</f>
        <v>7779</v>
      </c>
      <c r="G670" s="40">
        <f>SUMIF(RAW_File!D:D,C:C,RAW_File!K:K)</f>
        <v>5000</v>
      </c>
      <c r="H670" s="41">
        <f>SUMIF(RAW_File!D:D,C:C,RAW_File!M:M)</f>
        <v>0</v>
      </c>
      <c r="I670" s="40">
        <f t="shared" si="12"/>
        <v>5000</v>
      </c>
    </row>
    <row r="671" spans="1:9" hidden="1" x14ac:dyDescent="0.25">
      <c r="A671" s="36" t="s">
        <v>58</v>
      </c>
      <c r="B671" s="36" t="s">
        <v>2041</v>
      </c>
      <c r="C671" s="36" t="s">
        <v>2042</v>
      </c>
      <c r="D671" s="37">
        <f>SUMIF(RAW_File!D:D,C:C,RAW_File!F:F)</f>
        <v>17513.895249881909</v>
      </c>
      <c r="E671" s="38">
        <f>SUMIF(RAW_File!D:D,C:C,RAW_File!G:G)</f>
        <v>14490</v>
      </c>
      <c r="F671" s="39">
        <f>SUMIF(RAW_File!D:D,C:C,RAW_File!I:I)</f>
        <v>33555</v>
      </c>
      <c r="G671" s="40">
        <f>SUMIF(RAW_File!D:D,C:C,RAW_File!K:K)</f>
        <v>5000</v>
      </c>
      <c r="H671" s="41">
        <f>SUMIF(RAW_File!D:D,C:C,RAW_File!M:M)</f>
        <v>15000</v>
      </c>
      <c r="I671" s="40">
        <f t="shared" si="12"/>
        <v>10000</v>
      </c>
    </row>
    <row r="672" spans="1:9" hidden="1" x14ac:dyDescent="0.25">
      <c r="A672" s="36" t="s">
        <v>58</v>
      </c>
      <c r="B672" s="36" t="s">
        <v>2055</v>
      </c>
      <c r="C672" s="36" t="s">
        <v>2056</v>
      </c>
      <c r="D672" s="37">
        <f>SUMIF(RAW_File!D:D,C:C,RAW_File!F:F)</f>
        <v>1169.1843817468</v>
      </c>
      <c r="E672" s="38">
        <f>SUMIF(RAW_File!D:D,C:C,RAW_File!G:G)</f>
        <v>0</v>
      </c>
      <c r="F672" s="39">
        <f>SUMIF(RAW_File!D:D,C:C,RAW_File!I:I)</f>
        <v>0</v>
      </c>
      <c r="G672" s="40">
        <f>SUMIF(RAW_File!D:D,C:C,RAW_File!K:K)</f>
        <v>0</v>
      </c>
      <c r="H672" s="41">
        <f>SUMIF(RAW_File!D:D,C:C,RAW_File!M:M)</f>
        <v>0</v>
      </c>
      <c r="I672" s="40">
        <f t="shared" si="12"/>
        <v>0</v>
      </c>
    </row>
    <row r="673" spans="1:9" hidden="1" x14ac:dyDescent="0.25">
      <c r="A673" s="36" t="s">
        <v>58</v>
      </c>
      <c r="B673" s="36" t="s">
        <v>2073</v>
      </c>
      <c r="C673" s="36" t="s">
        <v>2074</v>
      </c>
      <c r="D673" s="37">
        <f>SUMIF(RAW_File!D:D,C:C,RAW_File!F:F)</f>
        <v>10358.2479679304</v>
      </c>
      <c r="E673" s="38">
        <f>SUMIF(RAW_File!D:D,C:C,RAW_File!G:G)</f>
        <v>12000</v>
      </c>
      <c r="F673" s="39">
        <f>SUMIF(RAW_File!D:D,C:C,RAW_File!I:I)</f>
        <v>15920</v>
      </c>
      <c r="G673" s="40">
        <f>SUMIF(RAW_File!D:D,C:C,RAW_File!K:K)</f>
        <v>5000</v>
      </c>
      <c r="H673" s="41">
        <f>SUMIF(RAW_File!D:D,C:C,RAW_File!M:M)</f>
        <v>0</v>
      </c>
      <c r="I673" s="40">
        <f t="shared" si="12"/>
        <v>5000</v>
      </c>
    </row>
    <row r="674" spans="1:9" hidden="1" x14ac:dyDescent="0.25">
      <c r="A674" s="36" t="s">
        <v>58</v>
      </c>
      <c r="B674" s="36" t="s">
        <v>2143</v>
      </c>
      <c r="C674" s="36" t="s">
        <v>2144</v>
      </c>
      <c r="D674" s="37">
        <f>SUMIF(RAW_File!D:D,C:C,RAW_File!F:F)</f>
        <v>3543.074550081486</v>
      </c>
      <c r="E674" s="38">
        <f>SUMIF(RAW_File!D:D,C:C,RAW_File!G:G)</f>
        <v>4920</v>
      </c>
      <c r="F674" s="39">
        <f>SUMIF(RAW_File!D:D,C:C,RAW_File!I:I)</f>
        <v>8090</v>
      </c>
      <c r="G674" s="40">
        <f>SUMIF(RAW_File!D:D,C:C,RAW_File!K:K)</f>
        <v>5000</v>
      </c>
      <c r="H674" s="41">
        <f>SUMIF(RAW_File!D:D,C:C,RAW_File!M:M)</f>
        <v>0</v>
      </c>
      <c r="I674" s="40">
        <f t="shared" si="12"/>
        <v>5000</v>
      </c>
    </row>
    <row r="675" spans="1:9" hidden="1" x14ac:dyDescent="0.25">
      <c r="A675" s="36" t="s">
        <v>58</v>
      </c>
      <c r="B675" s="36" t="s">
        <v>2422</v>
      </c>
      <c r="C675" s="36" t="s">
        <v>2423</v>
      </c>
      <c r="D675" s="37">
        <f>SUMIF(RAW_File!D:D,C:C,RAW_File!F:F)</f>
        <v>14942.1613000003</v>
      </c>
      <c r="E675" s="38">
        <f>SUMIF(RAW_File!D:D,C:C,RAW_File!G:G)</f>
        <v>4200</v>
      </c>
      <c r="F675" s="39">
        <f>SUMIF(RAW_File!D:D,C:C,RAW_File!I:I)</f>
        <v>4520</v>
      </c>
      <c r="G675" s="40">
        <f>SUMIF(RAW_File!D:D,C:C,RAW_File!K:K)</f>
        <v>5000</v>
      </c>
      <c r="H675" s="41">
        <f>SUMIF(RAW_File!D:D,C:C,RAW_File!M:M)</f>
        <v>0</v>
      </c>
      <c r="I675" s="40">
        <f t="shared" si="12"/>
        <v>5000</v>
      </c>
    </row>
    <row r="676" spans="1:9" hidden="1" x14ac:dyDescent="0.25">
      <c r="A676" s="36" t="s">
        <v>58</v>
      </c>
      <c r="B676" s="36" t="s">
        <v>2504</v>
      </c>
      <c r="C676" s="36" t="s">
        <v>2505</v>
      </c>
      <c r="D676" s="37">
        <f>SUMIF(RAW_File!D:D,C:C,RAW_File!F:F)</f>
        <v>10269.8323001761</v>
      </c>
      <c r="E676" s="38">
        <f>SUMIF(RAW_File!D:D,C:C,RAW_File!G:G)</f>
        <v>1700</v>
      </c>
      <c r="F676" s="39">
        <f>SUMIF(RAW_File!D:D,C:C,RAW_File!I:I)</f>
        <v>3208</v>
      </c>
      <c r="G676" s="40">
        <f>SUMIF(RAW_File!D:D,C:C,RAW_File!K:K)</f>
        <v>5000</v>
      </c>
      <c r="H676" s="41">
        <f>SUMIF(RAW_File!D:D,C:C,RAW_File!M:M)</f>
        <v>10000</v>
      </c>
      <c r="I676" s="40">
        <f t="shared" si="12"/>
        <v>5000</v>
      </c>
    </row>
    <row r="677" spans="1:9" hidden="1" x14ac:dyDescent="0.25">
      <c r="A677" s="36" t="s">
        <v>58</v>
      </c>
      <c r="B677" s="36" t="s">
        <v>2531</v>
      </c>
      <c r="C677" s="36" t="s">
        <v>2532</v>
      </c>
      <c r="D677" s="37">
        <f>SUMIF(RAW_File!D:D,C:C,RAW_File!F:F)</f>
        <v>0.99324999999999997</v>
      </c>
      <c r="E677" s="38">
        <f>SUMIF(RAW_File!D:D,C:C,RAW_File!G:G)</f>
        <v>0</v>
      </c>
      <c r="F677" s="39">
        <f>SUMIF(RAW_File!D:D,C:C,RAW_File!I:I)</f>
        <v>0</v>
      </c>
      <c r="G677" s="40">
        <f>SUMIF(RAW_File!D:D,C:C,RAW_File!K:K)</f>
        <v>0</v>
      </c>
      <c r="H677" s="41">
        <f>SUMIF(RAW_File!D:D,C:C,RAW_File!M:M)</f>
        <v>0</v>
      </c>
      <c r="I677" s="40">
        <f t="shared" si="12"/>
        <v>0</v>
      </c>
    </row>
    <row r="678" spans="1:9" hidden="1" x14ac:dyDescent="0.25">
      <c r="A678" s="36" t="s">
        <v>58</v>
      </c>
      <c r="B678" s="36" t="s">
        <v>2546</v>
      </c>
      <c r="C678" s="36" t="s">
        <v>2547</v>
      </c>
      <c r="D678" s="37">
        <f>SUMIF(RAW_File!D:D,C:C,RAW_File!F:F)</f>
        <v>76206.193585000001</v>
      </c>
      <c r="E678" s="38">
        <f>SUMIF(RAW_File!D:D,C:C,RAW_File!G:G)</f>
        <v>9340</v>
      </c>
      <c r="F678" s="39">
        <f>SUMIF(RAW_File!D:D,C:C,RAW_File!I:I)</f>
        <v>34910</v>
      </c>
      <c r="G678" s="40">
        <f>SUMIF(RAW_File!D:D,C:C,RAW_File!K:K)</f>
        <v>0</v>
      </c>
      <c r="H678" s="41">
        <f>SUMIF(RAW_File!D:D,C:C,RAW_File!M:M)</f>
        <v>5000</v>
      </c>
      <c r="I678" s="40">
        <f t="shared" si="12"/>
        <v>5000</v>
      </c>
    </row>
    <row r="679" spans="1:9" hidden="1" x14ac:dyDescent="0.25">
      <c r="A679" s="36" t="s">
        <v>58</v>
      </c>
      <c r="B679" s="36" t="s">
        <v>2924</v>
      </c>
      <c r="C679" s="36" t="s">
        <v>2925</v>
      </c>
      <c r="D679" s="37">
        <f>SUMIF(RAW_File!D:D,C:C,RAW_File!F:F)</f>
        <v>10533.75217533354</v>
      </c>
      <c r="E679" s="38">
        <f>SUMIF(RAW_File!D:D,C:C,RAW_File!G:G)</f>
        <v>9510</v>
      </c>
      <c r="F679" s="39">
        <f>SUMIF(RAW_File!D:D,C:C,RAW_File!I:I)</f>
        <v>15260</v>
      </c>
      <c r="G679" s="40">
        <f>SUMIF(RAW_File!D:D,C:C,RAW_File!K:K)</f>
        <v>10000</v>
      </c>
      <c r="H679" s="41">
        <f>SUMIF(RAW_File!D:D,C:C,RAW_File!M:M)</f>
        <v>0</v>
      </c>
      <c r="I679" s="40">
        <f t="shared" si="12"/>
        <v>10000</v>
      </c>
    </row>
    <row r="680" spans="1:9" hidden="1" x14ac:dyDescent="0.25">
      <c r="A680" s="36" t="s">
        <v>58</v>
      </c>
      <c r="B680" s="36" t="s">
        <v>3000</v>
      </c>
      <c r="C680" s="36" t="s">
        <v>3001</v>
      </c>
      <c r="D680" s="37">
        <f>SUMIF(RAW_File!D:D,C:C,RAW_File!F:F)</f>
        <v>25795.93928191757</v>
      </c>
      <c r="E680" s="38">
        <f>SUMIF(RAW_File!D:D,C:C,RAW_File!G:G)</f>
        <v>800</v>
      </c>
      <c r="F680" s="39">
        <f>SUMIF(RAW_File!D:D,C:C,RAW_File!I:I)</f>
        <v>800</v>
      </c>
      <c r="G680" s="40">
        <f>SUMIF(RAW_File!D:D,C:C,RAW_File!K:K)</f>
        <v>5000</v>
      </c>
      <c r="H680" s="41">
        <f>SUMIF(RAW_File!D:D,C:C,RAW_File!M:M)</f>
        <v>0</v>
      </c>
      <c r="I680" s="40">
        <f t="shared" si="12"/>
        <v>5000</v>
      </c>
    </row>
    <row r="681" spans="1:9" hidden="1" x14ac:dyDescent="0.25">
      <c r="A681" s="36" t="s">
        <v>58</v>
      </c>
      <c r="B681" s="36" t="s">
        <v>3004</v>
      </c>
      <c r="C681" s="36" t="s">
        <v>3005</v>
      </c>
      <c r="D681" s="37">
        <f>SUMIF(RAW_File!D:D,C:C,RAW_File!F:F)</f>
        <v>482.4160959514</v>
      </c>
      <c r="E681" s="38">
        <f>SUMIF(RAW_File!D:D,C:C,RAW_File!G:G)</f>
        <v>6650</v>
      </c>
      <c r="F681" s="39">
        <f>SUMIF(RAW_File!D:D,C:C,RAW_File!I:I)</f>
        <v>32050</v>
      </c>
      <c r="G681" s="40">
        <f>SUMIF(RAW_File!D:D,C:C,RAW_File!K:K)</f>
        <v>10000</v>
      </c>
      <c r="H681" s="41">
        <f>SUMIF(RAW_File!D:D,C:C,RAW_File!M:M)</f>
        <v>28000</v>
      </c>
      <c r="I681" s="40">
        <f t="shared" si="12"/>
        <v>18000</v>
      </c>
    </row>
    <row r="682" spans="1:9" hidden="1" x14ac:dyDescent="0.25">
      <c r="A682" s="36" t="s">
        <v>58</v>
      </c>
      <c r="B682" s="36" t="s">
        <v>3131</v>
      </c>
      <c r="C682" s="36" t="s">
        <v>3132</v>
      </c>
      <c r="D682" s="37">
        <f>SUMIF(RAW_File!D:D,C:C,RAW_File!F:F)</f>
        <v>23177.388610355181</v>
      </c>
      <c r="E682" s="38">
        <f>SUMIF(RAW_File!D:D,C:C,RAW_File!G:G)</f>
        <v>10430</v>
      </c>
      <c r="F682" s="39">
        <f>SUMIF(RAW_File!D:D,C:C,RAW_File!I:I)</f>
        <v>16120</v>
      </c>
      <c r="G682" s="40">
        <f>SUMIF(RAW_File!D:D,C:C,RAW_File!K:K)</f>
        <v>10000</v>
      </c>
      <c r="H682" s="41">
        <f>SUMIF(RAW_File!D:D,C:C,RAW_File!M:M)</f>
        <v>0</v>
      </c>
      <c r="I682" s="40">
        <f t="shared" si="12"/>
        <v>10000</v>
      </c>
    </row>
    <row r="683" spans="1:9" hidden="1" x14ac:dyDescent="0.25">
      <c r="A683" s="36" t="s">
        <v>58</v>
      </c>
      <c r="B683" s="36" t="s">
        <v>1037</v>
      </c>
      <c r="C683" s="36" t="s">
        <v>3133</v>
      </c>
      <c r="D683" s="37">
        <f>SUMIF(RAW_File!D:D,C:C,RAW_File!F:F)</f>
        <v>4730.6254580000004</v>
      </c>
      <c r="E683" s="38">
        <f>SUMIF(RAW_File!D:D,C:C,RAW_File!G:G)</f>
        <v>3100</v>
      </c>
      <c r="F683" s="39">
        <f>SUMIF(RAW_File!D:D,C:C,RAW_File!I:I)</f>
        <v>3100</v>
      </c>
      <c r="G683" s="40">
        <f>SUMIF(RAW_File!D:D,C:C,RAW_File!K:K)</f>
        <v>0</v>
      </c>
      <c r="H683" s="41">
        <f>SUMIF(RAW_File!D:D,C:C,RAW_File!M:M)</f>
        <v>0</v>
      </c>
      <c r="I683" s="40">
        <f t="shared" si="12"/>
        <v>0</v>
      </c>
    </row>
    <row r="684" spans="1:9" hidden="1" x14ac:dyDescent="0.25">
      <c r="A684" s="36" t="s">
        <v>58</v>
      </c>
      <c r="B684" s="36" t="s">
        <v>3153</v>
      </c>
      <c r="C684" s="36" t="s">
        <v>3154</v>
      </c>
      <c r="D684" s="37">
        <f>SUMIF(RAW_File!D:D,C:C,RAW_File!F:F)</f>
        <v>5496.4168</v>
      </c>
      <c r="E684" s="38">
        <f>SUMIF(RAW_File!D:D,C:C,RAW_File!G:G)</f>
        <v>17670</v>
      </c>
      <c r="F684" s="39">
        <f>SUMIF(RAW_File!D:D,C:C,RAW_File!I:I)</f>
        <v>26040</v>
      </c>
      <c r="G684" s="40">
        <f>SUMIF(RAW_File!D:D,C:C,RAW_File!K:K)</f>
        <v>10000</v>
      </c>
      <c r="H684" s="41">
        <f>SUMIF(RAW_File!D:D,C:C,RAW_File!M:M)</f>
        <v>0</v>
      </c>
      <c r="I684" s="40">
        <f t="shared" si="12"/>
        <v>10000</v>
      </c>
    </row>
    <row r="685" spans="1:9" hidden="1" x14ac:dyDescent="0.25">
      <c r="A685" s="36" t="s">
        <v>58</v>
      </c>
      <c r="B685" s="36" t="s">
        <v>3328</v>
      </c>
      <c r="C685" s="36" t="s">
        <v>3329</v>
      </c>
      <c r="D685" s="37">
        <f>SUMIF(RAW_File!D:D,C:C,RAW_File!F:F)</f>
        <v>56.948599999999999</v>
      </c>
      <c r="E685" s="38">
        <f>SUMIF(RAW_File!D:D,C:C,RAW_File!G:G)</f>
        <v>0</v>
      </c>
      <c r="F685" s="39">
        <f>SUMIF(RAW_File!D:D,C:C,RAW_File!I:I)</f>
        <v>0</v>
      </c>
      <c r="G685" s="40">
        <f>SUMIF(RAW_File!D:D,C:C,RAW_File!K:K)</f>
        <v>0</v>
      </c>
      <c r="H685" s="41">
        <f>SUMIF(RAW_File!D:D,C:C,RAW_File!M:M)</f>
        <v>0</v>
      </c>
      <c r="I685" s="40">
        <f t="shared" si="12"/>
        <v>0</v>
      </c>
    </row>
    <row r="686" spans="1:9" hidden="1" x14ac:dyDescent="0.25">
      <c r="A686" s="36" t="s">
        <v>68</v>
      </c>
      <c r="B686" s="36" t="s">
        <v>294</v>
      </c>
      <c r="C686" s="36" t="s">
        <v>295</v>
      </c>
      <c r="D686" s="37">
        <f>SUMIF(RAW_File!D:D,C:C,RAW_File!F:F)</f>
        <v>15908.264802012151</v>
      </c>
      <c r="E686" s="38">
        <f>SUMIF(RAW_File!D:D,C:C,RAW_File!G:G)</f>
        <v>7960</v>
      </c>
      <c r="F686" s="39">
        <f>SUMIF(RAW_File!D:D,C:C,RAW_File!I:I)</f>
        <v>18380</v>
      </c>
      <c r="G686" s="40">
        <f>SUMIF(RAW_File!D:D,C:C,RAW_File!K:K)</f>
        <v>5000</v>
      </c>
      <c r="H686" s="41">
        <f>SUMIF(RAW_File!D:D,C:C,RAW_File!M:M)</f>
        <v>10000</v>
      </c>
      <c r="I686" s="40">
        <f t="shared" si="12"/>
        <v>5000</v>
      </c>
    </row>
    <row r="687" spans="1:9" hidden="1" x14ac:dyDescent="0.25">
      <c r="A687" s="42" t="s">
        <v>68</v>
      </c>
      <c r="B687" s="36" t="s">
        <v>304</v>
      </c>
      <c r="C687" s="42" t="s">
        <v>305</v>
      </c>
      <c r="D687" s="37">
        <f>SUMIF(RAW_File!D:D,C:C,RAW_File!F:F)</f>
        <v>2133.879372810838</v>
      </c>
      <c r="E687" s="38">
        <f>SUMIF(RAW_File!D:D,C:C,RAW_File!G:G)</f>
        <v>1270</v>
      </c>
      <c r="F687" s="39">
        <f>SUMIF(RAW_File!D:D,C:C,RAW_File!I:I)</f>
        <v>2720</v>
      </c>
      <c r="G687" s="40">
        <f>SUMIF(RAW_File!D:D,C:C,RAW_File!K:K)</f>
        <v>0</v>
      </c>
      <c r="H687" s="41">
        <f>SUMIF(RAW_File!D:D,C:C,RAW_File!M:M)</f>
        <v>11000</v>
      </c>
      <c r="I687" s="40">
        <f t="shared" si="12"/>
        <v>11000</v>
      </c>
    </row>
    <row r="688" spans="1:9" hidden="1" x14ac:dyDescent="0.25">
      <c r="A688" s="36" t="s">
        <v>68</v>
      </c>
      <c r="B688" s="36" t="s">
        <v>366</v>
      </c>
      <c r="C688" s="36" t="s">
        <v>367</v>
      </c>
      <c r="D688" s="37">
        <f>SUMIF(RAW_File!D:D,C:C,RAW_File!F:F)</f>
        <v>2430.0194882557789</v>
      </c>
      <c r="E688" s="38">
        <f>SUMIF(RAW_File!D:D,C:C,RAW_File!G:G)</f>
        <v>0</v>
      </c>
      <c r="F688" s="39">
        <f>SUMIF(RAW_File!D:D,C:C,RAW_File!I:I)</f>
        <v>0</v>
      </c>
      <c r="G688" s="40">
        <f>SUMIF(RAW_File!D:D,C:C,RAW_File!K:K)</f>
        <v>0</v>
      </c>
      <c r="H688" s="41">
        <f>SUMIF(RAW_File!D:D,C:C,RAW_File!M:M)</f>
        <v>0</v>
      </c>
      <c r="I688" s="40">
        <f t="shared" si="12"/>
        <v>0</v>
      </c>
    </row>
    <row r="689" spans="1:9" hidden="1" x14ac:dyDescent="0.25">
      <c r="A689" s="36" t="s">
        <v>68</v>
      </c>
      <c r="B689" s="36" t="s">
        <v>395</v>
      </c>
      <c r="C689" s="36" t="s">
        <v>396</v>
      </c>
      <c r="D689" s="37">
        <f>SUMIF(RAW_File!D:D,C:C,RAW_File!F:F)</f>
        <v>14157.92020818842</v>
      </c>
      <c r="E689" s="38">
        <f>SUMIF(RAW_File!D:D,C:C,RAW_File!G:G)</f>
        <v>3350</v>
      </c>
      <c r="F689" s="39">
        <f>SUMIF(RAW_File!D:D,C:C,RAW_File!I:I)</f>
        <v>22960</v>
      </c>
      <c r="G689" s="40">
        <f>SUMIF(RAW_File!D:D,C:C,RAW_File!K:K)</f>
        <v>5000</v>
      </c>
      <c r="H689" s="41">
        <f>SUMIF(RAW_File!D:D,C:C,RAW_File!M:M)</f>
        <v>10000</v>
      </c>
      <c r="I689" s="40">
        <f t="shared" si="12"/>
        <v>5000</v>
      </c>
    </row>
    <row r="690" spans="1:9" hidden="1" x14ac:dyDescent="0.25">
      <c r="A690" s="36" t="s">
        <v>68</v>
      </c>
      <c r="B690" s="36" t="s">
        <v>818</v>
      </c>
      <c r="C690" s="36" t="s">
        <v>819</v>
      </c>
      <c r="D690" s="37">
        <f>SUMIF(RAW_File!D:D,C:C,RAW_File!F:F)</f>
        <v>9014.2384866071334</v>
      </c>
      <c r="E690" s="38">
        <f>SUMIF(RAW_File!D:D,C:C,RAW_File!G:G)</f>
        <v>2100</v>
      </c>
      <c r="F690" s="39">
        <f>SUMIF(RAW_File!D:D,C:C,RAW_File!I:I)</f>
        <v>6290</v>
      </c>
      <c r="G690" s="40">
        <f>SUMIF(RAW_File!D:D,C:C,RAW_File!K:K)</f>
        <v>5000</v>
      </c>
      <c r="H690" s="41">
        <f>SUMIF(RAW_File!D:D,C:C,RAW_File!M:M)</f>
        <v>0</v>
      </c>
      <c r="I690" s="40">
        <f t="shared" si="12"/>
        <v>5000</v>
      </c>
    </row>
    <row r="691" spans="1:9" hidden="1" x14ac:dyDescent="0.25">
      <c r="A691" s="36" t="s">
        <v>68</v>
      </c>
      <c r="B691" s="36" t="s">
        <v>975</v>
      </c>
      <c r="C691" s="36" t="s">
        <v>976</v>
      </c>
      <c r="D691" s="37">
        <f>SUMIF(RAW_File!D:D,C:C,RAW_File!F:F)</f>
        <v>30.852119565300001</v>
      </c>
      <c r="E691" s="38">
        <f>SUMIF(RAW_File!D:D,C:C,RAW_File!G:G)</f>
        <v>7122</v>
      </c>
      <c r="F691" s="39">
        <f>SUMIF(RAW_File!D:D,C:C,RAW_File!I:I)</f>
        <v>10312</v>
      </c>
      <c r="G691" s="40">
        <f>SUMIF(RAW_File!D:D,C:C,RAW_File!K:K)</f>
        <v>5000</v>
      </c>
      <c r="H691" s="41">
        <f>SUMIF(RAW_File!D:D,C:C,RAW_File!M:M)</f>
        <v>0</v>
      </c>
      <c r="I691" s="40">
        <f t="shared" si="12"/>
        <v>5000</v>
      </c>
    </row>
    <row r="692" spans="1:9" hidden="1" x14ac:dyDescent="0.25">
      <c r="A692" s="36" t="s">
        <v>68</v>
      </c>
      <c r="B692" s="36" t="s">
        <v>1035</v>
      </c>
      <c r="C692" s="36" t="s">
        <v>1036</v>
      </c>
      <c r="D692" s="37">
        <f>SUMIF(RAW_File!D:D,C:C,RAW_File!F:F)</f>
        <v>9574.1649500000003</v>
      </c>
      <c r="E692" s="38">
        <f>SUMIF(RAW_File!D:D,C:C,RAW_File!G:G)</f>
        <v>0</v>
      </c>
      <c r="F692" s="39">
        <f>SUMIF(RAW_File!D:D,C:C,RAW_File!I:I)</f>
        <v>3910</v>
      </c>
      <c r="G692" s="40">
        <f>SUMIF(RAW_File!D:D,C:C,RAW_File!K:K)</f>
        <v>5000</v>
      </c>
      <c r="H692" s="41">
        <f>SUMIF(RAW_File!D:D,C:C,RAW_File!M:M)</f>
        <v>0</v>
      </c>
      <c r="I692" s="40">
        <f t="shared" si="12"/>
        <v>5000</v>
      </c>
    </row>
    <row r="693" spans="1:9" hidden="1" x14ac:dyDescent="0.25">
      <c r="A693" s="36" t="s">
        <v>68</v>
      </c>
      <c r="B693" s="36" t="s">
        <v>1063</v>
      </c>
      <c r="C693" s="36" t="s">
        <v>1064</v>
      </c>
      <c r="D693" s="37">
        <f>SUMIF(RAW_File!D:D,C:C,RAW_File!F:F)</f>
        <v>852.09754999999996</v>
      </c>
      <c r="E693" s="38">
        <f>SUMIF(RAW_File!D:D,C:C,RAW_File!G:G)</f>
        <v>500</v>
      </c>
      <c r="F693" s="39">
        <f>SUMIF(RAW_File!D:D,C:C,RAW_File!I:I)</f>
        <v>500</v>
      </c>
      <c r="G693" s="40">
        <f>SUMIF(RAW_File!D:D,C:C,RAW_File!K:K)</f>
        <v>0</v>
      </c>
      <c r="H693" s="41">
        <f>SUMIF(RAW_File!D:D,C:C,RAW_File!M:M)</f>
        <v>5000</v>
      </c>
      <c r="I693" s="40">
        <f t="shared" si="12"/>
        <v>5000</v>
      </c>
    </row>
    <row r="694" spans="1:9" hidden="1" x14ac:dyDescent="0.25">
      <c r="A694" s="36" t="s">
        <v>68</v>
      </c>
      <c r="B694" s="36" t="s">
        <v>1067</v>
      </c>
      <c r="C694" s="36" t="s">
        <v>1068</v>
      </c>
      <c r="D694" s="37">
        <f>SUMIF(RAW_File!D:D,C:C,RAW_File!F:F)</f>
        <v>6671.59</v>
      </c>
      <c r="E694" s="38">
        <f>SUMIF(RAW_File!D:D,C:C,RAW_File!G:G)</f>
        <v>7180</v>
      </c>
      <c r="F694" s="39">
        <f>SUMIF(RAW_File!D:D,C:C,RAW_File!I:I)</f>
        <v>16650</v>
      </c>
      <c r="G694" s="40">
        <f>SUMIF(RAW_File!D:D,C:C,RAW_File!K:K)</f>
        <v>0</v>
      </c>
      <c r="H694" s="41">
        <f>SUMIF(RAW_File!D:D,C:C,RAW_File!M:M)</f>
        <v>5000</v>
      </c>
      <c r="I694" s="40">
        <f t="shared" si="12"/>
        <v>5000</v>
      </c>
    </row>
    <row r="695" spans="1:9" hidden="1" x14ac:dyDescent="0.25">
      <c r="A695" s="36" t="s">
        <v>68</v>
      </c>
      <c r="B695" s="36" t="s">
        <v>1189</v>
      </c>
      <c r="C695" s="36" t="s">
        <v>1190</v>
      </c>
      <c r="D695" s="37">
        <f>SUMIF(RAW_File!D:D,C:C,RAW_File!F:F)</f>
        <v>4572.7214192239398</v>
      </c>
      <c r="E695" s="38">
        <f>SUMIF(RAW_File!D:D,C:C,RAW_File!G:G)</f>
        <v>14960</v>
      </c>
      <c r="F695" s="39">
        <f>SUMIF(RAW_File!D:D,C:C,RAW_File!I:I)</f>
        <v>31400</v>
      </c>
      <c r="G695" s="40">
        <f>SUMIF(RAW_File!D:D,C:C,RAW_File!K:K)</f>
        <v>15000</v>
      </c>
      <c r="H695" s="41">
        <f>SUMIF(RAW_File!D:D,C:C,RAW_File!M:M)</f>
        <v>20000</v>
      </c>
      <c r="I695" s="40">
        <f t="shared" si="12"/>
        <v>5000</v>
      </c>
    </row>
    <row r="696" spans="1:9" hidden="1" x14ac:dyDescent="0.25">
      <c r="A696" s="36" t="s">
        <v>68</v>
      </c>
      <c r="B696" s="36" t="s">
        <v>1342</v>
      </c>
      <c r="C696" s="36" t="s">
        <v>1343</v>
      </c>
      <c r="D696" s="37">
        <f>SUMIF(RAW_File!D:D,C:C,RAW_File!F:F)</f>
        <v>4182.2088001488</v>
      </c>
      <c r="E696" s="38">
        <f>SUMIF(RAW_File!D:D,C:C,RAW_File!G:G)</f>
        <v>0</v>
      </c>
      <c r="F696" s="39">
        <f>SUMIF(RAW_File!D:D,C:C,RAW_File!I:I)</f>
        <v>1500</v>
      </c>
      <c r="G696" s="40">
        <f>SUMIF(RAW_File!D:D,C:C,RAW_File!K:K)</f>
        <v>5000</v>
      </c>
      <c r="H696" s="41">
        <f>SUMIF(RAW_File!D:D,C:C,RAW_File!M:M)</f>
        <v>11000</v>
      </c>
      <c r="I696" s="40">
        <f t="shared" si="12"/>
        <v>6000</v>
      </c>
    </row>
    <row r="697" spans="1:9" hidden="1" x14ac:dyDescent="0.25">
      <c r="A697" s="36" t="s">
        <v>68</v>
      </c>
      <c r="B697" s="36" t="s">
        <v>1365</v>
      </c>
      <c r="C697" s="36" t="s">
        <v>1366</v>
      </c>
      <c r="D697" s="37">
        <f>SUMIF(RAW_File!D:D,C:C,RAW_File!F:F)</f>
        <v>30.767700000000001</v>
      </c>
      <c r="E697" s="38">
        <f>SUMIF(RAW_File!D:D,C:C,RAW_File!G:G)</f>
        <v>0</v>
      </c>
      <c r="F697" s="39">
        <f>SUMIF(RAW_File!D:D,C:C,RAW_File!I:I)</f>
        <v>0</v>
      </c>
      <c r="G697" s="40">
        <f>SUMIF(RAW_File!D:D,C:C,RAW_File!K:K)</f>
        <v>0</v>
      </c>
      <c r="H697" s="41">
        <f>SUMIF(RAW_File!D:D,C:C,RAW_File!M:M)</f>
        <v>0</v>
      </c>
      <c r="I697" s="40">
        <f t="shared" si="12"/>
        <v>0</v>
      </c>
    </row>
    <row r="698" spans="1:9" hidden="1" x14ac:dyDescent="0.25">
      <c r="A698" s="36" t="s">
        <v>68</v>
      </c>
      <c r="B698" s="36" t="s">
        <v>1401</v>
      </c>
      <c r="C698" s="36" t="s">
        <v>1402</v>
      </c>
      <c r="D698" s="37">
        <f>SUMIF(RAW_File!D:D,C:C,RAW_File!F:F)</f>
        <v>4419.2456161758673</v>
      </c>
      <c r="E698" s="38">
        <f>SUMIF(RAW_File!D:D,C:C,RAW_File!G:G)</f>
        <v>5330</v>
      </c>
      <c r="F698" s="39">
        <f>SUMIF(RAW_File!D:D,C:C,RAW_File!I:I)</f>
        <v>19855</v>
      </c>
      <c r="G698" s="40">
        <f>SUMIF(RAW_File!D:D,C:C,RAW_File!K:K)</f>
        <v>5000</v>
      </c>
      <c r="H698" s="41">
        <f>SUMIF(RAW_File!D:D,C:C,RAW_File!M:M)</f>
        <v>15000</v>
      </c>
      <c r="I698" s="40">
        <f t="shared" si="12"/>
        <v>10000</v>
      </c>
    </row>
    <row r="699" spans="1:9" hidden="1" x14ac:dyDescent="0.25">
      <c r="A699" s="36" t="s">
        <v>68</v>
      </c>
      <c r="B699" s="36" t="s">
        <v>509</v>
      </c>
      <c r="C699" s="36" t="s">
        <v>1482</v>
      </c>
      <c r="D699" s="37">
        <f>SUMIF(RAW_File!D:D,C:C,RAW_File!F:F)</f>
        <v>19199.212617000001</v>
      </c>
      <c r="E699" s="38">
        <f>SUMIF(RAW_File!D:D,C:C,RAW_File!G:G)</f>
        <v>6225</v>
      </c>
      <c r="F699" s="39">
        <f>SUMIF(RAW_File!D:D,C:C,RAW_File!I:I)</f>
        <v>36875</v>
      </c>
      <c r="G699" s="40">
        <f>SUMIF(RAW_File!D:D,C:C,RAW_File!K:K)</f>
        <v>5000</v>
      </c>
      <c r="H699" s="41">
        <f>SUMIF(RAW_File!D:D,C:C,RAW_File!M:M)</f>
        <v>30000</v>
      </c>
      <c r="I699" s="40">
        <f t="shared" si="12"/>
        <v>25000</v>
      </c>
    </row>
    <row r="700" spans="1:9" hidden="1" x14ac:dyDescent="0.25">
      <c r="A700" s="36" t="s">
        <v>68</v>
      </c>
      <c r="B700" s="36" t="s">
        <v>1546</v>
      </c>
      <c r="C700" s="36" t="s">
        <v>1547</v>
      </c>
      <c r="D700" s="37">
        <f>SUMIF(RAW_File!D:D,C:C,RAW_File!F:F)</f>
        <v>15798.879499999999</v>
      </c>
      <c r="E700" s="38">
        <f>SUMIF(RAW_File!D:D,C:C,RAW_File!G:G)</f>
        <v>6300</v>
      </c>
      <c r="F700" s="39">
        <f>SUMIF(RAW_File!D:D,C:C,RAW_File!I:I)</f>
        <v>7360</v>
      </c>
      <c r="G700" s="40">
        <f>SUMIF(RAW_File!D:D,C:C,RAW_File!K:K)</f>
        <v>20000</v>
      </c>
      <c r="H700" s="41">
        <f>SUMIF(RAW_File!D:D,C:C,RAW_File!M:M)</f>
        <v>0</v>
      </c>
      <c r="I700" s="40">
        <f t="shared" si="12"/>
        <v>20000</v>
      </c>
    </row>
    <row r="701" spans="1:9" hidden="1" x14ac:dyDescent="0.25">
      <c r="A701" s="36" t="s">
        <v>68</v>
      </c>
      <c r="B701" s="36" t="s">
        <v>1554</v>
      </c>
      <c r="C701" s="36" t="s">
        <v>1555</v>
      </c>
      <c r="D701" s="37">
        <f>SUMIF(RAW_File!D:D,C:C,RAW_File!F:F)</f>
        <v>3957.13265</v>
      </c>
      <c r="E701" s="38">
        <f>SUMIF(RAW_File!D:D,C:C,RAW_File!G:G)</f>
        <v>700</v>
      </c>
      <c r="F701" s="39">
        <f>SUMIF(RAW_File!D:D,C:C,RAW_File!I:I)</f>
        <v>1300</v>
      </c>
      <c r="G701" s="40">
        <f>SUMIF(RAW_File!D:D,C:C,RAW_File!K:K)</f>
        <v>0</v>
      </c>
      <c r="H701" s="41">
        <f>SUMIF(RAW_File!D:D,C:C,RAW_File!M:M)</f>
        <v>7000</v>
      </c>
      <c r="I701" s="40">
        <f t="shared" si="12"/>
        <v>7000</v>
      </c>
    </row>
    <row r="702" spans="1:9" hidden="1" x14ac:dyDescent="0.25">
      <c r="A702" s="36" t="s">
        <v>68</v>
      </c>
      <c r="B702" s="36" t="s">
        <v>1625</v>
      </c>
      <c r="C702" s="36" t="s">
        <v>1626</v>
      </c>
      <c r="D702" s="37">
        <f>SUMIF(RAW_File!D:D,C:C,RAW_File!F:F)</f>
        <v>13368.0288</v>
      </c>
      <c r="E702" s="38">
        <f>SUMIF(RAW_File!D:D,C:C,RAW_File!G:G)</f>
        <v>21010</v>
      </c>
      <c r="F702" s="39">
        <f>SUMIF(RAW_File!D:D,C:C,RAW_File!I:I)</f>
        <v>32990</v>
      </c>
      <c r="G702" s="40">
        <f>SUMIF(RAW_File!D:D,C:C,RAW_File!K:K)</f>
        <v>20000</v>
      </c>
      <c r="H702" s="41">
        <f>SUMIF(RAW_File!D:D,C:C,RAW_File!M:M)</f>
        <v>5000</v>
      </c>
      <c r="I702" s="40">
        <f t="shared" si="12"/>
        <v>15000</v>
      </c>
    </row>
    <row r="703" spans="1:9" hidden="1" x14ac:dyDescent="0.25">
      <c r="A703" s="36" t="s">
        <v>68</v>
      </c>
      <c r="B703" s="36" t="s">
        <v>1650</v>
      </c>
      <c r="C703" s="36" t="s">
        <v>1651</v>
      </c>
      <c r="D703" s="37">
        <f>SUMIF(RAW_File!D:D,C:C,RAW_File!F:F)</f>
        <v>31.2544</v>
      </c>
      <c r="E703" s="38">
        <f>SUMIF(RAW_File!D:D,C:C,RAW_File!G:G)</f>
        <v>0</v>
      </c>
      <c r="F703" s="39">
        <f>SUMIF(RAW_File!D:D,C:C,RAW_File!I:I)</f>
        <v>0</v>
      </c>
      <c r="G703" s="40">
        <f>SUMIF(RAW_File!D:D,C:C,RAW_File!K:K)</f>
        <v>0</v>
      </c>
      <c r="H703" s="41">
        <f>SUMIF(RAW_File!D:D,C:C,RAW_File!M:M)</f>
        <v>0</v>
      </c>
      <c r="I703" s="40">
        <f t="shared" si="12"/>
        <v>0</v>
      </c>
    </row>
    <row r="704" spans="1:9" hidden="1" x14ac:dyDescent="0.25">
      <c r="A704" s="36" t="s">
        <v>68</v>
      </c>
      <c r="B704" s="36" t="s">
        <v>1696</v>
      </c>
      <c r="C704" s="36" t="s">
        <v>1697</v>
      </c>
      <c r="D704" s="37">
        <f>SUMIF(RAW_File!D:D,C:C,RAW_File!F:F)</f>
        <v>99.066199275897091</v>
      </c>
      <c r="E704" s="38">
        <f>SUMIF(RAW_File!D:D,C:C,RAW_File!G:G)</f>
        <v>10720</v>
      </c>
      <c r="F704" s="39">
        <f>SUMIF(RAW_File!D:D,C:C,RAW_File!I:I)</f>
        <v>10720</v>
      </c>
      <c r="G704" s="40">
        <f>SUMIF(RAW_File!D:D,C:C,RAW_File!K:K)</f>
        <v>10000</v>
      </c>
      <c r="H704" s="41">
        <f>SUMIF(RAW_File!D:D,C:C,RAW_File!M:M)</f>
        <v>0</v>
      </c>
      <c r="I704" s="40">
        <f t="shared" si="12"/>
        <v>10000</v>
      </c>
    </row>
    <row r="705" spans="1:9" hidden="1" x14ac:dyDescent="0.25">
      <c r="A705" s="36" t="s">
        <v>68</v>
      </c>
      <c r="B705" s="36" t="s">
        <v>1700</v>
      </c>
      <c r="C705" s="36" t="s">
        <v>1701</v>
      </c>
      <c r="D705" s="37">
        <f>SUMIF(RAW_File!D:D,C:C,RAW_File!F:F)</f>
        <v>421.53677499999998</v>
      </c>
      <c r="E705" s="38">
        <f>SUMIF(RAW_File!D:D,C:C,RAW_File!G:G)</f>
        <v>38970</v>
      </c>
      <c r="F705" s="39">
        <f>SUMIF(RAW_File!D:D,C:C,RAW_File!I:I)</f>
        <v>41770</v>
      </c>
      <c r="G705" s="40">
        <f>SUMIF(RAW_File!D:D,C:C,RAW_File!K:K)</f>
        <v>36000</v>
      </c>
      <c r="H705" s="41">
        <f>SUMIF(RAW_File!D:D,C:C,RAW_File!M:M)</f>
        <v>0</v>
      </c>
      <c r="I705" s="40">
        <f t="shared" si="12"/>
        <v>36000</v>
      </c>
    </row>
    <row r="706" spans="1:9" hidden="1" x14ac:dyDescent="0.25">
      <c r="A706" s="36" t="s">
        <v>68</v>
      </c>
      <c r="B706" s="36" t="s">
        <v>1726</v>
      </c>
      <c r="C706" s="36" t="s">
        <v>1727</v>
      </c>
      <c r="D706" s="37">
        <f>SUMIF(RAW_File!D:D,C:C,RAW_File!F:F)</f>
        <v>57839.215985512659</v>
      </c>
      <c r="E706" s="38">
        <f>SUMIF(RAW_File!D:D,C:C,RAW_File!G:G)</f>
        <v>49940</v>
      </c>
      <c r="F706" s="39">
        <f>SUMIF(RAW_File!D:D,C:C,RAW_File!I:I)</f>
        <v>142420</v>
      </c>
      <c r="G706" s="40">
        <f>SUMIF(RAW_File!D:D,C:C,RAW_File!K:K)</f>
        <v>5000</v>
      </c>
      <c r="H706" s="41">
        <f>SUMIF(RAW_File!D:D,C:C,RAW_File!M:M)</f>
        <v>0</v>
      </c>
      <c r="I706" s="40">
        <f t="shared" si="12"/>
        <v>5000</v>
      </c>
    </row>
    <row r="707" spans="1:9" hidden="1" x14ac:dyDescent="0.25">
      <c r="A707" s="36" t="s">
        <v>68</v>
      </c>
      <c r="B707" s="36" t="s">
        <v>1859</v>
      </c>
      <c r="C707" s="36" t="s">
        <v>1860</v>
      </c>
      <c r="D707" s="37">
        <f>SUMIF(RAW_File!D:D,C:C,RAW_File!F:F)</f>
        <v>50908.019171117172</v>
      </c>
      <c r="E707" s="38">
        <f>SUMIF(RAW_File!D:D,C:C,RAW_File!G:G)</f>
        <v>11605</v>
      </c>
      <c r="F707" s="39">
        <f>SUMIF(RAW_File!D:D,C:C,RAW_File!I:I)</f>
        <v>34655</v>
      </c>
      <c r="G707" s="40">
        <f>SUMIF(RAW_File!D:D,C:C,RAW_File!K:K)</f>
        <v>0</v>
      </c>
      <c r="H707" s="41">
        <f>SUMIF(RAW_File!D:D,C:C,RAW_File!M:M)</f>
        <v>15000</v>
      </c>
      <c r="I707" s="40">
        <f t="shared" ref="I707:I770" si="13">ABS(G707-H707)</f>
        <v>15000</v>
      </c>
    </row>
    <row r="708" spans="1:9" hidden="1" x14ac:dyDescent="0.25">
      <c r="A708" s="36" t="s">
        <v>68</v>
      </c>
      <c r="B708" s="36" t="s">
        <v>1884</v>
      </c>
      <c r="C708" s="36" t="s">
        <v>1885</v>
      </c>
      <c r="D708" s="37">
        <f>SUMIF(RAW_File!D:D,C:C,RAW_File!F:F)</f>
        <v>193.059</v>
      </c>
      <c r="E708" s="38">
        <f>SUMIF(RAW_File!D:D,C:C,RAW_File!G:G)</f>
        <v>11002</v>
      </c>
      <c r="F708" s="39">
        <f>SUMIF(RAW_File!D:D,C:C,RAW_File!I:I)</f>
        <v>13538</v>
      </c>
      <c r="G708" s="40">
        <f>SUMIF(RAW_File!D:D,C:C,RAW_File!K:K)</f>
        <v>10000</v>
      </c>
      <c r="H708" s="41">
        <f>SUMIF(RAW_File!D:D,C:C,RAW_File!M:M)</f>
        <v>0</v>
      </c>
      <c r="I708" s="40">
        <f t="shared" si="13"/>
        <v>10000</v>
      </c>
    </row>
    <row r="709" spans="1:9" hidden="1" x14ac:dyDescent="0.25">
      <c r="A709" s="36" t="s">
        <v>68</v>
      </c>
      <c r="B709" s="36" t="s">
        <v>1988</v>
      </c>
      <c r="C709" s="36" t="s">
        <v>1989</v>
      </c>
      <c r="D709" s="37">
        <f>SUMIF(RAW_File!D:D,C:C,RAW_File!F:F)</f>
        <v>49939.888421901633</v>
      </c>
      <c r="E709" s="38">
        <f>SUMIF(RAW_File!D:D,C:C,RAW_File!G:G)</f>
        <v>46445</v>
      </c>
      <c r="F709" s="39">
        <f>SUMIF(RAW_File!D:D,C:C,RAW_File!I:I)</f>
        <v>84315</v>
      </c>
      <c r="G709" s="40">
        <f>SUMIF(RAW_File!D:D,C:C,RAW_File!K:K)</f>
        <v>30000</v>
      </c>
      <c r="H709" s="41">
        <f>SUMIF(RAW_File!D:D,C:C,RAW_File!M:M)</f>
        <v>0</v>
      </c>
      <c r="I709" s="40">
        <f t="shared" si="13"/>
        <v>30000</v>
      </c>
    </row>
    <row r="710" spans="1:9" hidden="1" x14ac:dyDescent="0.25">
      <c r="A710" s="36" t="s">
        <v>68</v>
      </c>
      <c r="B710" s="36" t="s">
        <v>2035</v>
      </c>
      <c r="C710" s="36" t="s">
        <v>2036</v>
      </c>
      <c r="D710" s="37">
        <f>SUMIF(RAW_File!D:D,C:C,RAW_File!F:F)</f>
        <v>3360.908001194282</v>
      </c>
      <c r="E710" s="38">
        <f>SUMIF(RAW_File!D:D,C:C,RAW_File!G:G)</f>
        <v>12477</v>
      </c>
      <c r="F710" s="39">
        <f>SUMIF(RAW_File!D:D,C:C,RAW_File!I:I)</f>
        <v>18397</v>
      </c>
      <c r="G710" s="40">
        <f>SUMIF(RAW_File!D:D,C:C,RAW_File!K:K)</f>
        <v>0</v>
      </c>
      <c r="H710" s="41">
        <f>SUMIF(RAW_File!D:D,C:C,RAW_File!M:M)</f>
        <v>10000</v>
      </c>
      <c r="I710" s="40">
        <f t="shared" si="13"/>
        <v>10000</v>
      </c>
    </row>
    <row r="711" spans="1:9" hidden="1" x14ac:dyDescent="0.25">
      <c r="A711" s="36" t="s">
        <v>68</v>
      </c>
      <c r="B711" s="36" t="s">
        <v>2067</v>
      </c>
      <c r="C711" s="36" t="s">
        <v>2068</v>
      </c>
      <c r="D711" s="37">
        <f>SUMIF(RAW_File!D:D,C:C,RAW_File!F:F)</f>
        <v>19802.131439130299</v>
      </c>
      <c r="E711" s="38">
        <f>SUMIF(RAW_File!D:D,C:C,RAW_File!G:G)</f>
        <v>5745</v>
      </c>
      <c r="F711" s="39">
        <f>SUMIF(RAW_File!D:D,C:C,RAW_File!I:I)</f>
        <v>30565</v>
      </c>
      <c r="G711" s="40">
        <f>SUMIF(RAW_File!D:D,C:C,RAW_File!K:K)</f>
        <v>0</v>
      </c>
      <c r="H711" s="41">
        <f>SUMIF(RAW_File!D:D,C:C,RAW_File!M:M)</f>
        <v>19000</v>
      </c>
      <c r="I711" s="40">
        <f t="shared" si="13"/>
        <v>19000</v>
      </c>
    </row>
    <row r="712" spans="1:9" hidden="1" x14ac:dyDescent="0.25">
      <c r="A712" s="36" t="s">
        <v>68</v>
      </c>
      <c r="B712" s="36" t="s">
        <v>2215</v>
      </c>
      <c r="C712" s="36" t="s">
        <v>2216</v>
      </c>
      <c r="D712" s="37">
        <f>SUMIF(RAW_File!D:D,C:C,RAW_File!F:F)</f>
        <v>41464.015800034802</v>
      </c>
      <c r="E712" s="38">
        <f>SUMIF(RAW_File!D:D,C:C,RAW_File!G:G)</f>
        <v>9855</v>
      </c>
      <c r="F712" s="39">
        <f>SUMIF(RAW_File!D:D,C:C,RAW_File!I:I)</f>
        <v>18425</v>
      </c>
      <c r="G712" s="40">
        <f>SUMIF(RAW_File!D:D,C:C,RAW_File!K:K)</f>
        <v>10000</v>
      </c>
      <c r="H712" s="41">
        <f>SUMIF(RAW_File!D:D,C:C,RAW_File!M:M)</f>
        <v>0</v>
      </c>
      <c r="I712" s="40">
        <f t="shared" si="13"/>
        <v>10000</v>
      </c>
    </row>
    <row r="713" spans="1:9" hidden="1" x14ac:dyDescent="0.25">
      <c r="A713" s="36" t="s">
        <v>68</v>
      </c>
      <c r="B713" s="36" t="s">
        <v>2258</v>
      </c>
      <c r="C713" s="36" t="s">
        <v>2259</v>
      </c>
      <c r="D713" s="37">
        <f>SUMIF(RAW_File!D:D,C:C,RAW_File!F:F)</f>
        <v>1355.9852132185461</v>
      </c>
      <c r="E713" s="38">
        <f>SUMIF(RAW_File!D:D,C:C,RAW_File!G:G)</f>
        <v>14495</v>
      </c>
      <c r="F713" s="39">
        <f>SUMIF(RAW_File!D:D,C:C,RAW_File!I:I)</f>
        <v>33110</v>
      </c>
      <c r="G713" s="40">
        <f>SUMIF(RAW_File!D:D,C:C,RAW_File!K:K)</f>
        <v>0</v>
      </c>
      <c r="H713" s="41">
        <f>SUMIF(RAW_File!D:D,C:C,RAW_File!M:M)</f>
        <v>6000</v>
      </c>
      <c r="I713" s="40">
        <f t="shared" si="13"/>
        <v>6000</v>
      </c>
    </row>
    <row r="714" spans="1:9" hidden="1" x14ac:dyDescent="0.25">
      <c r="A714" s="36" t="s">
        <v>68</v>
      </c>
      <c r="B714" s="36" t="s">
        <v>2274</v>
      </c>
      <c r="C714" s="36" t="s">
        <v>2275</v>
      </c>
      <c r="D714" s="37">
        <f>SUMIF(RAW_File!D:D,C:C,RAW_File!F:F)</f>
        <v>0.138908699</v>
      </c>
      <c r="E714" s="38">
        <f>SUMIF(RAW_File!D:D,C:C,RAW_File!G:G)</f>
        <v>0</v>
      </c>
      <c r="F714" s="39">
        <f>SUMIF(RAW_File!D:D,C:C,RAW_File!I:I)</f>
        <v>0</v>
      </c>
      <c r="G714" s="40">
        <f>SUMIF(RAW_File!D:D,C:C,RAW_File!K:K)</f>
        <v>0</v>
      </c>
      <c r="H714" s="41">
        <f>SUMIF(RAW_File!D:D,C:C,RAW_File!M:M)</f>
        <v>0</v>
      </c>
      <c r="I714" s="40">
        <f t="shared" si="13"/>
        <v>0</v>
      </c>
    </row>
    <row r="715" spans="1:9" hidden="1" x14ac:dyDescent="0.25">
      <c r="A715" s="36" t="s">
        <v>68</v>
      </c>
      <c r="B715" s="36" t="s">
        <v>2335</v>
      </c>
      <c r="C715" s="36" t="s">
        <v>2336</v>
      </c>
      <c r="D715" s="37">
        <f>SUMIF(RAW_File!D:D,C:C,RAW_File!F:F)</f>
        <v>35402.361258788311</v>
      </c>
      <c r="E715" s="38">
        <f>SUMIF(RAW_File!D:D,C:C,RAW_File!G:G)</f>
        <v>19205</v>
      </c>
      <c r="F715" s="39">
        <f>SUMIF(RAW_File!D:D,C:C,RAW_File!I:I)</f>
        <v>33815</v>
      </c>
      <c r="G715" s="40">
        <f>SUMIF(RAW_File!D:D,C:C,RAW_File!K:K)</f>
        <v>10000</v>
      </c>
      <c r="H715" s="41">
        <f>SUMIF(RAW_File!D:D,C:C,RAW_File!M:M)</f>
        <v>0</v>
      </c>
      <c r="I715" s="40">
        <f t="shared" si="13"/>
        <v>10000</v>
      </c>
    </row>
    <row r="716" spans="1:9" hidden="1" x14ac:dyDescent="0.25">
      <c r="A716" s="36" t="s">
        <v>68</v>
      </c>
      <c r="B716" s="36" t="s">
        <v>1247</v>
      </c>
      <c r="C716" s="36" t="s">
        <v>2387</v>
      </c>
      <c r="D716" s="37">
        <f>SUMIF(RAW_File!D:D,C:C,RAW_File!F:F)</f>
        <v>2.6322999999999999</v>
      </c>
      <c r="E716" s="38">
        <f>SUMIF(RAW_File!D:D,C:C,RAW_File!G:G)</f>
        <v>0</v>
      </c>
      <c r="F716" s="39">
        <f>SUMIF(RAW_File!D:D,C:C,RAW_File!I:I)</f>
        <v>0</v>
      </c>
      <c r="G716" s="40">
        <f>SUMIF(RAW_File!D:D,C:C,RAW_File!K:K)</f>
        <v>0</v>
      </c>
      <c r="H716" s="41">
        <f>SUMIF(RAW_File!D:D,C:C,RAW_File!M:M)</f>
        <v>0</v>
      </c>
      <c r="I716" s="40">
        <f t="shared" si="13"/>
        <v>0</v>
      </c>
    </row>
    <row r="717" spans="1:9" hidden="1" x14ac:dyDescent="0.25">
      <c r="A717" s="36" t="s">
        <v>68</v>
      </c>
      <c r="B717" s="36" t="s">
        <v>2485</v>
      </c>
      <c r="C717" s="36" t="s">
        <v>2486</v>
      </c>
      <c r="D717" s="37">
        <f>SUMIF(RAW_File!D:D,C:C,RAW_File!F:F)</f>
        <v>6043.8644000000004</v>
      </c>
      <c r="E717" s="38">
        <f>SUMIF(RAW_File!D:D,C:C,RAW_File!G:G)</f>
        <v>2945</v>
      </c>
      <c r="F717" s="39">
        <f>SUMIF(RAW_File!D:D,C:C,RAW_File!I:I)</f>
        <v>6505</v>
      </c>
      <c r="G717" s="40">
        <f>SUMIF(RAW_File!D:D,C:C,RAW_File!K:K)</f>
        <v>5000</v>
      </c>
      <c r="H717" s="41">
        <f>SUMIF(RAW_File!D:D,C:C,RAW_File!M:M)</f>
        <v>0</v>
      </c>
      <c r="I717" s="40">
        <f t="shared" si="13"/>
        <v>5000</v>
      </c>
    </row>
    <row r="718" spans="1:9" hidden="1" x14ac:dyDescent="0.25">
      <c r="A718" s="36" t="s">
        <v>68</v>
      </c>
      <c r="B718" s="36" t="s">
        <v>2571</v>
      </c>
      <c r="C718" s="36" t="s">
        <v>2572</v>
      </c>
      <c r="D718" s="37">
        <f>SUMIF(RAW_File!D:D,C:C,RAW_File!F:F)</f>
        <v>3028.5204007209659</v>
      </c>
      <c r="E718" s="38">
        <f>SUMIF(RAW_File!D:D,C:C,RAW_File!G:G)</f>
        <v>3678</v>
      </c>
      <c r="F718" s="39">
        <f>SUMIF(RAW_File!D:D,C:C,RAW_File!I:I)</f>
        <v>5288</v>
      </c>
      <c r="G718" s="40">
        <f>SUMIF(RAW_File!D:D,C:C,RAW_File!K:K)</f>
        <v>5000</v>
      </c>
      <c r="H718" s="41">
        <f>SUMIF(RAW_File!D:D,C:C,RAW_File!M:M)</f>
        <v>0</v>
      </c>
      <c r="I718" s="40">
        <f t="shared" si="13"/>
        <v>5000</v>
      </c>
    </row>
    <row r="719" spans="1:9" hidden="1" x14ac:dyDescent="0.25">
      <c r="A719" s="36" t="s">
        <v>68</v>
      </c>
      <c r="B719" s="36" t="s">
        <v>2617</v>
      </c>
      <c r="C719" s="36" t="s">
        <v>2618</v>
      </c>
      <c r="D719" s="37">
        <f>SUMIF(RAW_File!D:D,C:C,RAW_File!F:F)</f>
        <v>191.3582695652</v>
      </c>
      <c r="E719" s="38">
        <f>SUMIF(RAW_File!D:D,C:C,RAW_File!G:G)</f>
        <v>4090</v>
      </c>
      <c r="F719" s="39">
        <f>SUMIF(RAW_File!D:D,C:C,RAW_File!I:I)</f>
        <v>8090</v>
      </c>
      <c r="G719" s="40">
        <f>SUMIF(RAW_File!D:D,C:C,RAW_File!K:K)</f>
        <v>5000</v>
      </c>
      <c r="H719" s="41">
        <f>SUMIF(RAW_File!D:D,C:C,RAW_File!M:M)</f>
        <v>10000</v>
      </c>
      <c r="I719" s="40">
        <f t="shared" si="13"/>
        <v>5000</v>
      </c>
    </row>
    <row r="720" spans="1:9" hidden="1" x14ac:dyDescent="0.25">
      <c r="A720" s="36" t="s">
        <v>68</v>
      </c>
      <c r="B720" s="36" t="s">
        <v>2650</v>
      </c>
      <c r="C720" s="36" t="s">
        <v>2651</v>
      </c>
      <c r="D720" s="37">
        <f>SUMIF(RAW_File!D:D,C:C,RAW_File!F:F)</f>
        <v>191.95400000000001</v>
      </c>
      <c r="E720" s="38">
        <f>SUMIF(RAW_File!D:D,C:C,RAW_File!G:G)</f>
        <v>500</v>
      </c>
      <c r="F720" s="39">
        <f>SUMIF(RAW_File!D:D,C:C,RAW_File!I:I)</f>
        <v>2300</v>
      </c>
      <c r="G720" s="40">
        <f>SUMIF(RAW_File!D:D,C:C,RAW_File!K:K)</f>
        <v>0</v>
      </c>
      <c r="H720" s="41">
        <f>SUMIF(RAW_File!D:D,C:C,RAW_File!M:M)</f>
        <v>0</v>
      </c>
      <c r="I720" s="40">
        <f t="shared" si="13"/>
        <v>0</v>
      </c>
    </row>
    <row r="721" spans="1:9" hidden="1" x14ac:dyDescent="0.25">
      <c r="A721" s="36" t="s">
        <v>68</v>
      </c>
      <c r="B721" s="36" t="s">
        <v>600</v>
      </c>
      <c r="C721" s="36" t="s">
        <v>2699</v>
      </c>
      <c r="D721" s="37">
        <f>SUMIF(RAW_File!D:D,C:C,RAW_File!F:F)</f>
        <v>21439.2981</v>
      </c>
      <c r="E721" s="38">
        <f>SUMIF(RAW_File!D:D,C:C,RAW_File!G:G)</f>
        <v>1600</v>
      </c>
      <c r="F721" s="39">
        <f>SUMIF(RAW_File!D:D,C:C,RAW_File!I:I)</f>
        <v>18750</v>
      </c>
      <c r="G721" s="40">
        <f>SUMIF(RAW_File!D:D,C:C,RAW_File!K:K)</f>
        <v>5000</v>
      </c>
      <c r="H721" s="41">
        <f>SUMIF(RAW_File!D:D,C:C,RAW_File!M:M)</f>
        <v>0</v>
      </c>
      <c r="I721" s="40">
        <f t="shared" si="13"/>
        <v>5000</v>
      </c>
    </row>
    <row r="722" spans="1:9" hidden="1" x14ac:dyDescent="0.25">
      <c r="A722" s="36" t="s">
        <v>68</v>
      </c>
      <c r="B722" s="36" t="s">
        <v>2709</v>
      </c>
      <c r="C722" s="36" t="s">
        <v>2710</v>
      </c>
      <c r="D722" s="37">
        <f>SUMIF(RAW_File!D:D,C:C,RAW_File!F:F)</f>
        <v>15752.80557074725</v>
      </c>
      <c r="E722" s="38">
        <f>SUMIF(RAW_File!D:D,C:C,RAW_File!G:G)</f>
        <v>13390</v>
      </c>
      <c r="F722" s="39">
        <f>SUMIF(RAW_File!D:D,C:C,RAW_File!I:I)</f>
        <v>36055</v>
      </c>
      <c r="G722" s="40">
        <f>SUMIF(RAW_File!D:D,C:C,RAW_File!K:K)</f>
        <v>7000</v>
      </c>
      <c r="H722" s="41">
        <f>SUMIF(RAW_File!D:D,C:C,RAW_File!M:M)</f>
        <v>50000</v>
      </c>
      <c r="I722" s="40">
        <f t="shared" si="13"/>
        <v>43000</v>
      </c>
    </row>
    <row r="723" spans="1:9" hidden="1" x14ac:dyDescent="0.25">
      <c r="A723" s="36" t="s">
        <v>68</v>
      </c>
      <c r="B723" s="36" t="s">
        <v>2934</v>
      </c>
      <c r="C723" s="36" t="s">
        <v>2935</v>
      </c>
      <c r="D723" s="37">
        <f>SUMIF(RAW_File!D:D,C:C,RAW_File!F:F)</f>
        <v>6326.5443332938012</v>
      </c>
      <c r="E723" s="38">
        <f>SUMIF(RAW_File!D:D,C:C,RAW_File!G:G)</f>
        <v>4400</v>
      </c>
      <c r="F723" s="39">
        <f>SUMIF(RAW_File!D:D,C:C,RAW_File!I:I)</f>
        <v>45345</v>
      </c>
      <c r="G723" s="40">
        <f>SUMIF(RAW_File!D:D,C:C,RAW_File!K:K)</f>
        <v>0</v>
      </c>
      <c r="H723" s="41">
        <f>SUMIF(RAW_File!D:D,C:C,RAW_File!M:M)</f>
        <v>35000</v>
      </c>
      <c r="I723" s="40">
        <f t="shared" si="13"/>
        <v>35000</v>
      </c>
    </row>
    <row r="724" spans="1:9" hidden="1" x14ac:dyDescent="0.25">
      <c r="A724" s="36" t="s">
        <v>68</v>
      </c>
      <c r="B724" s="36" t="s">
        <v>2975</v>
      </c>
      <c r="C724" s="36" t="s">
        <v>2976</v>
      </c>
      <c r="D724" s="37">
        <f>SUMIF(RAW_File!D:D,C:C,RAW_File!F:F)</f>
        <v>9890.5365999999995</v>
      </c>
      <c r="E724" s="38">
        <f>SUMIF(RAW_File!D:D,C:C,RAW_File!G:G)</f>
        <v>1250</v>
      </c>
      <c r="F724" s="39">
        <f>SUMIF(RAW_File!D:D,C:C,RAW_File!I:I)</f>
        <v>3650</v>
      </c>
      <c r="G724" s="40">
        <f>SUMIF(RAW_File!D:D,C:C,RAW_File!K:K)</f>
        <v>5000</v>
      </c>
      <c r="H724" s="41">
        <f>SUMIF(RAW_File!D:D,C:C,RAW_File!M:M)</f>
        <v>0</v>
      </c>
      <c r="I724" s="40">
        <f t="shared" si="13"/>
        <v>5000</v>
      </c>
    </row>
    <row r="725" spans="1:9" hidden="1" x14ac:dyDescent="0.25">
      <c r="A725" s="36" t="s">
        <v>68</v>
      </c>
      <c r="B725" s="36" t="s">
        <v>3012</v>
      </c>
      <c r="C725" s="36" t="s">
        <v>3013</v>
      </c>
      <c r="D725" s="37">
        <f>SUMIF(RAW_File!D:D,C:C,RAW_File!F:F)</f>
        <v>834.16716202686291</v>
      </c>
      <c r="E725" s="38">
        <f>SUMIF(RAW_File!D:D,C:C,RAW_File!G:G)</f>
        <v>1750</v>
      </c>
      <c r="F725" s="39">
        <f>SUMIF(RAW_File!D:D,C:C,RAW_File!I:I)</f>
        <v>5635</v>
      </c>
      <c r="G725" s="40">
        <f>SUMIF(RAW_File!D:D,C:C,RAW_File!K:K)</f>
        <v>0</v>
      </c>
      <c r="H725" s="41">
        <f>SUMIF(RAW_File!D:D,C:C,RAW_File!M:M)</f>
        <v>5000</v>
      </c>
      <c r="I725" s="40">
        <f t="shared" si="13"/>
        <v>5000</v>
      </c>
    </row>
    <row r="726" spans="1:9" hidden="1" x14ac:dyDescent="0.25">
      <c r="A726" s="36" t="s">
        <v>68</v>
      </c>
      <c r="B726" s="36" t="s">
        <v>3295</v>
      </c>
      <c r="C726" s="36" t="s">
        <v>3296</v>
      </c>
      <c r="D726" s="37">
        <f>SUMIF(RAW_File!D:D,C:C,RAW_File!F:F)</f>
        <v>10652.3099</v>
      </c>
      <c r="E726" s="38">
        <f>SUMIF(RAW_File!D:D,C:C,RAW_File!G:G)</f>
        <v>0</v>
      </c>
      <c r="F726" s="39">
        <f>SUMIF(RAW_File!D:D,C:C,RAW_File!I:I)</f>
        <v>20400</v>
      </c>
      <c r="G726" s="40">
        <f>SUMIF(RAW_File!D:D,C:C,RAW_File!K:K)</f>
        <v>0</v>
      </c>
      <c r="H726" s="41">
        <f>SUMIF(RAW_File!D:D,C:C,RAW_File!M:M)</f>
        <v>15000</v>
      </c>
      <c r="I726" s="40">
        <f t="shared" si="13"/>
        <v>15000</v>
      </c>
    </row>
    <row r="727" spans="1:9" hidden="1" x14ac:dyDescent="0.25">
      <c r="A727" s="36" t="s">
        <v>68</v>
      </c>
      <c r="B727" s="36" t="s">
        <v>3439</v>
      </c>
      <c r="C727" s="36" t="s">
        <v>3440</v>
      </c>
      <c r="D727" s="37">
        <f>SUMIF(RAW_File!D:D,C:C,RAW_File!F:F)</f>
        <v>11748.73232191516</v>
      </c>
      <c r="E727" s="38">
        <f>SUMIF(RAW_File!D:D,C:C,RAW_File!G:G)</f>
        <v>3440</v>
      </c>
      <c r="F727" s="39">
        <f>SUMIF(RAW_File!D:D,C:C,RAW_File!I:I)</f>
        <v>6290</v>
      </c>
      <c r="G727" s="40">
        <f>SUMIF(RAW_File!D:D,C:C,RAW_File!K:K)</f>
        <v>6000</v>
      </c>
      <c r="H727" s="41">
        <f>SUMIF(RAW_File!D:D,C:C,RAW_File!M:M)</f>
        <v>0</v>
      </c>
      <c r="I727" s="40">
        <f t="shared" si="13"/>
        <v>6000</v>
      </c>
    </row>
    <row r="728" spans="1:9" hidden="1" x14ac:dyDescent="0.25">
      <c r="A728" s="36" t="s">
        <v>68</v>
      </c>
      <c r="B728" s="36" t="s">
        <v>3490</v>
      </c>
      <c r="C728" s="36" t="s">
        <v>3491</v>
      </c>
      <c r="D728" s="37">
        <f>SUMIF(RAW_File!D:D,C:C,RAW_File!F:F)</f>
        <v>14524.796200000001</v>
      </c>
      <c r="E728" s="38">
        <f>SUMIF(RAW_File!D:D,C:C,RAW_File!G:G)</f>
        <v>0</v>
      </c>
      <c r="F728" s="39">
        <f>SUMIF(RAW_File!D:D,C:C,RAW_File!I:I)</f>
        <v>0</v>
      </c>
      <c r="G728" s="40">
        <f>SUMIF(RAW_File!D:D,C:C,RAW_File!K:K)</f>
        <v>6000</v>
      </c>
      <c r="H728" s="41">
        <f>SUMIF(RAW_File!D:D,C:C,RAW_File!M:M)</f>
        <v>0</v>
      </c>
      <c r="I728" s="40">
        <f t="shared" si="13"/>
        <v>6000</v>
      </c>
    </row>
    <row r="729" spans="1:9" hidden="1" x14ac:dyDescent="0.25">
      <c r="A729" s="36" t="s">
        <v>74</v>
      </c>
      <c r="B729" s="36" t="s">
        <v>246</v>
      </c>
      <c r="C729" s="36" t="s">
        <v>247</v>
      </c>
      <c r="D729" s="37">
        <f>SUMIF(RAW_File!D:D,C:C,RAW_File!F:F)</f>
        <v>1.4843389796740221</v>
      </c>
      <c r="E729" s="38">
        <f>SUMIF(RAW_File!D:D,C:C,RAW_File!G:G)</f>
        <v>0</v>
      </c>
      <c r="F729" s="39">
        <f>SUMIF(RAW_File!D:D,C:C,RAW_File!I:I)</f>
        <v>0</v>
      </c>
      <c r="G729" s="40">
        <f>SUMIF(RAW_File!D:D,C:C,RAW_File!K:K)</f>
        <v>0</v>
      </c>
      <c r="H729" s="41">
        <f>SUMIF(RAW_File!D:D,C:C,RAW_File!M:M)</f>
        <v>0</v>
      </c>
      <c r="I729" s="40">
        <f t="shared" si="13"/>
        <v>0</v>
      </c>
    </row>
    <row r="730" spans="1:9" hidden="1" x14ac:dyDescent="0.25">
      <c r="A730" s="36" t="s">
        <v>74</v>
      </c>
      <c r="B730" s="36" t="s">
        <v>316</v>
      </c>
      <c r="C730" s="36" t="s">
        <v>317</v>
      </c>
      <c r="D730" s="37">
        <f>SUMIF(RAW_File!D:D,C:C,RAW_File!F:F)</f>
        <v>16872.45185801269</v>
      </c>
      <c r="E730" s="38">
        <f>SUMIF(RAW_File!D:D,C:C,RAW_File!G:G)</f>
        <v>0</v>
      </c>
      <c r="F730" s="39">
        <f>SUMIF(RAW_File!D:D,C:C,RAW_File!I:I)</f>
        <v>0</v>
      </c>
      <c r="G730" s="40">
        <f>SUMIF(RAW_File!D:D,C:C,RAW_File!K:K)</f>
        <v>6000</v>
      </c>
      <c r="H730" s="41">
        <f>SUMIF(RAW_File!D:D,C:C,RAW_File!M:M)</f>
        <v>0</v>
      </c>
      <c r="I730" s="40">
        <f t="shared" si="13"/>
        <v>6000</v>
      </c>
    </row>
    <row r="731" spans="1:9" hidden="1" x14ac:dyDescent="0.25">
      <c r="A731" s="36" t="s">
        <v>74</v>
      </c>
      <c r="B731" s="36" t="s">
        <v>443</v>
      </c>
      <c r="C731" s="36" t="s">
        <v>444</v>
      </c>
      <c r="D731" s="37">
        <f>SUMIF(RAW_File!D:D,C:C,RAW_File!F:F)</f>
        <v>17.582699999999999</v>
      </c>
      <c r="E731" s="38">
        <f>SUMIF(RAW_File!D:D,C:C,RAW_File!G:G)</f>
        <v>0</v>
      </c>
      <c r="F731" s="39">
        <f>SUMIF(RAW_File!D:D,C:C,RAW_File!I:I)</f>
        <v>0</v>
      </c>
      <c r="G731" s="40">
        <f>SUMIF(RAW_File!D:D,C:C,RAW_File!K:K)</f>
        <v>0</v>
      </c>
      <c r="H731" s="41">
        <f>SUMIF(RAW_File!D:D,C:C,RAW_File!M:M)</f>
        <v>0</v>
      </c>
      <c r="I731" s="40">
        <f t="shared" si="13"/>
        <v>0</v>
      </c>
    </row>
    <row r="732" spans="1:9" hidden="1" x14ac:dyDescent="0.25">
      <c r="A732" s="36" t="s">
        <v>74</v>
      </c>
      <c r="B732" s="36" t="s">
        <v>547</v>
      </c>
      <c r="C732" s="36" t="s">
        <v>548</v>
      </c>
      <c r="D732" s="37">
        <f>SUMIF(RAW_File!D:D,C:C,RAW_File!F:F)</f>
        <v>20130.559500000902</v>
      </c>
      <c r="E732" s="38">
        <f>SUMIF(RAW_File!D:D,C:C,RAW_File!G:G)</f>
        <v>20495</v>
      </c>
      <c r="F732" s="39">
        <f>SUMIF(RAW_File!D:D,C:C,RAW_File!I:I)</f>
        <v>40425</v>
      </c>
      <c r="G732" s="40">
        <f>SUMIF(RAW_File!D:D,C:C,RAW_File!K:K)</f>
        <v>0</v>
      </c>
      <c r="H732" s="41">
        <f>SUMIF(RAW_File!D:D,C:C,RAW_File!M:M)</f>
        <v>10000</v>
      </c>
      <c r="I732" s="40">
        <f t="shared" si="13"/>
        <v>10000</v>
      </c>
    </row>
    <row r="733" spans="1:9" hidden="1" x14ac:dyDescent="0.25">
      <c r="A733" s="36" t="s">
        <v>74</v>
      </c>
      <c r="B733" s="36" t="s">
        <v>555</v>
      </c>
      <c r="C733" s="36" t="s">
        <v>556</v>
      </c>
      <c r="D733" s="37">
        <f>SUMIF(RAW_File!D:D,C:C,RAW_File!F:F)</f>
        <v>1951.827063854862</v>
      </c>
      <c r="E733" s="38">
        <f>SUMIF(RAW_File!D:D,C:C,RAW_File!G:G)</f>
        <v>3974</v>
      </c>
      <c r="F733" s="39">
        <f>SUMIF(RAW_File!D:D,C:C,RAW_File!I:I)</f>
        <v>34367</v>
      </c>
      <c r="G733" s="40">
        <f>SUMIF(RAW_File!D:D,C:C,RAW_File!K:K)</f>
        <v>0</v>
      </c>
      <c r="H733" s="41">
        <f>SUMIF(RAW_File!D:D,C:C,RAW_File!M:M)</f>
        <v>44000</v>
      </c>
      <c r="I733" s="40">
        <f t="shared" si="13"/>
        <v>44000</v>
      </c>
    </row>
    <row r="734" spans="1:9" hidden="1" x14ac:dyDescent="0.25">
      <c r="A734" s="36" t="s">
        <v>74</v>
      </c>
      <c r="B734" s="36" t="s">
        <v>653</v>
      </c>
      <c r="C734" s="36" t="s">
        <v>654</v>
      </c>
      <c r="D734" s="37">
        <f>SUMIF(RAW_File!D:D,C:C,RAW_File!F:F)</f>
        <v>231.00227688877951</v>
      </c>
      <c r="E734" s="38">
        <f>SUMIF(RAW_File!D:D,C:C,RAW_File!G:G)</f>
        <v>4155</v>
      </c>
      <c r="F734" s="39">
        <f>SUMIF(RAW_File!D:D,C:C,RAW_File!I:I)</f>
        <v>4155</v>
      </c>
      <c r="G734" s="40">
        <f>SUMIF(RAW_File!D:D,C:C,RAW_File!K:K)</f>
        <v>0</v>
      </c>
      <c r="H734" s="41">
        <f>SUMIF(RAW_File!D:D,C:C,RAW_File!M:M)</f>
        <v>0</v>
      </c>
      <c r="I734" s="40">
        <f t="shared" si="13"/>
        <v>0</v>
      </c>
    </row>
    <row r="735" spans="1:9" hidden="1" x14ac:dyDescent="0.25">
      <c r="A735" s="36" t="s">
        <v>74</v>
      </c>
      <c r="B735" s="36" t="s">
        <v>667</v>
      </c>
      <c r="C735" s="36" t="s">
        <v>668</v>
      </c>
      <c r="D735" s="37">
        <f>SUMIF(RAW_File!D:D,C:C,RAW_File!F:F)</f>
        <v>8238.2140500000005</v>
      </c>
      <c r="E735" s="38">
        <f>SUMIF(RAW_File!D:D,C:C,RAW_File!G:G)</f>
        <v>3000</v>
      </c>
      <c r="F735" s="39">
        <f>SUMIF(RAW_File!D:D,C:C,RAW_File!I:I)</f>
        <v>6850</v>
      </c>
      <c r="G735" s="40">
        <f>SUMIF(RAW_File!D:D,C:C,RAW_File!K:K)</f>
        <v>6000</v>
      </c>
      <c r="H735" s="41">
        <f>SUMIF(RAW_File!D:D,C:C,RAW_File!M:M)</f>
        <v>0</v>
      </c>
      <c r="I735" s="40">
        <f t="shared" si="13"/>
        <v>6000</v>
      </c>
    </row>
    <row r="736" spans="1:9" hidden="1" x14ac:dyDescent="0.25">
      <c r="A736" s="36" t="s">
        <v>74</v>
      </c>
      <c r="B736" s="36" t="s">
        <v>711</v>
      </c>
      <c r="C736" s="36" t="s">
        <v>712</v>
      </c>
      <c r="D736" s="37">
        <f>SUMIF(RAW_File!D:D,C:C,RAW_File!F:F)</f>
        <v>983.519209887442</v>
      </c>
      <c r="E736" s="38">
        <f>SUMIF(RAW_File!D:D,C:C,RAW_File!G:G)</f>
        <v>4643</v>
      </c>
      <c r="F736" s="39">
        <f>SUMIF(RAW_File!D:D,C:C,RAW_File!I:I)</f>
        <v>4843</v>
      </c>
      <c r="G736" s="40">
        <f>SUMIF(RAW_File!D:D,C:C,RAW_File!K:K)</f>
        <v>5000</v>
      </c>
      <c r="H736" s="41">
        <f>SUMIF(RAW_File!D:D,C:C,RAW_File!M:M)</f>
        <v>0</v>
      </c>
      <c r="I736" s="40">
        <f t="shared" si="13"/>
        <v>5000</v>
      </c>
    </row>
    <row r="737" spans="1:9" hidden="1" x14ac:dyDescent="0.25">
      <c r="A737" s="36" t="s">
        <v>74</v>
      </c>
      <c r="B737" s="36" t="s">
        <v>860</v>
      </c>
      <c r="C737" s="36" t="s">
        <v>861</v>
      </c>
      <c r="D737" s="37">
        <f>SUMIF(RAW_File!D:D,C:C,RAW_File!F:F)</f>
        <v>4526.7488012696067</v>
      </c>
      <c r="E737" s="38">
        <f>SUMIF(RAW_File!D:D,C:C,RAW_File!G:G)</f>
        <v>2520</v>
      </c>
      <c r="F737" s="39">
        <f>SUMIF(RAW_File!D:D,C:C,RAW_File!I:I)</f>
        <v>5220</v>
      </c>
      <c r="G737" s="40">
        <f>SUMIF(RAW_File!D:D,C:C,RAW_File!K:K)</f>
        <v>5000</v>
      </c>
      <c r="H737" s="41">
        <f>SUMIF(RAW_File!D:D,C:C,RAW_File!M:M)</f>
        <v>0</v>
      </c>
      <c r="I737" s="40">
        <f t="shared" si="13"/>
        <v>5000</v>
      </c>
    </row>
    <row r="738" spans="1:9" hidden="1" x14ac:dyDescent="0.25">
      <c r="A738" s="36" t="s">
        <v>74</v>
      </c>
      <c r="B738" s="36" t="s">
        <v>895</v>
      </c>
      <c r="C738" s="36" t="s">
        <v>896</v>
      </c>
      <c r="D738" s="37">
        <f>SUMIF(RAW_File!D:D,C:C,RAW_File!F:F)</f>
        <v>4746.5135</v>
      </c>
      <c r="E738" s="38">
        <f>SUMIF(RAW_File!D:D,C:C,RAW_File!G:G)</f>
        <v>11900</v>
      </c>
      <c r="F738" s="39">
        <f>SUMIF(RAW_File!D:D,C:C,RAW_File!I:I)</f>
        <v>19800</v>
      </c>
      <c r="G738" s="40">
        <f>SUMIF(RAW_File!D:D,C:C,RAW_File!K:K)</f>
        <v>0</v>
      </c>
      <c r="H738" s="41">
        <f>SUMIF(RAW_File!D:D,C:C,RAW_File!M:M)</f>
        <v>10000</v>
      </c>
      <c r="I738" s="40">
        <f t="shared" si="13"/>
        <v>10000</v>
      </c>
    </row>
    <row r="739" spans="1:9" hidden="1" x14ac:dyDescent="0.25">
      <c r="A739" s="36" t="s">
        <v>74</v>
      </c>
      <c r="B739" s="36" t="s">
        <v>929</v>
      </c>
      <c r="C739" s="36" t="s">
        <v>930</v>
      </c>
      <c r="D739" s="37">
        <f>SUMIF(RAW_File!D:D,C:C,RAW_File!F:F)</f>
        <v>3761.4074999999998</v>
      </c>
      <c r="E739" s="38">
        <f>SUMIF(RAW_File!D:D,C:C,RAW_File!G:G)</f>
        <v>7540</v>
      </c>
      <c r="F739" s="39">
        <f>SUMIF(RAW_File!D:D,C:C,RAW_File!I:I)</f>
        <v>11340</v>
      </c>
      <c r="G739" s="40">
        <f>SUMIF(RAW_File!D:D,C:C,RAW_File!K:K)</f>
        <v>15000</v>
      </c>
      <c r="H739" s="41">
        <f>SUMIF(RAW_File!D:D,C:C,RAW_File!M:M)</f>
        <v>10000</v>
      </c>
      <c r="I739" s="40">
        <f t="shared" si="13"/>
        <v>5000</v>
      </c>
    </row>
    <row r="740" spans="1:9" hidden="1" x14ac:dyDescent="0.25">
      <c r="A740" s="36" t="s">
        <v>74</v>
      </c>
      <c r="B740" s="36" t="s">
        <v>1007</v>
      </c>
      <c r="C740" s="36" t="s">
        <v>1008</v>
      </c>
      <c r="D740" s="37">
        <f>SUMIF(RAW_File!D:D,C:C,RAW_File!F:F)</f>
        <v>7776.1157102557327</v>
      </c>
      <c r="E740" s="38">
        <f>SUMIF(RAW_File!D:D,C:C,RAW_File!G:G)</f>
        <v>1950</v>
      </c>
      <c r="F740" s="39">
        <f>SUMIF(RAW_File!D:D,C:C,RAW_File!I:I)</f>
        <v>6340</v>
      </c>
      <c r="G740" s="40">
        <f>SUMIF(RAW_File!D:D,C:C,RAW_File!K:K)</f>
        <v>0</v>
      </c>
      <c r="H740" s="41">
        <f>SUMIF(RAW_File!D:D,C:C,RAW_File!M:M)</f>
        <v>5000</v>
      </c>
      <c r="I740" s="40">
        <f t="shared" si="13"/>
        <v>5000</v>
      </c>
    </row>
    <row r="741" spans="1:9" hidden="1" x14ac:dyDescent="0.25">
      <c r="A741" s="36" t="s">
        <v>74</v>
      </c>
      <c r="B741" s="36" t="s">
        <v>1039</v>
      </c>
      <c r="C741" s="36" t="s">
        <v>1040</v>
      </c>
      <c r="D741" s="37">
        <f>SUMIF(RAW_File!D:D,C:C,RAW_File!F:F)</f>
        <v>7316.8265662996801</v>
      </c>
      <c r="E741" s="38">
        <f>SUMIF(RAW_File!D:D,C:C,RAW_File!G:G)</f>
        <v>120</v>
      </c>
      <c r="F741" s="39">
        <f>SUMIF(RAW_File!D:D,C:C,RAW_File!I:I)</f>
        <v>4820</v>
      </c>
      <c r="G741" s="40">
        <f>SUMIF(RAW_File!D:D,C:C,RAW_File!K:K)</f>
        <v>0</v>
      </c>
      <c r="H741" s="41">
        <f>SUMIF(RAW_File!D:D,C:C,RAW_File!M:M)</f>
        <v>5000</v>
      </c>
      <c r="I741" s="40">
        <f t="shared" si="13"/>
        <v>5000</v>
      </c>
    </row>
    <row r="742" spans="1:9" hidden="1" x14ac:dyDescent="0.25">
      <c r="A742" s="36" t="s">
        <v>74</v>
      </c>
      <c r="B742" s="36" t="s">
        <v>1137</v>
      </c>
      <c r="C742" s="36" t="s">
        <v>1138</v>
      </c>
      <c r="D742" s="37">
        <f>SUMIF(RAW_File!D:D,C:C,RAW_File!F:F)</f>
        <v>6677.6331</v>
      </c>
      <c r="E742" s="38">
        <f>SUMIF(RAW_File!D:D,C:C,RAW_File!G:G)</f>
        <v>100560</v>
      </c>
      <c r="F742" s="39">
        <f>SUMIF(RAW_File!D:D,C:C,RAW_File!I:I)</f>
        <v>107150</v>
      </c>
      <c r="G742" s="40">
        <f>SUMIF(RAW_File!D:D,C:C,RAW_File!K:K)</f>
        <v>78000</v>
      </c>
      <c r="H742" s="41">
        <f>SUMIF(RAW_File!D:D,C:C,RAW_File!M:M)</f>
        <v>0</v>
      </c>
      <c r="I742" s="40">
        <f t="shared" si="13"/>
        <v>78000</v>
      </c>
    </row>
    <row r="743" spans="1:9" hidden="1" x14ac:dyDescent="0.25">
      <c r="A743" s="36" t="s">
        <v>74</v>
      </c>
      <c r="B743" s="36" t="s">
        <v>1197</v>
      </c>
      <c r="C743" s="36" t="s">
        <v>1198</v>
      </c>
      <c r="D743" s="37">
        <f>SUMIF(RAW_File!D:D,C:C,RAW_File!F:F)</f>
        <v>752.54205000000002</v>
      </c>
      <c r="E743" s="38">
        <f>SUMIF(RAW_File!D:D,C:C,RAW_File!G:G)</f>
        <v>0</v>
      </c>
      <c r="F743" s="39">
        <f>SUMIF(RAW_File!D:D,C:C,RAW_File!I:I)</f>
        <v>4150</v>
      </c>
      <c r="G743" s="40">
        <f>SUMIF(RAW_File!D:D,C:C,RAW_File!K:K)</f>
        <v>0</v>
      </c>
      <c r="H743" s="41">
        <f>SUMIF(RAW_File!D:D,C:C,RAW_File!M:M)</f>
        <v>10000</v>
      </c>
      <c r="I743" s="40">
        <f t="shared" si="13"/>
        <v>10000</v>
      </c>
    </row>
    <row r="744" spans="1:9" hidden="1" x14ac:dyDescent="0.25">
      <c r="A744" s="36" t="s">
        <v>74</v>
      </c>
      <c r="B744" s="36" t="s">
        <v>1224</v>
      </c>
      <c r="C744" s="36" t="s">
        <v>1225</v>
      </c>
      <c r="D744" s="37">
        <f>SUMIF(RAW_File!D:D,C:C,RAW_File!F:F)</f>
        <v>27.458300000000001</v>
      </c>
      <c r="E744" s="38">
        <f>SUMIF(RAW_File!D:D,C:C,RAW_File!G:G)</f>
        <v>0</v>
      </c>
      <c r="F744" s="39">
        <f>SUMIF(RAW_File!D:D,C:C,RAW_File!I:I)</f>
        <v>0</v>
      </c>
      <c r="G744" s="40">
        <f>SUMIF(RAW_File!D:D,C:C,RAW_File!K:K)</f>
        <v>0</v>
      </c>
      <c r="H744" s="41">
        <f>SUMIF(RAW_File!D:D,C:C,RAW_File!M:M)</f>
        <v>0</v>
      </c>
      <c r="I744" s="40">
        <f t="shared" si="13"/>
        <v>0</v>
      </c>
    </row>
    <row r="745" spans="1:9" hidden="1" x14ac:dyDescent="0.25">
      <c r="A745" s="36" t="s">
        <v>74</v>
      </c>
      <c r="B745" s="36" t="s">
        <v>1235</v>
      </c>
      <c r="C745" s="36" t="s">
        <v>1236</v>
      </c>
      <c r="D745" s="37">
        <f>SUMIF(RAW_File!D:D,C:C,RAW_File!F:F)</f>
        <v>4950.6834981887241</v>
      </c>
      <c r="E745" s="38">
        <f>SUMIF(RAW_File!D:D,C:C,RAW_File!G:G)</f>
        <v>3260</v>
      </c>
      <c r="F745" s="39">
        <f>SUMIF(RAW_File!D:D,C:C,RAW_File!I:I)</f>
        <v>8260</v>
      </c>
      <c r="G745" s="40">
        <f>SUMIF(RAW_File!D:D,C:C,RAW_File!K:K)</f>
        <v>0</v>
      </c>
      <c r="H745" s="41">
        <f>SUMIF(RAW_File!D:D,C:C,RAW_File!M:M)</f>
        <v>8000</v>
      </c>
      <c r="I745" s="40">
        <f t="shared" si="13"/>
        <v>8000</v>
      </c>
    </row>
    <row r="746" spans="1:9" hidden="1" x14ac:dyDescent="0.25">
      <c r="A746" s="36" t="s">
        <v>74</v>
      </c>
      <c r="B746" s="36" t="s">
        <v>1193</v>
      </c>
      <c r="C746" s="36" t="s">
        <v>1329</v>
      </c>
      <c r="D746" s="37">
        <f>SUMIF(RAW_File!D:D,C:C,RAW_File!F:F)</f>
        <v>5995.2929759999997</v>
      </c>
      <c r="E746" s="38">
        <f>SUMIF(RAW_File!D:D,C:C,RAW_File!G:G)</f>
        <v>6760</v>
      </c>
      <c r="F746" s="39">
        <f>SUMIF(RAW_File!D:D,C:C,RAW_File!I:I)</f>
        <v>12410</v>
      </c>
      <c r="G746" s="40">
        <f>SUMIF(RAW_File!D:D,C:C,RAW_File!K:K)</f>
        <v>0</v>
      </c>
      <c r="H746" s="41">
        <f>SUMIF(RAW_File!D:D,C:C,RAW_File!M:M)</f>
        <v>9000</v>
      </c>
      <c r="I746" s="40">
        <f t="shared" si="13"/>
        <v>9000</v>
      </c>
    </row>
    <row r="747" spans="1:9" hidden="1" x14ac:dyDescent="0.25">
      <c r="A747" s="36" t="s">
        <v>74</v>
      </c>
      <c r="B747" s="36" t="s">
        <v>1336</v>
      </c>
      <c r="C747" s="36" t="s">
        <v>1337</v>
      </c>
      <c r="D747" s="37">
        <f>SUMIF(RAW_File!D:D,C:C,RAW_File!F:F)</f>
        <v>258.57416975903021</v>
      </c>
      <c r="E747" s="38">
        <f>SUMIF(RAW_File!D:D,C:C,RAW_File!G:G)</f>
        <v>13005</v>
      </c>
      <c r="F747" s="39">
        <f>SUMIF(RAW_File!D:D,C:C,RAW_File!I:I)</f>
        <v>17495</v>
      </c>
      <c r="G747" s="40">
        <f>SUMIF(RAW_File!D:D,C:C,RAW_File!K:K)</f>
        <v>6000</v>
      </c>
      <c r="H747" s="41">
        <f>SUMIF(RAW_File!D:D,C:C,RAW_File!M:M)</f>
        <v>0</v>
      </c>
      <c r="I747" s="40">
        <f t="shared" si="13"/>
        <v>6000</v>
      </c>
    </row>
    <row r="748" spans="1:9" hidden="1" x14ac:dyDescent="0.25">
      <c r="A748" s="36" t="s">
        <v>74</v>
      </c>
      <c r="B748" s="36" t="s">
        <v>1361</v>
      </c>
      <c r="C748" s="36" t="s">
        <v>1362</v>
      </c>
      <c r="D748" s="37">
        <f>SUMIF(RAW_File!D:D,C:C,RAW_File!F:F)</f>
        <v>919.00842495032498</v>
      </c>
      <c r="E748" s="38">
        <f>SUMIF(RAW_File!D:D,C:C,RAW_File!G:G)</f>
        <v>0</v>
      </c>
      <c r="F748" s="39">
        <f>SUMIF(RAW_File!D:D,C:C,RAW_File!I:I)</f>
        <v>21250</v>
      </c>
      <c r="G748" s="40">
        <f>SUMIF(RAW_File!D:D,C:C,RAW_File!K:K)</f>
        <v>0</v>
      </c>
      <c r="H748" s="41">
        <f>SUMIF(RAW_File!D:D,C:C,RAW_File!M:M)</f>
        <v>33000</v>
      </c>
      <c r="I748" s="40">
        <f t="shared" si="13"/>
        <v>33000</v>
      </c>
    </row>
    <row r="749" spans="1:9" hidden="1" x14ac:dyDescent="0.25">
      <c r="A749" s="36" t="s">
        <v>74</v>
      </c>
      <c r="B749" s="36" t="s">
        <v>1363</v>
      </c>
      <c r="C749" s="36" t="s">
        <v>1364</v>
      </c>
      <c r="D749" s="37">
        <f>SUMIF(RAW_File!D:D,C:C,RAW_File!F:F)</f>
        <v>100.3943</v>
      </c>
      <c r="E749" s="38">
        <f>SUMIF(RAW_File!D:D,C:C,RAW_File!G:G)</f>
        <v>4500</v>
      </c>
      <c r="F749" s="39">
        <f>SUMIF(RAW_File!D:D,C:C,RAW_File!I:I)</f>
        <v>11500</v>
      </c>
      <c r="G749" s="40">
        <f>SUMIF(RAW_File!D:D,C:C,RAW_File!K:K)</f>
        <v>5000</v>
      </c>
      <c r="H749" s="41">
        <f>SUMIF(RAW_File!D:D,C:C,RAW_File!M:M)</f>
        <v>12000</v>
      </c>
      <c r="I749" s="40">
        <f t="shared" si="13"/>
        <v>7000</v>
      </c>
    </row>
    <row r="750" spans="1:9" hidden="1" x14ac:dyDescent="0.25">
      <c r="A750" s="36" t="s">
        <v>74</v>
      </c>
      <c r="B750" s="36" t="s">
        <v>1593</v>
      </c>
      <c r="C750" s="36" t="s">
        <v>1594</v>
      </c>
      <c r="D750" s="37">
        <f>SUMIF(RAW_File!D:D,C:C,RAW_File!F:F)</f>
        <v>4872.4307500000004</v>
      </c>
      <c r="E750" s="38">
        <f>SUMIF(RAW_File!D:D,C:C,RAW_File!G:G)</f>
        <v>15800</v>
      </c>
      <c r="F750" s="39">
        <f>SUMIF(RAW_File!D:D,C:C,RAW_File!I:I)</f>
        <v>32700</v>
      </c>
      <c r="G750" s="40">
        <f>SUMIF(RAW_File!D:D,C:C,RAW_File!K:K)</f>
        <v>0</v>
      </c>
      <c r="H750" s="41">
        <f>SUMIF(RAW_File!D:D,C:C,RAW_File!M:M)</f>
        <v>0</v>
      </c>
      <c r="I750" s="40">
        <f t="shared" si="13"/>
        <v>0</v>
      </c>
    </row>
    <row r="751" spans="1:9" hidden="1" x14ac:dyDescent="0.25">
      <c r="A751" s="36" t="s">
        <v>74</v>
      </c>
      <c r="B751" s="36" t="s">
        <v>1639</v>
      </c>
      <c r="C751" s="36" t="s">
        <v>1640</v>
      </c>
      <c r="D751" s="37">
        <f>SUMIF(RAW_File!D:D,C:C,RAW_File!F:F)</f>
        <v>10253.8992</v>
      </c>
      <c r="E751" s="38">
        <f>SUMIF(RAW_File!D:D,C:C,RAW_File!G:G)</f>
        <v>555</v>
      </c>
      <c r="F751" s="39">
        <f>SUMIF(RAW_File!D:D,C:C,RAW_File!I:I)</f>
        <v>1600</v>
      </c>
      <c r="G751" s="40">
        <f>SUMIF(RAW_File!D:D,C:C,RAW_File!K:K)</f>
        <v>5000</v>
      </c>
      <c r="H751" s="41">
        <f>SUMIF(RAW_File!D:D,C:C,RAW_File!M:M)</f>
        <v>0</v>
      </c>
      <c r="I751" s="40">
        <f t="shared" si="13"/>
        <v>5000</v>
      </c>
    </row>
    <row r="752" spans="1:9" hidden="1" x14ac:dyDescent="0.25">
      <c r="A752" s="36" t="s">
        <v>74</v>
      </c>
      <c r="B752" s="36" t="s">
        <v>1658</v>
      </c>
      <c r="C752" s="36" t="s">
        <v>1659</v>
      </c>
      <c r="D752" s="37">
        <f>SUMIF(RAW_File!D:D,C:C,RAW_File!F:F)</f>
        <v>8777.5718500000003</v>
      </c>
      <c r="E752" s="38">
        <f>SUMIF(RAW_File!D:D,C:C,RAW_File!G:G)</f>
        <v>0</v>
      </c>
      <c r="F752" s="39">
        <f>SUMIF(RAW_File!D:D,C:C,RAW_File!I:I)</f>
        <v>2550</v>
      </c>
      <c r="G752" s="40">
        <f>SUMIF(RAW_File!D:D,C:C,RAW_File!K:K)</f>
        <v>5000</v>
      </c>
      <c r="H752" s="41">
        <f>SUMIF(RAW_File!D:D,C:C,RAW_File!M:M)</f>
        <v>0</v>
      </c>
      <c r="I752" s="40">
        <f t="shared" si="13"/>
        <v>5000</v>
      </c>
    </row>
    <row r="753" spans="1:9" hidden="1" x14ac:dyDescent="0.25">
      <c r="A753" s="36" t="s">
        <v>74</v>
      </c>
      <c r="B753" s="36" t="s">
        <v>1690</v>
      </c>
      <c r="C753" s="36" t="s">
        <v>1691</v>
      </c>
      <c r="D753" s="37">
        <f>SUMIF(RAW_File!D:D,C:C,RAW_File!F:F)</f>
        <v>3290.6354373345362</v>
      </c>
      <c r="E753" s="38">
        <f>SUMIF(RAW_File!D:D,C:C,RAW_File!G:G)</f>
        <v>1510</v>
      </c>
      <c r="F753" s="39">
        <f>SUMIF(RAW_File!D:D,C:C,RAW_File!I:I)</f>
        <v>3590</v>
      </c>
      <c r="G753" s="40">
        <f>SUMIF(RAW_File!D:D,C:C,RAW_File!K:K)</f>
        <v>2000</v>
      </c>
      <c r="H753" s="41">
        <f>SUMIF(RAW_File!D:D,C:C,RAW_File!M:M)</f>
        <v>9000</v>
      </c>
      <c r="I753" s="40">
        <f t="shared" si="13"/>
        <v>7000</v>
      </c>
    </row>
    <row r="754" spans="1:9" hidden="1" x14ac:dyDescent="0.25">
      <c r="A754" s="36" t="s">
        <v>74</v>
      </c>
      <c r="B754" s="36" t="s">
        <v>1768</v>
      </c>
      <c r="C754" s="36" t="s">
        <v>1769</v>
      </c>
      <c r="D754" s="37">
        <f>SUMIF(RAW_File!D:D,C:C,RAW_File!F:F)</f>
        <v>17973.570800000001</v>
      </c>
      <c r="E754" s="38">
        <f>SUMIF(RAW_File!D:D,C:C,RAW_File!G:G)</f>
        <v>0</v>
      </c>
      <c r="F754" s="39">
        <f>SUMIF(RAW_File!D:D,C:C,RAW_File!I:I)</f>
        <v>4300</v>
      </c>
      <c r="G754" s="40">
        <f>SUMIF(RAW_File!D:D,C:C,RAW_File!K:K)</f>
        <v>5000</v>
      </c>
      <c r="H754" s="41">
        <f>SUMIF(RAW_File!D:D,C:C,RAW_File!M:M)</f>
        <v>0</v>
      </c>
      <c r="I754" s="40">
        <f t="shared" si="13"/>
        <v>5000</v>
      </c>
    </row>
    <row r="755" spans="1:9" hidden="1" x14ac:dyDescent="0.25">
      <c r="A755" s="36" t="s">
        <v>74</v>
      </c>
      <c r="B755" s="36" t="s">
        <v>1821</v>
      </c>
      <c r="C755" s="36" t="s">
        <v>1822</v>
      </c>
      <c r="D755" s="37">
        <f>SUMIF(RAW_File!D:D,C:C,RAW_File!F:F)</f>
        <v>5103.6949999999997</v>
      </c>
      <c r="E755" s="38">
        <f>SUMIF(RAW_File!D:D,C:C,RAW_File!G:G)</f>
        <v>9085</v>
      </c>
      <c r="F755" s="39">
        <f>SUMIF(RAW_File!D:D,C:C,RAW_File!I:I)</f>
        <v>11185</v>
      </c>
      <c r="G755" s="40">
        <f>SUMIF(RAW_File!D:D,C:C,RAW_File!K:K)</f>
        <v>5000</v>
      </c>
      <c r="H755" s="41">
        <f>SUMIF(RAW_File!D:D,C:C,RAW_File!M:M)</f>
        <v>0</v>
      </c>
      <c r="I755" s="40">
        <f t="shared" si="13"/>
        <v>5000</v>
      </c>
    </row>
    <row r="756" spans="1:9" hidden="1" x14ac:dyDescent="0.25">
      <c r="A756" s="36" t="s">
        <v>74</v>
      </c>
      <c r="B756" s="36" t="s">
        <v>1962</v>
      </c>
      <c r="C756" s="36" t="s">
        <v>1963</v>
      </c>
      <c r="D756" s="37">
        <f>SUMIF(RAW_File!D:D,C:C,RAW_File!F:F)</f>
        <v>1070.633391741062</v>
      </c>
      <c r="E756" s="38">
        <f>SUMIF(RAW_File!D:D,C:C,RAW_File!G:G)</f>
        <v>313</v>
      </c>
      <c r="F756" s="39">
        <f>SUMIF(RAW_File!D:D,C:C,RAW_File!I:I)</f>
        <v>6475</v>
      </c>
      <c r="G756" s="40">
        <f>SUMIF(RAW_File!D:D,C:C,RAW_File!K:K)</f>
        <v>0</v>
      </c>
      <c r="H756" s="41">
        <f>SUMIF(RAW_File!D:D,C:C,RAW_File!M:M)</f>
        <v>5000</v>
      </c>
      <c r="I756" s="40">
        <f t="shared" si="13"/>
        <v>5000</v>
      </c>
    </row>
    <row r="757" spans="1:9" hidden="1" x14ac:dyDescent="0.25">
      <c r="A757" s="36" t="s">
        <v>74</v>
      </c>
      <c r="B757" s="36" t="s">
        <v>2027</v>
      </c>
      <c r="C757" s="36" t="s">
        <v>2028</v>
      </c>
      <c r="D757" s="37">
        <f>SUMIF(RAW_File!D:D,C:C,RAW_File!F:F)</f>
        <v>9105.2582130545998</v>
      </c>
      <c r="E757" s="38">
        <f>SUMIF(RAW_File!D:D,C:C,RAW_File!G:G)</f>
        <v>17340</v>
      </c>
      <c r="F757" s="39">
        <f>SUMIF(RAW_File!D:D,C:C,RAW_File!I:I)</f>
        <v>150490</v>
      </c>
      <c r="G757" s="40">
        <f>SUMIF(RAW_File!D:D,C:C,RAW_File!K:K)</f>
        <v>0</v>
      </c>
      <c r="H757" s="41">
        <f>SUMIF(RAW_File!D:D,C:C,RAW_File!M:M)</f>
        <v>120000</v>
      </c>
      <c r="I757" s="40">
        <f t="shared" si="13"/>
        <v>120000</v>
      </c>
    </row>
    <row r="758" spans="1:9" hidden="1" x14ac:dyDescent="0.25">
      <c r="A758" s="36" t="s">
        <v>74</v>
      </c>
      <c r="B758" s="36" t="s">
        <v>2225</v>
      </c>
      <c r="C758" s="36" t="s">
        <v>2226</v>
      </c>
      <c r="D758" s="37">
        <f>SUMIF(RAW_File!D:D,C:C,RAW_File!F:F)</f>
        <v>963.89864999999998</v>
      </c>
      <c r="E758" s="38">
        <f>SUMIF(RAW_File!D:D,C:C,RAW_File!G:G)</f>
        <v>0</v>
      </c>
      <c r="F758" s="39">
        <f>SUMIF(RAW_File!D:D,C:C,RAW_File!I:I)</f>
        <v>0</v>
      </c>
      <c r="G758" s="40">
        <f>SUMIF(RAW_File!D:D,C:C,RAW_File!K:K)</f>
        <v>0</v>
      </c>
      <c r="H758" s="41">
        <f>SUMIF(RAW_File!D:D,C:C,RAW_File!M:M)</f>
        <v>0</v>
      </c>
      <c r="I758" s="40">
        <f t="shared" si="13"/>
        <v>0</v>
      </c>
    </row>
    <row r="759" spans="1:9" hidden="1" x14ac:dyDescent="0.25">
      <c r="A759" s="36" t="s">
        <v>74</v>
      </c>
      <c r="B759" s="36" t="s">
        <v>2322</v>
      </c>
      <c r="C759" s="36" t="s">
        <v>2323</v>
      </c>
      <c r="D759" s="37">
        <f>SUMIF(RAW_File!D:D,C:C,RAW_File!F:F)</f>
        <v>3849.4664432740351</v>
      </c>
      <c r="E759" s="38">
        <f>SUMIF(RAW_File!D:D,C:C,RAW_File!G:G)</f>
        <v>5680</v>
      </c>
      <c r="F759" s="39">
        <f>SUMIF(RAW_File!D:D,C:C,RAW_File!I:I)</f>
        <v>18300</v>
      </c>
      <c r="G759" s="40">
        <f>SUMIF(RAW_File!D:D,C:C,RAW_File!K:K)</f>
        <v>5000</v>
      </c>
      <c r="H759" s="41">
        <f>SUMIF(RAW_File!D:D,C:C,RAW_File!M:M)</f>
        <v>15000</v>
      </c>
      <c r="I759" s="40">
        <f t="shared" si="13"/>
        <v>10000</v>
      </c>
    </row>
    <row r="760" spans="1:9" hidden="1" x14ac:dyDescent="0.25">
      <c r="A760" s="36" t="s">
        <v>74</v>
      </c>
      <c r="B760" s="36" t="s">
        <v>2473</v>
      </c>
      <c r="C760" s="36" t="s">
        <v>2474</v>
      </c>
      <c r="D760" s="37">
        <f>SUMIF(RAW_File!D:D,C:C,RAW_File!F:F)</f>
        <v>1484.1858999999999</v>
      </c>
      <c r="E760" s="38">
        <f>SUMIF(RAW_File!D:D,C:C,RAW_File!G:G)</f>
        <v>0</v>
      </c>
      <c r="F760" s="39">
        <f>SUMIF(RAW_File!D:D,C:C,RAW_File!I:I)</f>
        <v>500</v>
      </c>
      <c r="G760" s="40">
        <f>SUMIF(RAW_File!D:D,C:C,RAW_File!K:K)</f>
        <v>0</v>
      </c>
      <c r="H760" s="41">
        <f>SUMIF(RAW_File!D:D,C:C,RAW_File!M:M)</f>
        <v>5000</v>
      </c>
      <c r="I760" s="40">
        <f t="shared" si="13"/>
        <v>5000</v>
      </c>
    </row>
    <row r="761" spans="1:9" hidden="1" x14ac:dyDescent="0.25">
      <c r="A761" s="36" t="s">
        <v>74</v>
      </c>
      <c r="B761" s="36" t="s">
        <v>2544</v>
      </c>
      <c r="C761" s="36" t="s">
        <v>2545</v>
      </c>
      <c r="D761" s="37">
        <f>SUMIF(RAW_File!D:D,C:C,RAW_File!F:F)</f>
        <v>4477.5673500000003</v>
      </c>
      <c r="E761" s="38">
        <f>SUMIF(RAW_File!D:D,C:C,RAW_File!G:G)</f>
        <v>0</v>
      </c>
      <c r="F761" s="39">
        <f>SUMIF(RAW_File!D:D,C:C,RAW_File!I:I)</f>
        <v>100</v>
      </c>
      <c r="G761" s="40">
        <f>SUMIF(RAW_File!D:D,C:C,RAW_File!K:K)</f>
        <v>5000</v>
      </c>
      <c r="H761" s="41">
        <f>SUMIF(RAW_File!D:D,C:C,RAW_File!M:M)</f>
        <v>15000</v>
      </c>
      <c r="I761" s="40">
        <f t="shared" si="13"/>
        <v>10000</v>
      </c>
    </row>
    <row r="762" spans="1:9" hidden="1" x14ac:dyDescent="0.25">
      <c r="A762" s="36" t="s">
        <v>74</v>
      </c>
      <c r="B762" s="36" t="s">
        <v>2707</v>
      </c>
      <c r="C762" s="36" t="s">
        <v>2708</v>
      </c>
      <c r="D762" s="37">
        <f>SUMIF(RAW_File!D:D,C:C,RAW_File!F:F)</f>
        <v>4889.9277000000002</v>
      </c>
      <c r="E762" s="38">
        <f>SUMIF(RAW_File!D:D,C:C,RAW_File!G:G)</f>
        <v>7520</v>
      </c>
      <c r="F762" s="39">
        <f>SUMIF(RAW_File!D:D,C:C,RAW_File!I:I)</f>
        <v>13080</v>
      </c>
      <c r="G762" s="40">
        <f>SUMIF(RAW_File!D:D,C:C,RAW_File!K:K)</f>
        <v>5000</v>
      </c>
      <c r="H762" s="41">
        <f>SUMIF(RAW_File!D:D,C:C,RAW_File!M:M)</f>
        <v>0</v>
      </c>
      <c r="I762" s="40">
        <f t="shared" si="13"/>
        <v>5000</v>
      </c>
    </row>
    <row r="763" spans="1:9" hidden="1" x14ac:dyDescent="0.25">
      <c r="A763" s="36" t="s">
        <v>74</v>
      </c>
      <c r="B763" s="36" t="s">
        <v>2772</v>
      </c>
      <c r="C763" s="36" t="s">
        <v>2773</v>
      </c>
      <c r="D763" s="37">
        <f>SUMIF(RAW_File!D:D,C:C,RAW_File!F:F)</f>
        <v>11849.4313</v>
      </c>
      <c r="E763" s="38">
        <f>SUMIF(RAW_File!D:D,C:C,RAW_File!G:G)</f>
        <v>10870</v>
      </c>
      <c r="F763" s="39">
        <f>SUMIF(RAW_File!D:D,C:C,RAW_File!I:I)</f>
        <v>21730</v>
      </c>
      <c r="G763" s="40">
        <f>SUMIF(RAW_File!D:D,C:C,RAW_File!K:K)</f>
        <v>10000</v>
      </c>
      <c r="H763" s="41">
        <f>SUMIF(RAW_File!D:D,C:C,RAW_File!M:M)</f>
        <v>5000</v>
      </c>
      <c r="I763" s="40">
        <f t="shared" si="13"/>
        <v>5000</v>
      </c>
    </row>
    <row r="764" spans="1:9" hidden="1" x14ac:dyDescent="0.25">
      <c r="A764" s="36" t="s">
        <v>74</v>
      </c>
      <c r="B764" s="36" t="s">
        <v>2788</v>
      </c>
      <c r="C764" s="36" t="s">
        <v>2789</v>
      </c>
      <c r="D764" s="37">
        <f>SUMIF(RAW_File!D:D,C:C,RAW_File!F:F)</f>
        <v>30.557074583477672</v>
      </c>
      <c r="E764" s="38">
        <f>SUMIF(RAW_File!D:D,C:C,RAW_File!G:G)</f>
        <v>2260</v>
      </c>
      <c r="F764" s="39">
        <f>SUMIF(RAW_File!D:D,C:C,RAW_File!I:I)</f>
        <v>6315</v>
      </c>
      <c r="G764" s="40">
        <f>SUMIF(RAW_File!D:D,C:C,RAW_File!K:K)</f>
        <v>5000</v>
      </c>
      <c r="H764" s="41">
        <f>SUMIF(RAW_File!D:D,C:C,RAW_File!M:M)</f>
        <v>10000</v>
      </c>
      <c r="I764" s="40">
        <f t="shared" si="13"/>
        <v>5000</v>
      </c>
    </row>
    <row r="765" spans="1:9" hidden="1" x14ac:dyDescent="0.25">
      <c r="A765" s="36" t="s">
        <v>74</v>
      </c>
      <c r="B765" s="36" t="s">
        <v>2834</v>
      </c>
      <c r="C765" s="36" t="s">
        <v>2835</v>
      </c>
      <c r="D765" s="37">
        <f>SUMIF(RAW_File!D:D,C:C,RAW_File!F:F)</f>
        <v>703.03582523018042</v>
      </c>
      <c r="E765" s="38">
        <f>SUMIF(RAW_File!D:D,C:C,RAW_File!G:G)</f>
        <v>200</v>
      </c>
      <c r="F765" s="39">
        <f>SUMIF(RAW_File!D:D,C:C,RAW_File!I:I)</f>
        <v>5940</v>
      </c>
      <c r="G765" s="40">
        <f>SUMIF(RAW_File!D:D,C:C,RAW_File!K:K)</f>
        <v>0</v>
      </c>
      <c r="H765" s="41">
        <f>SUMIF(RAW_File!D:D,C:C,RAW_File!M:M)</f>
        <v>5000</v>
      </c>
      <c r="I765" s="40">
        <f t="shared" si="13"/>
        <v>5000</v>
      </c>
    </row>
    <row r="766" spans="1:9" hidden="1" x14ac:dyDescent="0.25">
      <c r="A766" s="36" t="s">
        <v>74</v>
      </c>
      <c r="B766" s="36" t="s">
        <v>3010</v>
      </c>
      <c r="C766" s="36" t="s">
        <v>3011</v>
      </c>
      <c r="D766" s="37">
        <f>SUMIF(RAW_File!D:D,C:C,RAW_File!F:F)</f>
        <v>189.5692</v>
      </c>
      <c r="E766" s="38">
        <f>SUMIF(RAW_File!D:D,C:C,RAW_File!G:G)</f>
        <v>0</v>
      </c>
      <c r="F766" s="39">
        <f>SUMIF(RAW_File!D:D,C:C,RAW_File!I:I)</f>
        <v>0</v>
      </c>
      <c r="G766" s="40">
        <f>SUMIF(RAW_File!D:D,C:C,RAW_File!K:K)</f>
        <v>0</v>
      </c>
      <c r="H766" s="41">
        <f>SUMIF(RAW_File!D:D,C:C,RAW_File!M:M)</f>
        <v>0</v>
      </c>
      <c r="I766" s="40">
        <f t="shared" si="13"/>
        <v>0</v>
      </c>
    </row>
    <row r="767" spans="1:9" hidden="1" x14ac:dyDescent="0.25">
      <c r="A767" s="36" t="s">
        <v>74</v>
      </c>
      <c r="B767" s="36" t="s">
        <v>3072</v>
      </c>
      <c r="C767" s="36" t="s">
        <v>3073</v>
      </c>
      <c r="D767" s="37">
        <f>SUMIF(RAW_File!D:D,C:C,RAW_File!F:F)</f>
        <v>5827.5470018343003</v>
      </c>
      <c r="E767" s="38">
        <f>SUMIF(RAW_File!D:D,C:C,RAW_File!G:G)</f>
        <v>1015</v>
      </c>
      <c r="F767" s="39">
        <f>SUMIF(RAW_File!D:D,C:C,RAW_File!I:I)</f>
        <v>5315</v>
      </c>
      <c r="G767" s="40">
        <f>SUMIF(RAW_File!D:D,C:C,RAW_File!K:K)</f>
        <v>0</v>
      </c>
      <c r="H767" s="41">
        <f>SUMIF(RAW_File!D:D,C:C,RAW_File!M:M)</f>
        <v>14000</v>
      </c>
      <c r="I767" s="40">
        <f t="shared" si="13"/>
        <v>14000</v>
      </c>
    </row>
    <row r="768" spans="1:9" hidden="1" x14ac:dyDescent="0.25">
      <c r="A768" s="36" t="s">
        <v>74</v>
      </c>
      <c r="B768" s="36" t="s">
        <v>3085</v>
      </c>
      <c r="C768" s="36" t="s">
        <v>3086</v>
      </c>
      <c r="D768" s="37">
        <f>SUMIF(RAW_File!D:D,C:C,RAW_File!F:F)</f>
        <v>20857.683440789649</v>
      </c>
      <c r="E768" s="38">
        <f>SUMIF(RAW_File!D:D,C:C,RAW_File!G:G)</f>
        <v>38120</v>
      </c>
      <c r="F768" s="39">
        <f>SUMIF(RAW_File!D:D,C:C,RAW_File!I:I)</f>
        <v>60620</v>
      </c>
      <c r="G768" s="40">
        <f>SUMIF(RAW_File!D:D,C:C,RAW_File!K:K)</f>
        <v>0</v>
      </c>
      <c r="H768" s="41">
        <f>SUMIF(RAW_File!D:D,C:C,RAW_File!M:M)</f>
        <v>5000</v>
      </c>
      <c r="I768" s="40">
        <f t="shared" si="13"/>
        <v>5000</v>
      </c>
    </row>
    <row r="769" spans="1:9" hidden="1" x14ac:dyDescent="0.25">
      <c r="A769" s="36" t="s">
        <v>74</v>
      </c>
      <c r="B769" s="36" t="s">
        <v>3107</v>
      </c>
      <c r="C769" s="36" t="s">
        <v>3108</v>
      </c>
      <c r="D769" s="37">
        <f>SUMIF(RAW_File!D:D,C:C,RAW_File!F:F)</f>
        <v>28439.25785782182</v>
      </c>
      <c r="E769" s="38">
        <f>SUMIF(RAW_File!D:D,C:C,RAW_File!G:G)</f>
        <v>28080</v>
      </c>
      <c r="F769" s="39">
        <f>SUMIF(RAW_File!D:D,C:C,RAW_File!I:I)</f>
        <v>50312</v>
      </c>
      <c r="G769" s="40">
        <f>SUMIF(RAW_File!D:D,C:C,RAW_File!K:K)</f>
        <v>20000</v>
      </c>
      <c r="H769" s="41">
        <f>SUMIF(RAW_File!D:D,C:C,RAW_File!M:M)</f>
        <v>16000</v>
      </c>
      <c r="I769" s="40">
        <f t="shared" si="13"/>
        <v>4000</v>
      </c>
    </row>
    <row r="770" spans="1:9" hidden="1" x14ac:dyDescent="0.25">
      <c r="A770" s="36" t="s">
        <v>74</v>
      </c>
      <c r="B770" s="36" t="s">
        <v>3144</v>
      </c>
      <c r="C770" s="36" t="s">
        <v>3145</v>
      </c>
      <c r="D770" s="37">
        <f>SUMIF(RAW_File!D:D,C:C,RAW_File!F:F)</f>
        <v>7.0518326241910998</v>
      </c>
      <c r="E770" s="38">
        <f>SUMIF(RAW_File!D:D,C:C,RAW_File!G:G)</f>
        <v>0</v>
      </c>
      <c r="F770" s="39">
        <f>SUMIF(RAW_File!D:D,C:C,RAW_File!I:I)</f>
        <v>0</v>
      </c>
      <c r="G770" s="40">
        <f>SUMIF(RAW_File!D:D,C:C,RAW_File!K:K)</f>
        <v>0</v>
      </c>
      <c r="H770" s="41">
        <f>SUMIF(RAW_File!D:D,C:C,RAW_File!M:M)</f>
        <v>0</v>
      </c>
      <c r="I770" s="40">
        <f t="shared" si="13"/>
        <v>0</v>
      </c>
    </row>
    <row r="771" spans="1:9" hidden="1" x14ac:dyDescent="0.25">
      <c r="A771" s="36" t="s">
        <v>74</v>
      </c>
      <c r="B771" s="36" t="s">
        <v>3149</v>
      </c>
      <c r="C771" s="36" t="s">
        <v>3150</v>
      </c>
      <c r="D771" s="37">
        <f>SUMIF(RAW_File!D:D,C:C,RAW_File!F:F)</f>
        <v>1917.138448493906</v>
      </c>
      <c r="E771" s="38">
        <f>SUMIF(RAW_File!D:D,C:C,RAW_File!G:G)</f>
        <v>6810</v>
      </c>
      <c r="F771" s="39">
        <f>SUMIF(RAW_File!D:D,C:C,RAW_File!I:I)</f>
        <v>34315</v>
      </c>
      <c r="G771" s="40">
        <f>SUMIF(RAW_File!D:D,C:C,RAW_File!K:K)</f>
        <v>0</v>
      </c>
      <c r="H771" s="41">
        <f>SUMIF(RAW_File!D:D,C:C,RAW_File!M:M)</f>
        <v>22000</v>
      </c>
      <c r="I771" s="40">
        <f t="shared" ref="I771:I834" si="14">ABS(G771-H771)</f>
        <v>22000</v>
      </c>
    </row>
    <row r="772" spans="1:9" hidden="1" x14ac:dyDescent="0.25">
      <c r="A772" s="36" t="s">
        <v>74</v>
      </c>
      <c r="B772" s="36" t="s">
        <v>3270</v>
      </c>
      <c r="C772" s="36" t="s">
        <v>3271</v>
      </c>
      <c r="D772" s="37">
        <f>SUMIF(RAW_File!D:D,C:C,RAW_File!F:F)</f>
        <v>14231.99864756012</v>
      </c>
      <c r="E772" s="38">
        <f>SUMIF(RAW_File!D:D,C:C,RAW_File!G:G)</f>
        <v>10830</v>
      </c>
      <c r="F772" s="39">
        <f>SUMIF(RAW_File!D:D,C:C,RAW_File!I:I)</f>
        <v>54850</v>
      </c>
      <c r="G772" s="40">
        <f>SUMIF(RAW_File!D:D,C:C,RAW_File!K:K)</f>
        <v>0</v>
      </c>
      <c r="H772" s="41">
        <f>SUMIF(RAW_File!D:D,C:C,RAW_File!M:M)</f>
        <v>40000</v>
      </c>
      <c r="I772" s="40">
        <f t="shared" si="14"/>
        <v>40000</v>
      </c>
    </row>
    <row r="773" spans="1:9" hidden="1" x14ac:dyDescent="0.25">
      <c r="A773" s="36" t="s">
        <v>74</v>
      </c>
      <c r="B773" s="36" t="s">
        <v>3387</v>
      </c>
      <c r="C773" s="36" t="s">
        <v>3388</v>
      </c>
      <c r="D773" s="37">
        <f>SUMIF(RAW_File!D:D,C:C,RAW_File!F:F)</f>
        <v>6557.9490898886479</v>
      </c>
      <c r="E773" s="38">
        <f>SUMIF(RAW_File!D:D,C:C,RAW_File!G:G)</f>
        <v>0</v>
      </c>
      <c r="F773" s="39">
        <f>SUMIF(RAW_File!D:D,C:C,RAW_File!I:I)</f>
        <v>1000</v>
      </c>
      <c r="G773" s="40">
        <f>SUMIF(RAW_File!D:D,C:C,RAW_File!K:K)</f>
        <v>6000</v>
      </c>
      <c r="H773" s="41">
        <f>SUMIF(RAW_File!D:D,C:C,RAW_File!M:M)</f>
        <v>1000</v>
      </c>
      <c r="I773" s="40">
        <f t="shared" si="14"/>
        <v>5000</v>
      </c>
    </row>
    <row r="774" spans="1:9" hidden="1" x14ac:dyDescent="0.25">
      <c r="A774" s="36" t="s">
        <v>74</v>
      </c>
      <c r="B774" s="36" t="s">
        <v>3437</v>
      </c>
      <c r="C774" s="36" t="s">
        <v>3438</v>
      </c>
      <c r="D774" s="37">
        <f>SUMIF(RAW_File!D:D,C:C,RAW_File!F:F)</f>
        <v>4908.7376999999997</v>
      </c>
      <c r="E774" s="38">
        <f>SUMIF(RAW_File!D:D,C:C,RAW_File!G:G)</f>
        <v>705</v>
      </c>
      <c r="F774" s="39">
        <f>SUMIF(RAW_File!D:D,C:C,RAW_File!I:I)</f>
        <v>5805</v>
      </c>
      <c r="G774" s="40">
        <f>SUMIF(RAW_File!D:D,C:C,RAW_File!K:K)</f>
        <v>5000</v>
      </c>
      <c r="H774" s="41">
        <f>SUMIF(RAW_File!D:D,C:C,RAW_File!M:M)</f>
        <v>17000</v>
      </c>
      <c r="I774" s="40">
        <f t="shared" si="14"/>
        <v>12000</v>
      </c>
    </row>
    <row r="775" spans="1:9" hidden="1" x14ac:dyDescent="0.25">
      <c r="A775" s="36" t="s">
        <v>74</v>
      </c>
      <c r="B775" s="36" t="s">
        <v>3455</v>
      </c>
      <c r="C775" s="36" t="s">
        <v>3456</v>
      </c>
      <c r="D775" s="37">
        <f>SUMIF(RAW_File!D:D,C:C,RAW_File!F:F)</f>
        <v>25890.574400000001</v>
      </c>
      <c r="E775" s="38">
        <f>SUMIF(RAW_File!D:D,C:C,RAW_File!G:G)</f>
        <v>1100</v>
      </c>
      <c r="F775" s="39">
        <f>SUMIF(RAW_File!D:D,C:C,RAW_File!I:I)</f>
        <v>37615</v>
      </c>
      <c r="G775" s="40">
        <f>SUMIF(RAW_File!D:D,C:C,RAW_File!K:K)</f>
        <v>5000</v>
      </c>
      <c r="H775" s="41">
        <f>SUMIF(RAW_File!D:D,C:C,RAW_File!M:M)</f>
        <v>40000</v>
      </c>
      <c r="I775" s="40">
        <f t="shared" si="14"/>
        <v>35000</v>
      </c>
    </row>
    <row r="776" spans="1:9" hidden="1" x14ac:dyDescent="0.25">
      <c r="A776" s="36" t="s">
        <v>74</v>
      </c>
      <c r="B776" s="36" t="s">
        <v>3476</v>
      </c>
      <c r="C776" s="36" t="s">
        <v>3477</v>
      </c>
      <c r="D776" s="37">
        <f>SUMIF(RAW_File!D:D,C:C,RAW_File!F:F)</f>
        <v>8652.8976070528352</v>
      </c>
      <c r="E776" s="38">
        <f>SUMIF(RAW_File!D:D,C:C,RAW_File!G:G)</f>
        <v>5000</v>
      </c>
      <c r="F776" s="39">
        <f>SUMIF(RAW_File!D:D,C:C,RAW_File!I:I)</f>
        <v>11160</v>
      </c>
      <c r="G776" s="40">
        <f>SUMIF(RAW_File!D:D,C:C,RAW_File!K:K)</f>
        <v>5000</v>
      </c>
      <c r="H776" s="41">
        <f>SUMIF(RAW_File!D:D,C:C,RAW_File!M:M)</f>
        <v>0</v>
      </c>
      <c r="I776" s="40">
        <f t="shared" si="14"/>
        <v>5000</v>
      </c>
    </row>
    <row r="777" spans="1:9" hidden="1" x14ac:dyDescent="0.25">
      <c r="A777" s="36" t="s">
        <v>74</v>
      </c>
      <c r="B777" s="36" t="s">
        <v>3504</v>
      </c>
      <c r="C777" s="36" t="s">
        <v>3505</v>
      </c>
      <c r="D777" s="37">
        <f>SUMIF(RAW_File!D:D,C:C,RAW_File!F:F)</f>
        <v>5679.7708000000002</v>
      </c>
      <c r="E777" s="38">
        <f>SUMIF(RAW_File!D:D,C:C,RAW_File!G:G)</f>
        <v>2035</v>
      </c>
      <c r="F777" s="39">
        <f>SUMIF(RAW_File!D:D,C:C,RAW_File!I:I)</f>
        <v>2035</v>
      </c>
      <c r="G777" s="40">
        <f>SUMIF(RAW_File!D:D,C:C,RAW_File!K:K)</f>
        <v>5000</v>
      </c>
      <c r="H777" s="41">
        <f>SUMIF(RAW_File!D:D,C:C,RAW_File!M:M)</f>
        <v>0</v>
      </c>
      <c r="I777" s="40">
        <f t="shared" si="14"/>
        <v>5000</v>
      </c>
    </row>
    <row r="778" spans="1:9" hidden="1" x14ac:dyDescent="0.25">
      <c r="A778" s="36" t="s">
        <v>74</v>
      </c>
      <c r="B778" s="36" t="s">
        <v>3516</v>
      </c>
      <c r="C778" s="36" t="s">
        <v>3517</v>
      </c>
      <c r="D778" s="37">
        <f>SUMIF(RAW_File!D:D,C:C,RAW_File!F:F)</f>
        <v>13.999700000000001</v>
      </c>
      <c r="E778" s="38">
        <f>SUMIF(RAW_File!D:D,C:C,RAW_File!G:G)</f>
        <v>0</v>
      </c>
      <c r="F778" s="39">
        <f>SUMIF(RAW_File!D:D,C:C,RAW_File!I:I)</f>
        <v>2000</v>
      </c>
      <c r="G778" s="40">
        <f>SUMIF(RAW_File!D:D,C:C,RAW_File!K:K)</f>
        <v>0</v>
      </c>
      <c r="H778" s="41">
        <f>SUMIF(RAW_File!D:D,C:C,RAW_File!M:M)</f>
        <v>5000</v>
      </c>
      <c r="I778" s="40">
        <f t="shared" si="14"/>
        <v>5000</v>
      </c>
    </row>
    <row r="779" spans="1:9" hidden="1" x14ac:dyDescent="0.25">
      <c r="A779" s="36" t="s">
        <v>93</v>
      </c>
      <c r="B779" s="36" t="s">
        <v>502</v>
      </c>
      <c r="C779" s="36" t="s">
        <v>503</v>
      </c>
      <c r="D779" s="37">
        <f>SUMIF(RAW_File!D:D,C:C,RAW_File!F:F)</f>
        <v>2329.029614417982</v>
      </c>
      <c r="E779" s="38">
        <f>SUMIF(RAW_File!D:D,C:C,RAW_File!G:G)</f>
        <v>27755</v>
      </c>
      <c r="F779" s="39">
        <f>SUMIF(RAW_File!D:D,C:C,RAW_File!I:I)</f>
        <v>45275</v>
      </c>
      <c r="G779" s="40">
        <f>SUMIF(RAW_File!D:D,C:C,RAW_File!K:K)</f>
        <v>10000</v>
      </c>
      <c r="H779" s="41">
        <f>SUMIF(RAW_File!D:D,C:C,RAW_File!M:M)</f>
        <v>5000</v>
      </c>
      <c r="I779" s="40">
        <f t="shared" si="14"/>
        <v>5000</v>
      </c>
    </row>
    <row r="780" spans="1:9" hidden="1" x14ac:dyDescent="0.25">
      <c r="A780" s="36" t="s">
        <v>93</v>
      </c>
      <c r="B780" s="36" t="s">
        <v>551</v>
      </c>
      <c r="C780" s="36" t="s">
        <v>552</v>
      </c>
      <c r="D780" s="37">
        <f>SUMIF(RAW_File!D:D,C:C,RAW_File!F:F)</f>
        <v>1025.3809942166999</v>
      </c>
      <c r="E780" s="38">
        <f>SUMIF(RAW_File!D:D,C:C,RAW_File!G:G)</f>
        <v>0</v>
      </c>
      <c r="F780" s="39">
        <f>SUMIF(RAW_File!D:D,C:C,RAW_File!I:I)</f>
        <v>400</v>
      </c>
      <c r="G780" s="40">
        <f>SUMIF(RAW_File!D:D,C:C,RAW_File!K:K)</f>
        <v>0</v>
      </c>
      <c r="H780" s="41">
        <f>SUMIF(RAW_File!D:D,C:C,RAW_File!M:M)</f>
        <v>18000</v>
      </c>
      <c r="I780" s="40">
        <f t="shared" si="14"/>
        <v>18000</v>
      </c>
    </row>
    <row r="781" spans="1:9" hidden="1" x14ac:dyDescent="0.25">
      <c r="A781" s="36" t="s">
        <v>93</v>
      </c>
      <c r="B781" s="36" t="s">
        <v>553</v>
      </c>
      <c r="C781" s="36" t="s">
        <v>554</v>
      </c>
      <c r="D781" s="37">
        <f>SUMIF(RAW_File!D:D,C:C,RAW_File!F:F)</f>
        <v>4.4686378345851949</v>
      </c>
      <c r="E781" s="38">
        <f>SUMIF(RAW_File!D:D,C:C,RAW_File!G:G)</f>
        <v>0</v>
      </c>
      <c r="F781" s="39">
        <f>SUMIF(RAW_File!D:D,C:C,RAW_File!I:I)</f>
        <v>0</v>
      </c>
      <c r="G781" s="40">
        <f>SUMIF(RAW_File!D:D,C:C,RAW_File!K:K)</f>
        <v>0</v>
      </c>
      <c r="H781" s="41">
        <f>SUMIF(RAW_File!D:D,C:C,RAW_File!M:M)</f>
        <v>0</v>
      </c>
      <c r="I781" s="40">
        <f t="shared" si="14"/>
        <v>0</v>
      </c>
    </row>
    <row r="782" spans="1:9" hidden="1" x14ac:dyDescent="0.25">
      <c r="A782" s="36" t="s">
        <v>93</v>
      </c>
      <c r="B782" s="36" t="s">
        <v>763</v>
      </c>
      <c r="C782" s="36" t="s">
        <v>764</v>
      </c>
      <c r="D782" s="37">
        <f>SUMIF(RAW_File!D:D,C:C,RAW_File!F:F)</f>
        <v>88915.470073431221</v>
      </c>
      <c r="E782" s="38">
        <f>SUMIF(RAW_File!D:D,C:C,RAW_File!G:G)</f>
        <v>18465</v>
      </c>
      <c r="F782" s="39">
        <f>SUMIF(RAW_File!D:D,C:C,RAW_File!I:I)</f>
        <v>123470</v>
      </c>
      <c r="G782" s="40">
        <f>SUMIF(RAW_File!D:D,C:C,RAW_File!K:K)</f>
        <v>0</v>
      </c>
      <c r="H782" s="41">
        <f>SUMIF(RAW_File!D:D,C:C,RAW_File!M:M)</f>
        <v>40000</v>
      </c>
      <c r="I782" s="40">
        <f t="shared" si="14"/>
        <v>40000</v>
      </c>
    </row>
    <row r="783" spans="1:9" hidden="1" x14ac:dyDescent="0.25">
      <c r="A783" s="36" t="s">
        <v>93</v>
      </c>
      <c r="B783" s="36" t="s">
        <v>781</v>
      </c>
      <c r="C783" s="36" t="s">
        <v>782</v>
      </c>
      <c r="D783" s="37">
        <f>SUMIF(RAW_File!D:D,C:C,RAW_File!F:F)</f>
        <v>13370.843199999999</v>
      </c>
      <c r="E783" s="38">
        <f>SUMIF(RAW_File!D:D,C:C,RAW_File!G:G)</f>
        <v>700</v>
      </c>
      <c r="F783" s="39">
        <f>SUMIF(RAW_File!D:D,C:C,RAW_File!I:I)</f>
        <v>8740</v>
      </c>
      <c r="G783" s="40">
        <f>SUMIF(RAW_File!D:D,C:C,RAW_File!K:K)</f>
        <v>5000</v>
      </c>
      <c r="H783" s="41">
        <f>SUMIF(RAW_File!D:D,C:C,RAW_File!M:M)</f>
        <v>0</v>
      </c>
      <c r="I783" s="40">
        <f t="shared" si="14"/>
        <v>5000</v>
      </c>
    </row>
    <row r="784" spans="1:9" hidden="1" x14ac:dyDescent="0.25">
      <c r="A784" s="36" t="s">
        <v>93</v>
      </c>
      <c r="B784" s="36" t="s">
        <v>783</v>
      </c>
      <c r="C784" s="36" t="s">
        <v>784</v>
      </c>
      <c r="D784" s="37">
        <f>SUMIF(RAW_File!D:D,C:C,RAW_File!F:F)</f>
        <v>1266.2697403301599</v>
      </c>
      <c r="E784" s="38">
        <f>SUMIF(RAW_File!D:D,C:C,RAW_File!G:G)</f>
        <v>9515</v>
      </c>
      <c r="F784" s="39">
        <f>SUMIF(RAW_File!D:D,C:C,RAW_File!I:I)</f>
        <v>11645</v>
      </c>
      <c r="G784" s="40">
        <f>SUMIF(RAW_File!D:D,C:C,RAW_File!K:K)</f>
        <v>10000</v>
      </c>
      <c r="H784" s="41">
        <f>SUMIF(RAW_File!D:D,C:C,RAW_File!M:M)</f>
        <v>3000</v>
      </c>
      <c r="I784" s="40">
        <f t="shared" si="14"/>
        <v>7000</v>
      </c>
    </row>
    <row r="785" spans="1:9" hidden="1" x14ac:dyDescent="0.25">
      <c r="A785" s="36" t="s">
        <v>93</v>
      </c>
      <c r="B785" s="36" t="s">
        <v>789</v>
      </c>
      <c r="C785" s="36" t="s">
        <v>790</v>
      </c>
      <c r="D785" s="37">
        <f>SUMIF(RAW_File!D:D,C:C,RAW_File!F:F)</f>
        <v>6.0653451982318627</v>
      </c>
      <c r="E785" s="38">
        <f>SUMIF(RAW_File!D:D,C:C,RAW_File!G:G)</f>
        <v>0</v>
      </c>
      <c r="F785" s="39">
        <f>SUMIF(RAW_File!D:D,C:C,RAW_File!I:I)</f>
        <v>0</v>
      </c>
      <c r="G785" s="40">
        <f>SUMIF(RAW_File!D:D,C:C,RAW_File!K:K)</f>
        <v>0</v>
      </c>
      <c r="H785" s="41">
        <f>SUMIF(RAW_File!D:D,C:C,RAW_File!M:M)</f>
        <v>0</v>
      </c>
      <c r="I785" s="40">
        <f t="shared" si="14"/>
        <v>0</v>
      </c>
    </row>
    <row r="786" spans="1:9" hidden="1" x14ac:dyDescent="0.25">
      <c r="A786" s="36" t="s">
        <v>93</v>
      </c>
      <c r="B786" s="36" t="s">
        <v>803</v>
      </c>
      <c r="C786" s="36" t="s">
        <v>804</v>
      </c>
      <c r="D786" s="37">
        <f>SUMIF(RAW_File!D:D,C:C,RAW_File!F:F)</f>
        <v>3568.670752956024</v>
      </c>
      <c r="E786" s="38">
        <f>SUMIF(RAW_File!D:D,C:C,RAW_File!G:G)</f>
        <v>5000</v>
      </c>
      <c r="F786" s="39">
        <f>SUMIF(RAW_File!D:D,C:C,RAW_File!I:I)</f>
        <v>16500</v>
      </c>
      <c r="G786" s="40">
        <f>SUMIF(RAW_File!D:D,C:C,RAW_File!K:K)</f>
        <v>5000</v>
      </c>
      <c r="H786" s="41">
        <f>SUMIF(RAW_File!D:D,C:C,RAW_File!M:M)</f>
        <v>11500</v>
      </c>
      <c r="I786" s="40">
        <f t="shared" si="14"/>
        <v>6500</v>
      </c>
    </row>
    <row r="787" spans="1:9" hidden="1" x14ac:dyDescent="0.25">
      <c r="A787" s="36" t="s">
        <v>93</v>
      </c>
      <c r="B787" s="36" t="s">
        <v>848</v>
      </c>
      <c r="C787" s="36" t="s">
        <v>849</v>
      </c>
      <c r="D787" s="37">
        <f>SUMIF(RAW_File!D:D,C:C,RAW_File!F:F)</f>
        <v>25811.516685458431</v>
      </c>
      <c r="E787" s="38">
        <f>SUMIF(RAW_File!D:D,C:C,RAW_File!G:G)</f>
        <v>21290</v>
      </c>
      <c r="F787" s="39">
        <f>SUMIF(RAW_File!D:D,C:C,RAW_File!I:I)</f>
        <v>26420</v>
      </c>
      <c r="G787" s="40">
        <f>SUMIF(RAW_File!D:D,C:C,RAW_File!K:K)</f>
        <v>40000</v>
      </c>
      <c r="H787" s="41">
        <f>SUMIF(RAW_File!D:D,C:C,RAW_File!M:M)</f>
        <v>0</v>
      </c>
      <c r="I787" s="40">
        <f t="shared" si="14"/>
        <v>40000</v>
      </c>
    </row>
    <row r="788" spans="1:9" hidden="1" x14ac:dyDescent="0.25">
      <c r="A788" s="36" t="s">
        <v>93</v>
      </c>
      <c r="B788" s="36" t="s">
        <v>879</v>
      </c>
      <c r="C788" s="36" t="s">
        <v>880</v>
      </c>
      <c r="D788" s="37">
        <f>SUMIF(RAW_File!D:D,C:C,RAW_File!F:F)</f>
        <v>17640.659358695601</v>
      </c>
      <c r="E788" s="38">
        <f>SUMIF(RAW_File!D:D,C:C,RAW_File!G:G)</f>
        <v>4200</v>
      </c>
      <c r="F788" s="39">
        <f>SUMIF(RAW_File!D:D,C:C,RAW_File!I:I)</f>
        <v>4300</v>
      </c>
      <c r="G788" s="40">
        <f>SUMIF(RAW_File!D:D,C:C,RAW_File!K:K)</f>
        <v>20000</v>
      </c>
      <c r="H788" s="41">
        <f>SUMIF(RAW_File!D:D,C:C,RAW_File!M:M)</f>
        <v>0</v>
      </c>
      <c r="I788" s="40">
        <f t="shared" si="14"/>
        <v>20000</v>
      </c>
    </row>
    <row r="789" spans="1:9" hidden="1" x14ac:dyDescent="0.25">
      <c r="A789" s="36" t="s">
        <v>93</v>
      </c>
      <c r="B789" s="36" t="s">
        <v>979</v>
      </c>
      <c r="C789" s="36" t="s">
        <v>980</v>
      </c>
      <c r="D789" s="37">
        <f>SUMIF(RAW_File!D:D,C:C,RAW_File!F:F)</f>
        <v>4484.7317999999996</v>
      </c>
      <c r="E789" s="38">
        <f>SUMIF(RAW_File!D:D,C:C,RAW_File!G:G)</f>
        <v>2700</v>
      </c>
      <c r="F789" s="39">
        <f>SUMIF(RAW_File!D:D,C:C,RAW_File!I:I)</f>
        <v>7410</v>
      </c>
      <c r="G789" s="40">
        <f>SUMIF(RAW_File!D:D,C:C,RAW_File!K:K)</f>
        <v>0</v>
      </c>
      <c r="H789" s="41">
        <f>SUMIF(RAW_File!D:D,C:C,RAW_File!M:M)</f>
        <v>6000</v>
      </c>
      <c r="I789" s="40">
        <f t="shared" si="14"/>
        <v>6000</v>
      </c>
    </row>
    <row r="790" spans="1:9" hidden="1" x14ac:dyDescent="0.25">
      <c r="A790" s="36" t="s">
        <v>93</v>
      </c>
      <c r="B790" s="36" t="s">
        <v>1093</v>
      </c>
      <c r="C790" s="36" t="s">
        <v>1094</v>
      </c>
      <c r="D790" s="37">
        <f>SUMIF(RAW_File!D:D,C:C,RAW_File!F:F)</f>
        <v>12243.777237212929</v>
      </c>
      <c r="E790" s="38">
        <f>SUMIF(RAW_File!D:D,C:C,RAW_File!G:G)</f>
        <v>17950</v>
      </c>
      <c r="F790" s="39">
        <f>SUMIF(RAW_File!D:D,C:C,RAW_File!I:I)</f>
        <v>66405</v>
      </c>
      <c r="G790" s="40">
        <f>SUMIF(RAW_File!D:D,C:C,RAW_File!K:K)</f>
        <v>0</v>
      </c>
      <c r="H790" s="41">
        <f>SUMIF(RAW_File!D:D,C:C,RAW_File!M:M)</f>
        <v>60000</v>
      </c>
      <c r="I790" s="40">
        <f t="shared" si="14"/>
        <v>60000</v>
      </c>
    </row>
    <row r="791" spans="1:9" hidden="1" x14ac:dyDescent="0.25">
      <c r="A791" s="36" t="s">
        <v>93</v>
      </c>
      <c r="B791" s="36" t="s">
        <v>1321</v>
      </c>
      <c r="C791" s="36" t="s">
        <v>1322</v>
      </c>
      <c r="D791" s="37">
        <f>SUMIF(RAW_File!D:D,C:C,RAW_File!F:F)</f>
        <v>18704.548338233639</v>
      </c>
      <c r="E791" s="38">
        <f>SUMIF(RAW_File!D:D,C:C,RAW_File!G:G)</f>
        <v>6000</v>
      </c>
      <c r="F791" s="39">
        <f>SUMIF(RAW_File!D:D,C:C,RAW_File!I:I)</f>
        <v>7970</v>
      </c>
      <c r="G791" s="40">
        <f>SUMIF(RAW_File!D:D,C:C,RAW_File!K:K)</f>
        <v>0</v>
      </c>
      <c r="H791" s="41">
        <f>SUMIF(RAW_File!D:D,C:C,RAW_File!M:M)</f>
        <v>5000</v>
      </c>
      <c r="I791" s="40">
        <f t="shared" si="14"/>
        <v>5000</v>
      </c>
    </row>
    <row r="792" spans="1:9" hidden="1" x14ac:dyDescent="0.25">
      <c r="A792" s="36" t="s">
        <v>93</v>
      </c>
      <c r="B792" s="36" t="s">
        <v>1375</v>
      </c>
      <c r="C792" s="36" t="s">
        <v>1376</v>
      </c>
      <c r="D792" s="37">
        <f>SUMIF(RAW_File!D:D,C:C,RAW_File!F:F)</f>
        <v>4583.3227228518799</v>
      </c>
      <c r="E792" s="38">
        <f>SUMIF(RAW_File!D:D,C:C,RAW_File!G:G)</f>
        <v>3510</v>
      </c>
      <c r="F792" s="39">
        <f>SUMIF(RAW_File!D:D,C:C,RAW_File!I:I)</f>
        <v>7210</v>
      </c>
      <c r="G792" s="40">
        <f>SUMIF(RAW_File!D:D,C:C,RAW_File!K:K)</f>
        <v>5000</v>
      </c>
      <c r="H792" s="41">
        <f>SUMIF(RAW_File!D:D,C:C,RAW_File!M:M)</f>
        <v>0</v>
      </c>
      <c r="I792" s="40">
        <f t="shared" si="14"/>
        <v>5000</v>
      </c>
    </row>
    <row r="793" spans="1:9" hidden="1" x14ac:dyDescent="0.25">
      <c r="A793" s="36" t="s">
        <v>93</v>
      </c>
      <c r="B793" s="36" t="s">
        <v>1456</v>
      </c>
      <c r="C793" s="36" t="s">
        <v>1457</v>
      </c>
      <c r="D793" s="37">
        <f>SUMIF(RAW_File!D:D,C:C,RAW_File!F:F)</f>
        <v>16291.894061000001</v>
      </c>
      <c r="E793" s="38">
        <f>SUMIF(RAW_File!D:D,C:C,RAW_File!G:G)</f>
        <v>37580</v>
      </c>
      <c r="F793" s="39">
        <f>SUMIF(RAW_File!D:D,C:C,RAW_File!I:I)</f>
        <v>59882</v>
      </c>
      <c r="G793" s="40">
        <f>SUMIF(RAW_File!D:D,C:C,RAW_File!K:K)</f>
        <v>0</v>
      </c>
      <c r="H793" s="41">
        <f>SUMIF(RAW_File!D:D,C:C,RAW_File!M:M)</f>
        <v>6000</v>
      </c>
      <c r="I793" s="40">
        <f t="shared" si="14"/>
        <v>6000</v>
      </c>
    </row>
    <row r="794" spans="1:9" hidden="1" x14ac:dyDescent="0.25">
      <c r="A794" s="36" t="s">
        <v>93</v>
      </c>
      <c r="B794" s="36" t="s">
        <v>1485</v>
      </c>
      <c r="C794" s="36" t="s">
        <v>1486</v>
      </c>
      <c r="D794" s="37">
        <f>SUMIF(RAW_File!D:D,C:C,RAW_File!F:F)</f>
        <v>250.37697094723231</v>
      </c>
      <c r="E794" s="38">
        <f>SUMIF(RAW_File!D:D,C:C,RAW_File!G:G)</f>
        <v>7590</v>
      </c>
      <c r="F794" s="39">
        <f>SUMIF(RAW_File!D:D,C:C,RAW_File!I:I)</f>
        <v>36080</v>
      </c>
      <c r="G794" s="40">
        <f>SUMIF(RAW_File!D:D,C:C,RAW_File!K:K)</f>
        <v>10000</v>
      </c>
      <c r="H794" s="41">
        <f>SUMIF(RAW_File!D:D,C:C,RAW_File!M:M)</f>
        <v>30000</v>
      </c>
      <c r="I794" s="40">
        <f t="shared" si="14"/>
        <v>20000</v>
      </c>
    </row>
    <row r="795" spans="1:9" hidden="1" x14ac:dyDescent="0.25">
      <c r="A795" s="36" t="s">
        <v>93</v>
      </c>
      <c r="B795" s="36" t="s">
        <v>1619</v>
      </c>
      <c r="C795" s="36" t="s">
        <v>1620</v>
      </c>
      <c r="D795" s="37">
        <f>SUMIF(RAW_File!D:D,C:C,RAW_File!F:F)</f>
        <v>14132.4272</v>
      </c>
      <c r="E795" s="38">
        <f>SUMIF(RAW_File!D:D,C:C,RAW_File!G:G)</f>
        <v>13520</v>
      </c>
      <c r="F795" s="39">
        <f>SUMIF(RAW_File!D:D,C:C,RAW_File!I:I)</f>
        <v>14520</v>
      </c>
      <c r="G795" s="40">
        <f>SUMIF(RAW_File!D:D,C:C,RAW_File!K:K)</f>
        <v>15000</v>
      </c>
      <c r="H795" s="41">
        <f>SUMIF(RAW_File!D:D,C:C,RAW_File!M:M)</f>
        <v>5000</v>
      </c>
      <c r="I795" s="40">
        <f t="shared" si="14"/>
        <v>10000</v>
      </c>
    </row>
    <row r="796" spans="1:9" hidden="1" x14ac:dyDescent="0.25">
      <c r="A796" s="36" t="s">
        <v>93</v>
      </c>
      <c r="B796" s="36" t="s">
        <v>1621</v>
      </c>
      <c r="C796" s="36" t="s">
        <v>1622</v>
      </c>
      <c r="D796" s="37">
        <f>SUMIF(RAW_File!D:D,C:C,RAW_File!F:F)</f>
        <v>39.3536</v>
      </c>
      <c r="E796" s="38">
        <f>SUMIF(RAW_File!D:D,C:C,RAW_File!G:G)</f>
        <v>6450</v>
      </c>
      <c r="F796" s="39">
        <f>SUMIF(RAW_File!D:D,C:C,RAW_File!I:I)</f>
        <v>6450</v>
      </c>
      <c r="G796" s="40">
        <f>SUMIF(RAW_File!D:D,C:C,RAW_File!K:K)</f>
        <v>5000</v>
      </c>
      <c r="H796" s="41">
        <f>SUMIF(RAW_File!D:D,C:C,RAW_File!M:M)</f>
        <v>0</v>
      </c>
      <c r="I796" s="40">
        <f t="shared" si="14"/>
        <v>5000</v>
      </c>
    </row>
    <row r="797" spans="1:9" hidden="1" x14ac:dyDescent="0.25">
      <c r="A797" s="36" t="s">
        <v>93</v>
      </c>
      <c r="B797" s="36" t="s">
        <v>1629</v>
      </c>
      <c r="C797" s="36" t="s">
        <v>1630</v>
      </c>
      <c r="D797" s="37">
        <f>SUMIF(RAW_File!D:D,C:C,RAW_File!F:F)</f>
        <v>19334.728500000001</v>
      </c>
      <c r="E797" s="38">
        <f>SUMIF(RAW_File!D:D,C:C,RAW_File!G:G)</f>
        <v>200</v>
      </c>
      <c r="F797" s="39">
        <f>SUMIF(RAW_File!D:D,C:C,RAW_File!I:I)</f>
        <v>4870</v>
      </c>
      <c r="G797" s="40">
        <f>SUMIF(RAW_File!D:D,C:C,RAW_File!K:K)</f>
        <v>0</v>
      </c>
      <c r="H797" s="41">
        <f>SUMIF(RAW_File!D:D,C:C,RAW_File!M:M)</f>
        <v>10000</v>
      </c>
      <c r="I797" s="40">
        <f t="shared" si="14"/>
        <v>10000</v>
      </c>
    </row>
    <row r="798" spans="1:9" hidden="1" x14ac:dyDescent="0.25">
      <c r="A798" s="36" t="s">
        <v>93</v>
      </c>
      <c r="B798" s="36" t="s">
        <v>1714</v>
      </c>
      <c r="C798" s="36" t="s">
        <v>1715</v>
      </c>
      <c r="D798" s="37">
        <f>SUMIF(RAW_File!D:D,C:C,RAW_File!F:F)</f>
        <v>40650.949893852572</v>
      </c>
      <c r="E798" s="38">
        <f>SUMIF(RAW_File!D:D,C:C,RAW_File!G:G)</f>
        <v>0</v>
      </c>
      <c r="F798" s="39">
        <f>SUMIF(RAW_File!D:D,C:C,RAW_File!I:I)</f>
        <v>500</v>
      </c>
      <c r="G798" s="40">
        <f>SUMIF(RAW_File!D:D,C:C,RAW_File!K:K)</f>
        <v>0</v>
      </c>
      <c r="H798" s="41">
        <f>SUMIF(RAW_File!D:D,C:C,RAW_File!M:M)</f>
        <v>13000</v>
      </c>
      <c r="I798" s="40">
        <f t="shared" si="14"/>
        <v>13000</v>
      </c>
    </row>
    <row r="799" spans="1:9" hidden="1" x14ac:dyDescent="0.25">
      <c r="A799" s="36" t="s">
        <v>93</v>
      </c>
      <c r="B799" s="36" t="s">
        <v>1880</v>
      </c>
      <c r="C799" s="36" t="s">
        <v>1881</v>
      </c>
      <c r="D799" s="37">
        <f>SUMIF(RAW_File!D:D,C:C,RAW_File!F:F)</f>
        <v>6458.3004391775239</v>
      </c>
      <c r="E799" s="38">
        <f>SUMIF(RAW_File!D:D,C:C,RAW_File!G:G)</f>
        <v>0</v>
      </c>
      <c r="F799" s="39">
        <f>SUMIF(RAW_File!D:D,C:C,RAW_File!I:I)</f>
        <v>1020</v>
      </c>
      <c r="G799" s="40">
        <f>SUMIF(RAW_File!D:D,C:C,RAW_File!K:K)</f>
        <v>5000</v>
      </c>
      <c r="H799" s="41">
        <f>SUMIF(RAW_File!D:D,C:C,RAW_File!M:M)</f>
        <v>0</v>
      </c>
      <c r="I799" s="40">
        <f t="shared" si="14"/>
        <v>5000</v>
      </c>
    </row>
    <row r="800" spans="1:9" hidden="1" x14ac:dyDescent="0.25">
      <c r="A800" s="36" t="s">
        <v>93</v>
      </c>
      <c r="B800" s="36" t="s">
        <v>2095</v>
      </c>
      <c r="C800" s="36" t="s">
        <v>2096</v>
      </c>
      <c r="D800" s="37">
        <f>SUMIF(RAW_File!D:D,C:C,RAW_File!F:F)</f>
        <v>11422.547508695699</v>
      </c>
      <c r="E800" s="38">
        <f>SUMIF(RAW_File!D:D,C:C,RAW_File!G:G)</f>
        <v>6910</v>
      </c>
      <c r="F800" s="39">
        <f>SUMIF(RAW_File!D:D,C:C,RAW_File!I:I)</f>
        <v>14880</v>
      </c>
      <c r="G800" s="40">
        <f>SUMIF(RAW_File!D:D,C:C,RAW_File!K:K)</f>
        <v>6000</v>
      </c>
      <c r="H800" s="41">
        <f>SUMIF(RAW_File!D:D,C:C,RAW_File!M:M)</f>
        <v>0</v>
      </c>
      <c r="I800" s="40">
        <f t="shared" si="14"/>
        <v>6000</v>
      </c>
    </row>
    <row r="801" spans="1:9" hidden="1" x14ac:dyDescent="0.25">
      <c r="A801" s="36" t="s">
        <v>93</v>
      </c>
      <c r="B801" s="36" t="s">
        <v>2180</v>
      </c>
      <c r="C801" s="36" t="s">
        <v>2181</v>
      </c>
      <c r="D801" s="37">
        <f>SUMIF(RAW_File!D:D,C:C,RAW_File!F:F)</f>
        <v>7138.2230341199356</v>
      </c>
      <c r="E801" s="38">
        <f>SUMIF(RAW_File!D:D,C:C,RAW_File!G:G)</f>
        <v>953</v>
      </c>
      <c r="F801" s="39">
        <f>SUMIF(RAW_File!D:D,C:C,RAW_File!I:I)</f>
        <v>12943</v>
      </c>
      <c r="G801" s="40">
        <f>SUMIF(RAW_File!D:D,C:C,RAW_File!K:K)</f>
        <v>10000</v>
      </c>
      <c r="H801" s="41">
        <f>SUMIF(RAW_File!D:D,C:C,RAW_File!M:M)</f>
        <v>15000</v>
      </c>
      <c r="I801" s="40">
        <f t="shared" si="14"/>
        <v>5000</v>
      </c>
    </row>
    <row r="802" spans="1:9" hidden="1" x14ac:dyDescent="0.25">
      <c r="A802" s="36" t="s">
        <v>93</v>
      </c>
      <c r="B802" s="36" t="s">
        <v>509</v>
      </c>
      <c r="C802" s="36" t="s">
        <v>2324</v>
      </c>
      <c r="D802" s="37">
        <f>SUMIF(RAW_File!D:D,C:C,RAW_File!F:F)</f>
        <v>3387.9364</v>
      </c>
      <c r="E802" s="38">
        <f>SUMIF(RAW_File!D:D,C:C,RAW_File!G:G)</f>
        <v>19705</v>
      </c>
      <c r="F802" s="39">
        <f>SUMIF(RAW_File!D:D,C:C,RAW_File!I:I)</f>
        <v>41806</v>
      </c>
      <c r="G802" s="40">
        <f>SUMIF(RAW_File!D:D,C:C,RAW_File!K:K)</f>
        <v>0</v>
      </c>
      <c r="H802" s="41">
        <f>SUMIF(RAW_File!D:D,C:C,RAW_File!M:M)</f>
        <v>15000</v>
      </c>
      <c r="I802" s="40">
        <f t="shared" si="14"/>
        <v>15000</v>
      </c>
    </row>
    <row r="803" spans="1:9" hidden="1" x14ac:dyDescent="0.25">
      <c r="A803" s="36" t="s">
        <v>93</v>
      </c>
      <c r="B803" s="36" t="s">
        <v>2397</v>
      </c>
      <c r="C803" s="36" t="s">
        <v>2398</v>
      </c>
      <c r="D803" s="37">
        <f>SUMIF(RAW_File!D:D,C:C,RAW_File!F:F)</f>
        <v>62.12943607364614</v>
      </c>
      <c r="E803" s="38">
        <f>SUMIF(RAW_File!D:D,C:C,RAW_File!G:G)</f>
        <v>0</v>
      </c>
      <c r="F803" s="39">
        <f>SUMIF(RAW_File!D:D,C:C,RAW_File!I:I)</f>
        <v>0</v>
      </c>
      <c r="G803" s="40">
        <f>SUMIF(RAW_File!D:D,C:C,RAW_File!K:K)</f>
        <v>0</v>
      </c>
      <c r="H803" s="41">
        <f>SUMIF(RAW_File!D:D,C:C,RAW_File!M:M)</f>
        <v>0</v>
      </c>
      <c r="I803" s="40">
        <f t="shared" si="14"/>
        <v>0</v>
      </c>
    </row>
    <row r="804" spans="1:9" hidden="1" x14ac:dyDescent="0.25">
      <c r="A804" s="36" t="s">
        <v>93</v>
      </c>
      <c r="B804" s="36" t="s">
        <v>2489</v>
      </c>
      <c r="C804" s="36" t="s">
        <v>2490</v>
      </c>
      <c r="D804" s="37">
        <f>SUMIF(RAW_File!D:D,C:C,RAW_File!F:F)</f>
        <v>34645.806600000004</v>
      </c>
      <c r="E804" s="38">
        <f>SUMIF(RAW_File!D:D,C:C,RAW_File!G:G)</f>
        <v>19830</v>
      </c>
      <c r="F804" s="39">
        <f>SUMIF(RAW_File!D:D,C:C,RAW_File!I:I)</f>
        <v>22240</v>
      </c>
      <c r="G804" s="40">
        <f>SUMIF(RAW_File!D:D,C:C,RAW_File!K:K)</f>
        <v>10000</v>
      </c>
      <c r="H804" s="41">
        <f>SUMIF(RAW_File!D:D,C:C,RAW_File!M:M)</f>
        <v>0</v>
      </c>
      <c r="I804" s="40">
        <f t="shared" si="14"/>
        <v>10000</v>
      </c>
    </row>
    <row r="805" spans="1:9" hidden="1" x14ac:dyDescent="0.25">
      <c r="A805" s="36" t="s">
        <v>93</v>
      </c>
      <c r="B805" s="36" t="s">
        <v>2506</v>
      </c>
      <c r="C805" s="36" t="s">
        <v>2507</v>
      </c>
      <c r="D805" s="37">
        <f>SUMIF(RAW_File!D:D,C:C,RAW_File!F:F)</f>
        <v>9261.1822000009997</v>
      </c>
      <c r="E805" s="38">
        <f>SUMIF(RAW_File!D:D,C:C,RAW_File!G:G)</f>
        <v>1900</v>
      </c>
      <c r="F805" s="39">
        <f>SUMIF(RAW_File!D:D,C:C,RAW_File!I:I)</f>
        <v>6340</v>
      </c>
      <c r="G805" s="40">
        <f>SUMIF(RAW_File!D:D,C:C,RAW_File!K:K)</f>
        <v>5000</v>
      </c>
      <c r="H805" s="41">
        <f>SUMIF(RAW_File!D:D,C:C,RAW_File!M:M)</f>
        <v>0</v>
      </c>
      <c r="I805" s="40">
        <f t="shared" si="14"/>
        <v>5000</v>
      </c>
    </row>
    <row r="806" spans="1:9" hidden="1" x14ac:dyDescent="0.25">
      <c r="A806" s="36" t="s">
        <v>93</v>
      </c>
      <c r="B806" s="36" t="s">
        <v>2508</v>
      </c>
      <c r="C806" s="36" t="s">
        <v>2509</v>
      </c>
      <c r="D806" s="37">
        <f>SUMIF(RAW_File!D:D,C:C,RAW_File!F:F)</f>
        <v>4451.0902779999997</v>
      </c>
      <c r="E806" s="38">
        <f>SUMIF(RAW_File!D:D,C:C,RAW_File!G:G)</f>
        <v>7620</v>
      </c>
      <c r="F806" s="39">
        <f>SUMIF(RAW_File!D:D,C:C,RAW_File!I:I)</f>
        <v>10565</v>
      </c>
      <c r="G806" s="40">
        <f>SUMIF(RAW_File!D:D,C:C,RAW_File!K:K)</f>
        <v>0</v>
      </c>
      <c r="H806" s="41">
        <f>SUMIF(RAW_File!D:D,C:C,RAW_File!M:M)</f>
        <v>20000</v>
      </c>
      <c r="I806" s="40">
        <f t="shared" si="14"/>
        <v>20000</v>
      </c>
    </row>
    <row r="807" spans="1:9" hidden="1" x14ac:dyDescent="0.25">
      <c r="A807" s="36" t="s">
        <v>93</v>
      </c>
      <c r="B807" s="36" t="s">
        <v>2633</v>
      </c>
      <c r="C807" s="36" t="s">
        <v>2634</v>
      </c>
      <c r="D807" s="37">
        <f>SUMIF(RAW_File!D:D,C:C,RAW_File!F:F)</f>
        <v>12268.7392</v>
      </c>
      <c r="E807" s="38">
        <f>SUMIF(RAW_File!D:D,C:C,RAW_File!G:G)</f>
        <v>17265</v>
      </c>
      <c r="F807" s="39">
        <f>SUMIF(RAW_File!D:D,C:C,RAW_File!I:I)</f>
        <v>37635</v>
      </c>
      <c r="G807" s="40">
        <f>SUMIF(RAW_File!D:D,C:C,RAW_File!K:K)</f>
        <v>10000</v>
      </c>
      <c r="H807" s="41">
        <f>SUMIF(RAW_File!D:D,C:C,RAW_File!M:M)</f>
        <v>0</v>
      </c>
      <c r="I807" s="40">
        <f t="shared" si="14"/>
        <v>10000</v>
      </c>
    </row>
    <row r="808" spans="1:9" hidden="1" x14ac:dyDescent="0.25">
      <c r="A808" s="36" t="s">
        <v>93</v>
      </c>
      <c r="B808" s="36" t="s">
        <v>2738</v>
      </c>
      <c r="C808" s="36" t="s">
        <v>2739</v>
      </c>
      <c r="D808" s="37">
        <f>SUMIF(RAW_File!D:D,C:C,RAW_File!F:F)</f>
        <v>22433.947897114482</v>
      </c>
      <c r="E808" s="38">
        <f>SUMIF(RAW_File!D:D,C:C,RAW_File!G:G)</f>
        <v>4250</v>
      </c>
      <c r="F808" s="39">
        <f>SUMIF(RAW_File!D:D,C:C,RAW_File!I:I)</f>
        <v>16850</v>
      </c>
      <c r="G808" s="40">
        <f>SUMIF(RAW_File!D:D,C:C,RAW_File!K:K)</f>
        <v>0</v>
      </c>
      <c r="H808" s="41">
        <f>SUMIF(RAW_File!D:D,C:C,RAW_File!M:M)</f>
        <v>15000</v>
      </c>
      <c r="I808" s="40">
        <f t="shared" si="14"/>
        <v>15000</v>
      </c>
    </row>
    <row r="809" spans="1:9" hidden="1" x14ac:dyDescent="0.25">
      <c r="A809" s="36" t="s">
        <v>93</v>
      </c>
      <c r="B809" s="36" t="s">
        <v>2752</v>
      </c>
      <c r="C809" s="36" t="s">
        <v>2753</v>
      </c>
      <c r="D809" s="37">
        <f>SUMIF(RAW_File!D:D,C:C,RAW_File!F:F)</f>
        <v>17156.927</v>
      </c>
      <c r="E809" s="38">
        <f>SUMIF(RAW_File!D:D,C:C,RAW_File!G:G)</f>
        <v>23300</v>
      </c>
      <c r="F809" s="39">
        <f>SUMIF(RAW_File!D:D,C:C,RAW_File!I:I)</f>
        <v>28180</v>
      </c>
      <c r="G809" s="40">
        <f>SUMIF(RAW_File!D:D,C:C,RAW_File!K:K)</f>
        <v>20000</v>
      </c>
      <c r="H809" s="41">
        <f>SUMIF(RAW_File!D:D,C:C,RAW_File!M:M)</f>
        <v>0</v>
      </c>
      <c r="I809" s="40">
        <f t="shared" si="14"/>
        <v>20000</v>
      </c>
    </row>
    <row r="810" spans="1:9" hidden="1" x14ac:dyDescent="0.25">
      <c r="A810" s="36" t="s">
        <v>93</v>
      </c>
      <c r="B810" s="36" t="s">
        <v>2782</v>
      </c>
      <c r="C810" s="36" t="s">
        <v>2783</v>
      </c>
      <c r="D810" s="37">
        <f>SUMIF(RAW_File!D:D,C:C,RAW_File!F:F)</f>
        <v>1515.398815137095</v>
      </c>
      <c r="E810" s="38">
        <f>SUMIF(RAW_File!D:D,C:C,RAW_File!G:G)</f>
        <v>7355</v>
      </c>
      <c r="F810" s="39">
        <f>SUMIF(RAW_File!D:D,C:C,RAW_File!I:I)</f>
        <v>44810</v>
      </c>
      <c r="G810" s="40">
        <f>SUMIF(RAW_File!D:D,C:C,RAW_File!K:K)</f>
        <v>0</v>
      </c>
      <c r="H810" s="41">
        <f>SUMIF(RAW_File!D:D,C:C,RAW_File!M:M)</f>
        <v>40000</v>
      </c>
      <c r="I810" s="40">
        <f t="shared" si="14"/>
        <v>40000</v>
      </c>
    </row>
    <row r="811" spans="1:9" hidden="1" x14ac:dyDescent="0.25">
      <c r="A811" s="36" t="s">
        <v>93</v>
      </c>
      <c r="B811" s="36" t="s">
        <v>2790</v>
      </c>
      <c r="C811" s="36" t="s">
        <v>2791</v>
      </c>
      <c r="D811" s="37">
        <f>SUMIF(RAW_File!D:D,C:C,RAW_File!F:F)</f>
        <v>47993.109900000003</v>
      </c>
      <c r="E811" s="38">
        <f>SUMIF(RAW_File!D:D,C:C,RAW_File!G:G)</f>
        <v>4520</v>
      </c>
      <c r="F811" s="39">
        <f>SUMIF(RAW_File!D:D,C:C,RAW_File!I:I)</f>
        <v>10490</v>
      </c>
      <c r="G811" s="40">
        <f>SUMIF(RAW_File!D:D,C:C,RAW_File!K:K)</f>
        <v>15000</v>
      </c>
      <c r="H811" s="41">
        <f>SUMIF(RAW_File!D:D,C:C,RAW_File!M:M)</f>
        <v>0</v>
      </c>
      <c r="I811" s="40">
        <f t="shared" si="14"/>
        <v>15000</v>
      </c>
    </row>
    <row r="812" spans="1:9" hidden="1" x14ac:dyDescent="0.25">
      <c r="A812" s="36" t="s">
        <v>93</v>
      </c>
      <c r="B812" s="36" t="s">
        <v>2792</v>
      </c>
      <c r="C812" s="36" t="s">
        <v>2793</v>
      </c>
      <c r="D812" s="37">
        <f>SUMIF(RAW_File!D:D,C:C,RAW_File!F:F)</f>
        <v>15831.697550000001</v>
      </c>
      <c r="E812" s="38">
        <f>SUMIF(RAW_File!D:D,C:C,RAW_File!G:G)</f>
        <v>9380</v>
      </c>
      <c r="F812" s="39">
        <f>SUMIF(RAW_File!D:D,C:C,RAW_File!I:I)</f>
        <v>15230</v>
      </c>
      <c r="G812" s="40">
        <f>SUMIF(RAW_File!D:D,C:C,RAW_File!K:K)</f>
        <v>5000</v>
      </c>
      <c r="H812" s="41">
        <f>SUMIF(RAW_File!D:D,C:C,RAW_File!M:M)</f>
        <v>0</v>
      </c>
      <c r="I812" s="40">
        <f t="shared" si="14"/>
        <v>5000</v>
      </c>
    </row>
    <row r="813" spans="1:9" hidden="1" x14ac:dyDescent="0.25">
      <c r="A813" s="36" t="s">
        <v>93</v>
      </c>
      <c r="B813" s="36" t="s">
        <v>3091</v>
      </c>
      <c r="C813" s="36" t="s">
        <v>3092</v>
      </c>
      <c r="D813" s="37">
        <f>SUMIF(RAW_File!D:D,C:C,RAW_File!F:F)</f>
        <v>1762.8433474717961</v>
      </c>
      <c r="E813" s="38">
        <f>SUMIF(RAW_File!D:D,C:C,RAW_File!G:G)</f>
        <v>0</v>
      </c>
      <c r="F813" s="39">
        <f>SUMIF(RAW_File!D:D,C:C,RAW_File!I:I)</f>
        <v>1700</v>
      </c>
      <c r="G813" s="40">
        <f>SUMIF(RAW_File!D:D,C:C,RAW_File!K:K)</f>
        <v>0</v>
      </c>
      <c r="H813" s="41">
        <f>SUMIF(RAW_File!D:D,C:C,RAW_File!M:M)</f>
        <v>0</v>
      </c>
      <c r="I813" s="40">
        <f t="shared" si="14"/>
        <v>0</v>
      </c>
    </row>
    <row r="814" spans="1:9" hidden="1" x14ac:dyDescent="0.25">
      <c r="A814" s="36" t="s">
        <v>93</v>
      </c>
      <c r="B814" s="36" t="s">
        <v>3114</v>
      </c>
      <c r="C814" s="36" t="s">
        <v>3115</v>
      </c>
      <c r="D814" s="37">
        <f>SUMIF(RAW_File!D:D,C:C,RAW_File!F:F)</f>
        <v>3209.714710573171</v>
      </c>
      <c r="E814" s="38">
        <f>SUMIF(RAW_File!D:D,C:C,RAW_File!G:G)</f>
        <v>11240</v>
      </c>
      <c r="F814" s="39">
        <f>SUMIF(RAW_File!D:D,C:C,RAW_File!I:I)</f>
        <v>14440</v>
      </c>
      <c r="G814" s="40">
        <f>SUMIF(RAW_File!D:D,C:C,RAW_File!K:K)</f>
        <v>0</v>
      </c>
      <c r="H814" s="41">
        <f>SUMIF(RAW_File!D:D,C:C,RAW_File!M:M)</f>
        <v>5000</v>
      </c>
      <c r="I814" s="40">
        <f t="shared" si="14"/>
        <v>5000</v>
      </c>
    </row>
    <row r="815" spans="1:9" hidden="1" x14ac:dyDescent="0.25">
      <c r="A815" s="36" t="s">
        <v>93</v>
      </c>
      <c r="B815" s="36" t="s">
        <v>3361</v>
      </c>
      <c r="C815" s="36" t="s">
        <v>3362</v>
      </c>
      <c r="D815" s="37">
        <f>SUMIF(RAW_File!D:D,C:C,RAW_File!F:F)</f>
        <v>1162.9021332223019</v>
      </c>
      <c r="E815" s="38">
        <f>SUMIF(RAW_File!D:D,C:C,RAW_File!G:G)</f>
        <v>5040</v>
      </c>
      <c r="F815" s="39">
        <f>SUMIF(RAW_File!D:D,C:C,RAW_File!I:I)</f>
        <v>5040</v>
      </c>
      <c r="G815" s="40">
        <f>SUMIF(RAW_File!D:D,C:C,RAW_File!K:K)</f>
        <v>5000</v>
      </c>
      <c r="H815" s="41">
        <f>SUMIF(RAW_File!D:D,C:C,RAW_File!M:M)</f>
        <v>0</v>
      </c>
      <c r="I815" s="40">
        <f t="shared" si="14"/>
        <v>5000</v>
      </c>
    </row>
    <row r="816" spans="1:9" hidden="1" x14ac:dyDescent="0.25">
      <c r="A816" s="36" t="s">
        <v>93</v>
      </c>
      <c r="B816" s="36" t="s">
        <v>3399</v>
      </c>
      <c r="C816" s="36" t="s">
        <v>3400</v>
      </c>
      <c r="D816" s="37">
        <f>SUMIF(RAW_File!D:D,C:C,RAW_File!F:F)</f>
        <v>2990.0912638619379</v>
      </c>
      <c r="E816" s="38">
        <f>SUMIF(RAW_File!D:D,C:C,RAW_File!G:G)</f>
        <v>3600</v>
      </c>
      <c r="F816" s="39">
        <f>SUMIF(RAW_File!D:D,C:C,RAW_File!I:I)</f>
        <v>4750</v>
      </c>
      <c r="G816" s="40">
        <f>SUMIF(RAW_File!D:D,C:C,RAW_File!K:K)</f>
        <v>5000</v>
      </c>
      <c r="H816" s="41">
        <f>SUMIF(RAW_File!D:D,C:C,RAW_File!M:M)</f>
        <v>0</v>
      </c>
      <c r="I816" s="40">
        <f t="shared" si="14"/>
        <v>5000</v>
      </c>
    </row>
    <row r="817" spans="1:9" hidden="1" x14ac:dyDescent="0.25">
      <c r="A817" s="36" t="s">
        <v>93</v>
      </c>
      <c r="B817" s="36" t="s">
        <v>3460</v>
      </c>
      <c r="C817" s="36" t="s">
        <v>3461</v>
      </c>
      <c r="D817" s="37">
        <f>SUMIF(RAW_File!D:D,C:C,RAW_File!F:F)</f>
        <v>135.13929999999999</v>
      </c>
      <c r="E817" s="38">
        <f>SUMIF(RAW_File!D:D,C:C,RAW_File!G:G)</f>
        <v>9930</v>
      </c>
      <c r="F817" s="39">
        <f>SUMIF(RAW_File!D:D,C:C,RAW_File!I:I)</f>
        <v>9930</v>
      </c>
      <c r="G817" s="40">
        <f>SUMIF(RAW_File!D:D,C:C,RAW_File!K:K)</f>
        <v>10000</v>
      </c>
      <c r="H817" s="41">
        <f>SUMIF(RAW_File!D:D,C:C,RAW_File!M:M)</f>
        <v>0</v>
      </c>
      <c r="I817" s="40">
        <f t="shared" si="14"/>
        <v>10000</v>
      </c>
    </row>
    <row r="818" spans="1:9" hidden="1" x14ac:dyDescent="0.25">
      <c r="A818" s="36" t="s">
        <v>93</v>
      </c>
      <c r="B818" s="36" t="s">
        <v>3537</v>
      </c>
      <c r="C818" s="36" t="s">
        <v>3538</v>
      </c>
      <c r="D818" s="37">
        <f>SUMIF(RAW_File!D:D,C:C,RAW_File!F:F)</f>
        <v>19413.384399999999</v>
      </c>
      <c r="E818" s="38">
        <f>SUMIF(RAW_File!D:D,C:C,RAW_File!G:G)</f>
        <v>15200</v>
      </c>
      <c r="F818" s="39">
        <f>SUMIF(RAW_File!D:D,C:C,RAW_File!I:I)</f>
        <v>63240</v>
      </c>
      <c r="G818" s="40">
        <f>SUMIF(RAW_File!D:D,C:C,RAW_File!K:K)</f>
        <v>0</v>
      </c>
      <c r="H818" s="41">
        <f>SUMIF(RAW_File!D:D,C:C,RAW_File!M:M)</f>
        <v>40000</v>
      </c>
      <c r="I818" s="40">
        <f t="shared" si="14"/>
        <v>40000</v>
      </c>
    </row>
    <row r="819" spans="1:9" hidden="1" x14ac:dyDescent="0.25">
      <c r="A819" s="36" t="s">
        <v>80</v>
      </c>
      <c r="B819" s="36" t="s">
        <v>288</v>
      </c>
      <c r="C819" s="36" t="s">
        <v>289</v>
      </c>
      <c r="D819" s="37">
        <f>SUMIF(RAW_File!D:D,C:C,RAW_File!F:F)</f>
        <v>15717.14982139636</v>
      </c>
      <c r="E819" s="38">
        <f>SUMIF(RAW_File!D:D,C:C,RAW_File!G:G)</f>
        <v>1100</v>
      </c>
      <c r="F819" s="39">
        <f>SUMIF(RAW_File!D:D,C:C,RAW_File!I:I)</f>
        <v>15070</v>
      </c>
      <c r="G819" s="40">
        <f>SUMIF(RAW_File!D:D,C:C,RAW_File!K:K)</f>
        <v>0</v>
      </c>
      <c r="H819" s="41">
        <f>SUMIF(RAW_File!D:D,C:C,RAW_File!M:M)</f>
        <v>6000</v>
      </c>
      <c r="I819" s="40">
        <f t="shared" si="14"/>
        <v>6000</v>
      </c>
    </row>
    <row r="820" spans="1:9" hidden="1" x14ac:dyDescent="0.25">
      <c r="A820" s="36" t="s">
        <v>80</v>
      </c>
      <c r="B820" s="36" t="s">
        <v>356</v>
      </c>
      <c r="C820" s="36" t="s">
        <v>357</v>
      </c>
      <c r="D820" s="37">
        <f>SUMIF(RAW_File!D:D,C:C,RAW_File!F:F)</f>
        <v>14274.763499999999</v>
      </c>
      <c r="E820" s="38">
        <f>SUMIF(RAW_File!D:D,C:C,RAW_File!G:G)</f>
        <v>0</v>
      </c>
      <c r="F820" s="39">
        <f>SUMIF(RAW_File!D:D,C:C,RAW_File!I:I)</f>
        <v>0</v>
      </c>
      <c r="G820" s="40">
        <f>SUMIF(RAW_File!D:D,C:C,RAW_File!K:K)</f>
        <v>5000</v>
      </c>
      <c r="H820" s="41">
        <f>SUMIF(RAW_File!D:D,C:C,RAW_File!M:M)</f>
        <v>0</v>
      </c>
      <c r="I820" s="40">
        <f t="shared" si="14"/>
        <v>5000</v>
      </c>
    </row>
    <row r="821" spans="1:9" hidden="1" x14ac:dyDescent="0.25">
      <c r="A821" s="36" t="s">
        <v>80</v>
      </c>
      <c r="B821" s="36" t="s">
        <v>391</v>
      </c>
      <c r="C821" s="36" t="s">
        <v>392</v>
      </c>
      <c r="D821" s="37">
        <f>SUMIF(RAW_File!D:D,C:C,RAW_File!F:F)</f>
        <v>1416.230644</v>
      </c>
      <c r="E821" s="38">
        <f>SUMIF(RAW_File!D:D,C:C,RAW_File!G:G)</f>
        <v>0</v>
      </c>
      <c r="F821" s="39">
        <f>SUMIF(RAW_File!D:D,C:C,RAW_File!I:I)</f>
        <v>1060</v>
      </c>
      <c r="G821" s="40">
        <f>SUMIF(RAW_File!D:D,C:C,RAW_File!K:K)</f>
        <v>0</v>
      </c>
      <c r="H821" s="41">
        <f>SUMIF(RAW_File!D:D,C:C,RAW_File!M:M)</f>
        <v>22000</v>
      </c>
      <c r="I821" s="40">
        <f t="shared" si="14"/>
        <v>22000</v>
      </c>
    </row>
    <row r="822" spans="1:9" hidden="1" x14ac:dyDescent="0.25">
      <c r="A822" s="36" t="s">
        <v>80</v>
      </c>
      <c r="B822" s="36" t="s">
        <v>455</v>
      </c>
      <c r="C822" s="36" t="s">
        <v>456</v>
      </c>
      <c r="D822" s="37">
        <f>SUMIF(RAW_File!D:D,C:C,RAW_File!F:F)</f>
        <v>5779.6112833268953</v>
      </c>
      <c r="E822" s="38">
        <f>SUMIF(RAW_File!D:D,C:C,RAW_File!G:G)</f>
        <v>15670</v>
      </c>
      <c r="F822" s="39">
        <f>SUMIF(RAW_File!D:D,C:C,RAW_File!I:I)</f>
        <v>73565</v>
      </c>
      <c r="G822" s="40">
        <f>SUMIF(RAW_File!D:D,C:C,RAW_File!K:K)</f>
        <v>0</v>
      </c>
      <c r="H822" s="41">
        <f>SUMIF(RAW_File!D:D,C:C,RAW_File!M:M)</f>
        <v>100000</v>
      </c>
      <c r="I822" s="40">
        <f t="shared" si="14"/>
        <v>100000</v>
      </c>
    </row>
    <row r="823" spans="1:9" hidden="1" x14ac:dyDescent="0.25">
      <c r="A823" s="36" t="s">
        <v>80</v>
      </c>
      <c r="B823" s="36" t="s">
        <v>492</v>
      </c>
      <c r="C823" s="36" t="s">
        <v>493</v>
      </c>
      <c r="D823" s="37">
        <f>SUMIF(RAW_File!D:D,C:C,RAW_File!F:F)</f>
        <v>9586.0393104486993</v>
      </c>
      <c r="E823" s="38">
        <f>SUMIF(RAW_File!D:D,C:C,RAW_File!G:G)</f>
        <v>12780</v>
      </c>
      <c r="F823" s="39">
        <f>SUMIF(RAW_File!D:D,C:C,RAW_File!I:I)</f>
        <v>26210</v>
      </c>
      <c r="G823" s="40">
        <f>SUMIF(RAW_File!D:D,C:C,RAW_File!K:K)</f>
        <v>10000</v>
      </c>
      <c r="H823" s="41">
        <f>SUMIF(RAW_File!D:D,C:C,RAW_File!M:M)</f>
        <v>0</v>
      </c>
      <c r="I823" s="40">
        <f t="shared" si="14"/>
        <v>10000</v>
      </c>
    </row>
    <row r="824" spans="1:9" hidden="1" x14ac:dyDescent="0.25">
      <c r="A824" s="36" t="s">
        <v>80</v>
      </c>
      <c r="B824" s="36" t="s">
        <v>604</v>
      </c>
      <c r="C824" s="36" t="s">
        <v>605</v>
      </c>
      <c r="D824" s="37">
        <f>SUMIF(RAW_File!D:D,C:C,RAW_File!F:F)</f>
        <v>1708.0681</v>
      </c>
      <c r="E824" s="38">
        <f>SUMIF(RAW_File!D:D,C:C,RAW_File!G:G)</f>
        <v>0</v>
      </c>
      <c r="F824" s="39">
        <f>SUMIF(RAW_File!D:D,C:C,RAW_File!I:I)</f>
        <v>0</v>
      </c>
      <c r="G824" s="40">
        <f>SUMIF(RAW_File!D:D,C:C,RAW_File!K:K)</f>
        <v>0</v>
      </c>
      <c r="H824" s="41">
        <f>SUMIF(RAW_File!D:D,C:C,RAW_File!M:M)</f>
        <v>0</v>
      </c>
      <c r="I824" s="40">
        <f t="shared" si="14"/>
        <v>0</v>
      </c>
    </row>
    <row r="825" spans="1:9" hidden="1" x14ac:dyDescent="0.25">
      <c r="A825" s="36" t="s">
        <v>80</v>
      </c>
      <c r="B825" s="36" t="s">
        <v>655</v>
      </c>
      <c r="C825" s="36" t="s">
        <v>656</v>
      </c>
      <c r="D825" s="37">
        <f>SUMIF(RAW_File!D:D,C:C,RAW_File!F:F)</f>
        <v>1033.357757868064</v>
      </c>
      <c r="E825" s="38">
        <f>SUMIF(RAW_File!D:D,C:C,RAW_File!G:G)</f>
        <v>3550</v>
      </c>
      <c r="F825" s="39">
        <f>SUMIF(RAW_File!D:D,C:C,RAW_File!I:I)</f>
        <v>10100</v>
      </c>
      <c r="G825" s="40">
        <f>SUMIF(RAW_File!D:D,C:C,RAW_File!K:K)</f>
        <v>0</v>
      </c>
      <c r="H825" s="41">
        <f>SUMIF(RAW_File!D:D,C:C,RAW_File!M:M)</f>
        <v>5000</v>
      </c>
      <c r="I825" s="40">
        <f t="shared" si="14"/>
        <v>5000</v>
      </c>
    </row>
    <row r="826" spans="1:9" hidden="1" x14ac:dyDescent="0.25">
      <c r="A826" s="36" t="s">
        <v>80</v>
      </c>
      <c r="B826" s="36" t="s">
        <v>697</v>
      </c>
      <c r="C826" s="36" t="s">
        <v>698</v>
      </c>
      <c r="D826" s="37">
        <f>SUMIF(RAW_File!D:D,C:C,RAW_File!F:F)</f>
        <v>9566.5568000011008</v>
      </c>
      <c r="E826" s="38">
        <f>SUMIF(RAW_File!D:D,C:C,RAW_File!G:G)</f>
        <v>21355</v>
      </c>
      <c r="F826" s="39">
        <f>SUMIF(RAW_File!D:D,C:C,RAW_File!I:I)</f>
        <v>27290</v>
      </c>
      <c r="G826" s="40">
        <f>SUMIF(RAW_File!D:D,C:C,RAW_File!K:K)</f>
        <v>20000</v>
      </c>
      <c r="H826" s="41">
        <f>SUMIF(RAW_File!D:D,C:C,RAW_File!M:M)</f>
        <v>0</v>
      </c>
      <c r="I826" s="40">
        <f t="shared" si="14"/>
        <v>20000</v>
      </c>
    </row>
    <row r="827" spans="1:9" hidden="1" x14ac:dyDescent="0.25">
      <c r="A827" s="36" t="s">
        <v>80</v>
      </c>
      <c r="B827" s="36" t="s">
        <v>732</v>
      </c>
      <c r="C827" s="36" t="s">
        <v>733</v>
      </c>
      <c r="D827" s="37">
        <f>SUMIF(RAW_File!D:D,C:C,RAW_File!F:F)</f>
        <v>586.12729999999999</v>
      </c>
      <c r="E827" s="38">
        <f>SUMIF(RAW_File!D:D,C:C,RAW_File!G:G)</f>
        <v>0</v>
      </c>
      <c r="F827" s="39">
        <f>SUMIF(RAW_File!D:D,C:C,RAW_File!I:I)</f>
        <v>0</v>
      </c>
      <c r="G827" s="40">
        <f>SUMIF(RAW_File!D:D,C:C,RAW_File!K:K)</f>
        <v>0</v>
      </c>
      <c r="H827" s="41">
        <f>SUMIF(RAW_File!D:D,C:C,RAW_File!M:M)</f>
        <v>5000</v>
      </c>
      <c r="I827" s="40">
        <f t="shared" si="14"/>
        <v>5000</v>
      </c>
    </row>
    <row r="828" spans="1:9" hidden="1" x14ac:dyDescent="0.25">
      <c r="A828" s="36" t="s">
        <v>80</v>
      </c>
      <c r="B828" s="36" t="s">
        <v>909</v>
      </c>
      <c r="C828" s="36" t="s">
        <v>910</v>
      </c>
      <c r="D828" s="37">
        <f>SUMIF(RAW_File!D:D,C:C,RAW_File!F:F)</f>
        <v>18203.270753552719</v>
      </c>
      <c r="E828" s="38">
        <f>SUMIF(RAW_File!D:D,C:C,RAW_File!G:G)</f>
        <v>1000</v>
      </c>
      <c r="F828" s="39">
        <f>SUMIF(RAW_File!D:D,C:C,RAW_File!I:I)</f>
        <v>1000</v>
      </c>
      <c r="G828" s="40">
        <f>SUMIF(RAW_File!D:D,C:C,RAW_File!K:K)</f>
        <v>15000</v>
      </c>
      <c r="H828" s="41">
        <f>SUMIF(RAW_File!D:D,C:C,RAW_File!M:M)</f>
        <v>0</v>
      </c>
      <c r="I828" s="40">
        <f t="shared" si="14"/>
        <v>15000</v>
      </c>
    </row>
    <row r="829" spans="1:9" hidden="1" x14ac:dyDescent="0.25">
      <c r="A829" s="36" t="s">
        <v>80</v>
      </c>
      <c r="B829" s="36" t="s">
        <v>1041</v>
      </c>
      <c r="C829" s="36" t="s">
        <v>1042</v>
      </c>
      <c r="D829" s="37">
        <f>SUMIF(RAW_File!D:D,C:C,RAW_File!F:F)</f>
        <v>12077.30947187333</v>
      </c>
      <c r="E829" s="38">
        <f>SUMIF(RAW_File!D:D,C:C,RAW_File!G:G)</f>
        <v>4795</v>
      </c>
      <c r="F829" s="39">
        <f>SUMIF(RAW_File!D:D,C:C,RAW_File!I:I)</f>
        <v>32655</v>
      </c>
      <c r="G829" s="40">
        <f>SUMIF(RAW_File!D:D,C:C,RAW_File!K:K)</f>
        <v>0</v>
      </c>
      <c r="H829" s="41">
        <f>SUMIF(RAW_File!D:D,C:C,RAW_File!M:M)</f>
        <v>45000</v>
      </c>
      <c r="I829" s="40">
        <f t="shared" si="14"/>
        <v>45000</v>
      </c>
    </row>
    <row r="830" spans="1:9" hidden="1" x14ac:dyDescent="0.25">
      <c r="A830" s="36" t="s">
        <v>80</v>
      </c>
      <c r="B830" s="36" t="s">
        <v>881</v>
      </c>
      <c r="C830" s="36" t="s">
        <v>1132</v>
      </c>
      <c r="D830" s="37">
        <f>SUMIF(RAW_File!D:D,C:C,RAW_File!F:F)</f>
        <v>16976.55324951627</v>
      </c>
      <c r="E830" s="38">
        <f>SUMIF(RAW_File!D:D,C:C,RAW_File!G:G)</f>
        <v>25100</v>
      </c>
      <c r="F830" s="39">
        <f>SUMIF(RAW_File!D:D,C:C,RAW_File!I:I)</f>
        <v>30100</v>
      </c>
      <c r="G830" s="40">
        <f>SUMIF(RAW_File!D:D,C:C,RAW_File!K:K)</f>
        <v>0</v>
      </c>
      <c r="H830" s="41">
        <f>SUMIF(RAW_File!D:D,C:C,RAW_File!M:M)</f>
        <v>0</v>
      </c>
      <c r="I830" s="40">
        <f t="shared" si="14"/>
        <v>0</v>
      </c>
    </row>
    <row r="831" spans="1:9" hidden="1" x14ac:dyDescent="0.25">
      <c r="A831" s="36" t="s">
        <v>80</v>
      </c>
      <c r="B831" s="36" t="s">
        <v>1203</v>
      </c>
      <c r="C831" s="36" t="s">
        <v>1204</v>
      </c>
      <c r="D831" s="37">
        <f>SUMIF(RAW_File!D:D,C:C,RAW_File!F:F)</f>
        <v>5220.8919999999998</v>
      </c>
      <c r="E831" s="38">
        <f>SUMIF(RAW_File!D:D,C:C,RAW_File!G:G)</f>
        <v>0</v>
      </c>
      <c r="F831" s="39">
        <f>SUMIF(RAW_File!D:D,C:C,RAW_File!I:I)</f>
        <v>0</v>
      </c>
      <c r="G831" s="40">
        <f>SUMIF(RAW_File!D:D,C:C,RAW_File!K:K)</f>
        <v>5000</v>
      </c>
      <c r="H831" s="41">
        <f>SUMIF(RAW_File!D:D,C:C,RAW_File!M:M)</f>
        <v>0</v>
      </c>
      <c r="I831" s="40">
        <f t="shared" si="14"/>
        <v>5000</v>
      </c>
    </row>
    <row r="832" spans="1:9" hidden="1" x14ac:dyDescent="0.25">
      <c r="A832" s="36" t="s">
        <v>80</v>
      </c>
      <c r="B832" s="36" t="s">
        <v>1291</v>
      </c>
      <c r="C832" s="36" t="s">
        <v>1292</v>
      </c>
      <c r="D832" s="37">
        <f>SUMIF(RAW_File!D:D,C:C,RAW_File!F:F)</f>
        <v>56.649299999999997</v>
      </c>
      <c r="E832" s="38">
        <f>SUMIF(RAW_File!D:D,C:C,RAW_File!G:G)</f>
        <v>5000</v>
      </c>
      <c r="F832" s="39">
        <f>SUMIF(RAW_File!D:D,C:C,RAW_File!I:I)</f>
        <v>5000</v>
      </c>
      <c r="G832" s="40">
        <f>SUMIF(RAW_File!D:D,C:C,RAW_File!K:K)</f>
        <v>5000</v>
      </c>
      <c r="H832" s="41">
        <f>SUMIF(RAW_File!D:D,C:C,RAW_File!M:M)</f>
        <v>0</v>
      </c>
      <c r="I832" s="40">
        <f t="shared" si="14"/>
        <v>5000</v>
      </c>
    </row>
    <row r="833" spans="1:9" hidden="1" x14ac:dyDescent="0.25">
      <c r="A833" s="36" t="s">
        <v>80</v>
      </c>
      <c r="B833" s="36" t="s">
        <v>1323</v>
      </c>
      <c r="C833" s="36" t="s">
        <v>1324</v>
      </c>
      <c r="D833" s="37">
        <f>SUMIF(RAW_File!D:D,C:C,RAW_File!F:F)</f>
        <v>8157.4010158636302</v>
      </c>
      <c r="E833" s="38">
        <f>SUMIF(RAW_File!D:D,C:C,RAW_File!G:G)</f>
        <v>0</v>
      </c>
      <c r="F833" s="39">
        <f>SUMIF(RAW_File!D:D,C:C,RAW_File!I:I)</f>
        <v>0</v>
      </c>
      <c r="G833" s="40">
        <f>SUMIF(RAW_File!D:D,C:C,RAW_File!K:K)</f>
        <v>0</v>
      </c>
      <c r="H833" s="41">
        <f>SUMIF(RAW_File!D:D,C:C,RAW_File!M:M)</f>
        <v>0</v>
      </c>
      <c r="I833" s="40">
        <f t="shared" si="14"/>
        <v>0</v>
      </c>
    </row>
    <row r="834" spans="1:9" hidden="1" x14ac:dyDescent="0.25">
      <c r="A834" s="36" t="s">
        <v>80</v>
      </c>
      <c r="B834" s="36" t="s">
        <v>1448</v>
      </c>
      <c r="C834" s="36" t="s">
        <v>1449</v>
      </c>
      <c r="D834" s="37">
        <f>SUMIF(RAW_File!D:D,C:C,RAW_File!F:F)</f>
        <v>2564.532911421933</v>
      </c>
      <c r="E834" s="38">
        <f>SUMIF(RAW_File!D:D,C:C,RAW_File!G:G)</f>
        <v>3200</v>
      </c>
      <c r="F834" s="39">
        <f>SUMIF(RAW_File!D:D,C:C,RAW_File!I:I)</f>
        <v>7080</v>
      </c>
      <c r="G834" s="40">
        <f>SUMIF(RAW_File!D:D,C:C,RAW_File!K:K)</f>
        <v>0</v>
      </c>
      <c r="H834" s="41">
        <f>SUMIF(RAW_File!D:D,C:C,RAW_File!M:M)</f>
        <v>15000</v>
      </c>
      <c r="I834" s="40">
        <f t="shared" si="14"/>
        <v>15000</v>
      </c>
    </row>
    <row r="835" spans="1:9" hidden="1" x14ac:dyDescent="0.25">
      <c r="A835" s="36" t="s">
        <v>80</v>
      </c>
      <c r="B835" s="36" t="s">
        <v>1483</v>
      </c>
      <c r="C835" s="42" t="s">
        <v>1484</v>
      </c>
      <c r="D835" s="37">
        <f>SUMIF(RAW_File!D:D,C:C,RAW_File!F:F)</f>
        <v>579.9067</v>
      </c>
      <c r="E835" s="38">
        <f>SUMIF(RAW_File!D:D,C:C,RAW_File!G:G)</f>
        <v>7330</v>
      </c>
      <c r="F835" s="39">
        <f>SUMIF(RAW_File!D:D,C:C,RAW_File!I:I)</f>
        <v>11560</v>
      </c>
      <c r="G835" s="40">
        <f>SUMIF(RAW_File!D:D,C:C,RAW_File!K:K)</f>
        <v>0</v>
      </c>
      <c r="H835" s="41">
        <f>SUMIF(RAW_File!D:D,C:C,RAW_File!M:M)</f>
        <v>5000</v>
      </c>
      <c r="I835" s="40">
        <f t="shared" ref="I835:I898" si="15">ABS(G835-H835)</f>
        <v>5000</v>
      </c>
    </row>
    <row r="836" spans="1:9" hidden="1" x14ac:dyDescent="0.25">
      <c r="A836" s="36" t="s">
        <v>80</v>
      </c>
      <c r="B836" s="36" t="s">
        <v>1544</v>
      </c>
      <c r="C836" s="36" t="s">
        <v>1545</v>
      </c>
      <c r="D836" s="37">
        <f>SUMIF(RAW_File!D:D,C:C,RAW_File!F:F)</f>
        <v>14864.141299999999</v>
      </c>
      <c r="E836" s="38">
        <f>SUMIF(RAW_File!D:D,C:C,RAW_File!G:G)</f>
        <v>4320</v>
      </c>
      <c r="F836" s="39">
        <f>SUMIF(RAW_File!D:D,C:C,RAW_File!I:I)</f>
        <v>5320</v>
      </c>
      <c r="G836" s="40">
        <f>SUMIF(RAW_File!D:D,C:C,RAW_File!K:K)</f>
        <v>10000</v>
      </c>
      <c r="H836" s="41">
        <f>SUMIF(RAW_File!D:D,C:C,RAW_File!M:M)</f>
        <v>0</v>
      </c>
      <c r="I836" s="40">
        <f t="shared" si="15"/>
        <v>10000</v>
      </c>
    </row>
    <row r="837" spans="1:9" hidden="1" x14ac:dyDescent="0.25">
      <c r="A837" s="36" t="s">
        <v>80</v>
      </c>
      <c r="B837" s="36" t="s">
        <v>1613</v>
      </c>
      <c r="C837" s="36" t="s">
        <v>1614</v>
      </c>
      <c r="D837" s="37">
        <f>SUMIF(RAW_File!D:D,C:C,RAW_File!F:F)</f>
        <v>3515.0475999999999</v>
      </c>
      <c r="E837" s="38">
        <f>SUMIF(RAW_File!D:D,C:C,RAW_File!G:G)</f>
        <v>0</v>
      </c>
      <c r="F837" s="39">
        <f>SUMIF(RAW_File!D:D,C:C,RAW_File!I:I)</f>
        <v>2000</v>
      </c>
      <c r="G837" s="40">
        <f>SUMIF(RAW_File!D:D,C:C,RAW_File!K:K)</f>
        <v>0</v>
      </c>
      <c r="H837" s="41">
        <f>SUMIF(RAW_File!D:D,C:C,RAW_File!M:M)</f>
        <v>0</v>
      </c>
      <c r="I837" s="40">
        <f t="shared" si="15"/>
        <v>0</v>
      </c>
    </row>
    <row r="838" spans="1:9" hidden="1" x14ac:dyDescent="0.25">
      <c r="A838" s="36" t="s">
        <v>80</v>
      </c>
      <c r="B838" s="36" t="s">
        <v>1641</v>
      </c>
      <c r="C838" s="36" t="s">
        <v>1642</v>
      </c>
      <c r="D838" s="37">
        <f>SUMIF(RAW_File!D:D,C:C,RAW_File!F:F)</f>
        <v>7987.1223</v>
      </c>
      <c r="E838" s="38">
        <f>SUMIF(RAW_File!D:D,C:C,RAW_File!G:G)</f>
        <v>4000</v>
      </c>
      <c r="F838" s="39">
        <f>SUMIF(RAW_File!D:D,C:C,RAW_File!I:I)</f>
        <v>5850</v>
      </c>
      <c r="G838" s="40">
        <f>SUMIF(RAW_File!D:D,C:C,RAW_File!K:K)</f>
        <v>10000</v>
      </c>
      <c r="H838" s="41">
        <f>SUMIF(RAW_File!D:D,C:C,RAW_File!M:M)</f>
        <v>0</v>
      </c>
      <c r="I838" s="40">
        <f t="shared" si="15"/>
        <v>10000</v>
      </c>
    </row>
    <row r="839" spans="1:9" hidden="1" x14ac:dyDescent="0.25">
      <c r="A839" s="36" t="s">
        <v>80</v>
      </c>
      <c r="B839" s="36" t="s">
        <v>1704</v>
      </c>
      <c r="C839" s="36" t="s">
        <v>1705</v>
      </c>
      <c r="D839" s="37">
        <f>SUMIF(RAW_File!D:D,C:C,RAW_File!F:F)</f>
        <v>9760.5954500000007</v>
      </c>
      <c r="E839" s="38">
        <f>SUMIF(RAW_File!D:D,C:C,RAW_File!G:G)</f>
        <v>2170</v>
      </c>
      <c r="F839" s="39">
        <f>SUMIF(RAW_File!D:D,C:C,RAW_File!I:I)</f>
        <v>4720</v>
      </c>
      <c r="G839" s="40">
        <f>SUMIF(RAW_File!D:D,C:C,RAW_File!K:K)</f>
        <v>5000</v>
      </c>
      <c r="H839" s="41">
        <f>SUMIF(RAW_File!D:D,C:C,RAW_File!M:M)</f>
        <v>0</v>
      </c>
      <c r="I839" s="40">
        <f t="shared" si="15"/>
        <v>5000</v>
      </c>
    </row>
    <row r="840" spans="1:9" hidden="1" x14ac:dyDescent="0.25">
      <c r="A840" s="36" t="s">
        <v>80</v>
      </c>
      <c r="B840" s="36" t="s">
        <v>1730</v>
      </c>
      <c r="C840" s="36" t="s">
        <v>1865</v>
      </c>
      <c r="D840" s="37">
        <f>SUMIF(RAW_File!D:D,C:C,RAW_File!F:F)</f>
        <v>28599.559583313021</v>
      </c>
      <c r="E840" s="38">
        <f>SUMIF(RAW_File!D:D,C:C,RAW_File!G:G)</f>
        <v>28360</v>
      </c>
      <c r="F840" s="39">
        <f>SUMIF(RAW_File!D:D,C:C,RAW_File!I:I)</f>
        <v>44548</v>
      </c>
      <c r="G840" s="40">
        <f>SUMIF(RAW_File!D:D,C:C,RAW_File!K:K)</f>
        <v>35000</v>
      </c>
      <c r="H840" s="41">
        <f>SUMIF(RAW_File!D:D,C:C,RAW_File!M:M)</f>
        <v>0</v>
      </c>
      <c r="I840" s="40">
        <f t="shared" si="15"/>
        <v>35000</v>
      </c>
    </row>
    <row r="841" spans="1:9" hidden="1" x14ac:dyDescent="0.25">
      <c r="A841" s="36" t="s">
        <v>80</v>
      </c>
      <c r="B841" s="36" t="s">
        <v>1931</v>
      </c>
      <c r="C841" s="36" t="s">
        <v>1932</v>
      </c>
      <c r="D841" s="37">
        <f>SUMIF(RAW_File!D:D,C:C,RAW_File!F:F)</f>
        <v>6731.0378437116988</v>
      </c>
      <c r="E841" s="38">
        <f>SUMIF(RAW_File!D:D,C:C,RAW_File!G:G)</f>
        <v>4800</v>
      </c>
      <c r="F841" s="39">
        <f>SUMIF(RAW_File!D:D,C:C,RAW_File!I:I)</f>
        <v>11390</v>
      </c>
      <c r="G841" s="40">
        <f>SUMIF(RAW_File!D:D,C:C,RAW_File!K:K)</f>
        <v>0</v>
      </c>
      <c r="H841" s="41">
        <f>SUMIF(RAW_File!D:D,C:C,RAW_File!M:M)</f>
        <v>5000</v>
      </c>
      <c r="I841" s="40">
        <f t="shared" si="15"/>
        <v>5000</v>
      </c>
    </row>
    <row r="842" spans="1:9" hidden="1" x14ac:dyDescent="0.25">
      <c r="A842" s="36" t="s">
        <v>80</v>
      </c>
      <c r="B842" s="36" t="s">
        <v>2162</v>
      </c>
      <c r="C842" s="36" t="s">
        <v>2163</v>
      </c>
      <c r="D842" s="37">
        <f>SUMIF(RAW_File!D:D,C:C,RAW_File!F:F)</f>
        <v>8183.1999329512701</v>
      </c>
      <c r="E842" s="38">
        <f>SUMIF(RAW_File!D:D,C:C,RAW_File!G:G)</f>
        <v>11460</v>
      </c>
      <c r="F842" s="39">
        <f>SUMIF(RAW_File!D:D,C:C,RAW_File!I:I)</f>
        <v>57690</v>
      </c>
      <c r="G842" s="40">
        <f>SUMIF(RAW_File!D:D,C:C,RAW_File!K:K)</f>
        <v>0</v>
      </c>
      <c r="H842" s="41">
        <f>SUMIF(RAW_File!D:D,C:C,RAW_File!M:M)</f>
        <v>30000</v>
      </c>
      <c r="I842" s="40">
        <f t="shared" si="15"/>
        <v>30000</v>
      </c>
    </row>
    <row r="843" spans="1:9" hidden="1" x14ac:dyDescent="0.25">
      <c r="A843" s="36" t="s">
        <v>80</v>
      </c>
      <c r="B843" s="36" t="s">
        <v>2189</v>
      </c>
      <c r="C843" s="36" t="s">
        <v>2190</v>
      </c>
      <c r="D843" s="37">
        <f>SUMIF(RAW_File!D:D,C:C,RAW_File!F:F)</f>
        <v>4.5340838987568413</v>
      </c>
      <c r="E843" s="38">
        <f>SUMIF(RAW_File!D:D,C:C,RAW_File!G:G)</f>
        <v>0</v>
      </c>
      <c r="F843" s="39">
        <f>SUMIF(RAW_File!D:D,C:C,RAW_File!I:I)</f>
        <v>0</v>
      </c>
      <c r="G843" s="40">
        <f>SUMIF(RAW_File!D:D,C:C,RAW_File!K:K)</f>
        <v>0</v>
      </c>
      <c r="H843" s="41">
        <f>SUMIF(RAW_File!D:D,C:C,RAW_File!M:M)</f>
        <v>0</v>
      </c>
      <c r="I843" s="40">
        <f t="shared" si="15"/>
        <v>0</v>
      </c>
    </row>
    <row r="844" spans="1:9" hidden="1" x14ac:dyDescent="0.25">
      <c r="A844" s="36" t="s">
        <v>80</v>
      </c>
      <c r="B844" s="36" t="s">
        <v>2288</v>
      </c>
      <c r="C844" s="36" t="s">
        <v>2289</v>
      </c>
      <c r="D844" s="37">
        <f>SUMIF(RAW_File!D:D,C:C,RAW_File!F:F)</f>
        <v>4865.5178029441568</v>
      </c>
      <c r="E844" s="38">
        <f>SUMIF(RAW_File!D:D,C:C,RAW_File!G:G)</f>
        <v>1700</v>
      </c>
      <c r="F844" s="39">
        <f>SUMIF(RAW_File!D:D,C:C,RAW_File!I:I)</f>
        <v>3060</v>
      </c>
      <c r="G844" s="40">
        <f>SUMIF(RAW_File!D:D,C:C,RAW_File!K:K)</f>
        <v>5000</v>
      </c>
      <c r="H844" s="41">
        <f>SUMIF(RAW_File!D:D,C:C,RAW_File!M:M)</f>
        <v>0</v>
      </c>
      <c r="I844" s="40">
        <f t="shared" si="15"/>
        <v>5000</v>
      </c>
    </row>
    <row r="845" spans="1:9" hidden="1" x14ac:dyDescent="0.25">
      <c r="A845" s="36" t="s">
        <v>80</v>
      </c>
      <c r="B845" s="36" t="s">
        <v>2317</v>
      </c>
      <c r="C845" s="36" t="s">
        <v>2318</v>
      </c>
      <c r="D845" s="37">
        <f>SUMIF(RAW_File!D:D,C:C,RAW_File!F:F)</f>
        <v>850.94709999999998</v>
      </c>
      <c r="E845" s="38">
        <f>SUMIF(RAW_File!D:D,C:C,RAW_File!G:G)</f>
        <v>3968</v>
      </c>
      <c r="F845" s="39">
        <f>SUMIF(RAW_File!D:D,C:C,RAW_File!I:I)</f>
        <v>15308</v>
      </c>
      <c r="G845" s="40">
        <f>SUMIF(RAW_File!D:D,C:C,RAW_File!K:K)</f>
        <v>0</v>
      </c>
      <c r="H845" s="41">
        <f>SUMIF(RAW_File!D:D,C:C,RAW_File!M:M)</f>
        <v>11000</v>
      </c>
      <c r="I845" s="40">
        <f t="shared" si="15"/>
        <v>11000</v>
      </c>
    </row>
    <row r="846" spans="1:9" hidden="1" x14ac:dyDescent="0.25">
      <c r="A846" s="36" t="s">
        <v>80</v>
      </c>
      <c r="B846" s="36" t="s">
        <v>2361</v>
      </c>
      <c r="C846" s="36" t="s">
        <v>2362</v>
      </c>
      <c r="D846" s="37">
        <f>SUMIF(RAW_File!D:D,C:C,RAW_File!F:F)</f>
        <v>14309.58084720107</v>
      </c>
      <c r="E846" s="38">
        <f>SUMIF(RAW_File!D:D,C:C,RAW_File!G:G)</f>
        <v>1900</v>
      </c>
      <c r="F846" s="39">
        <f>SUMIF(RAW_File!D:D,C:C,RAW_File!I:I)</f>
        <v>21585</v>
      </c>
      <c r="G846" s="40">
        <f>SUMIF(RAW_File!D:D,C:C,RAW_File!K:K)</f>
        <v>0</v>
      </c>
      <c r="H846" s="41">
        <f>SUMIF(RAW_File!D:D,C:C,RAW_File!M:M)</f>
        <v>10000</v>
      </c>
      <c r="I846" s="40">
        <f t="shared" si="15"/>
        <v>10000</v>
      </c>
    </row>
    <row r="847" spans="1:9" hidden="1" x14ac:dyDescent="0.25">
      <c r="A847" s="36" t="s">
        <v>80</v>
      </c>
      <c r="B847" s="36" t="s">
        <v>2399</v>
      </c>
      <c r="C847" s="36" t="s">
        <v>2400</v>
      </c>
      <c r="D847" s="37">
        <f>SUMIF(RAW_File!D:D,C:C,RAW_File!F:F)</f>
        <v>0.46590385249715499</v>
      </c>
      <c r="E847" s="38">
        <f>SUMIF(RAW_File!D:D,C:C,RAW_File!G:G)</f>
        <v>0</v>
      </c>
      <c r="F847" s="39">
        <f>SUMIF(RAW_File!D:D,C:C,RAW_File!I:I)</f>
        <v>0</v>
      </c>
      <c r="G847" s="40">
        <f>SUMIF(RAW_File!D:D,C:C,RAW_File!K:K)</f>
        <v>0</v>
      </c>
      <c r="H847" s="41">
        <f>SUMIF(RAW_File!D:D,C:C,RAW_File!M:M)</f>
        <v>0</v>
      </c>
      <c r="I847" s="40">
        <f t="shared" si="15"/>
        <v>0</v>
      </c>
    </row>
    <row r="848" spans="1:9" hidden="1" x14ac:dyDescent="0.25">
      <c r="A848" s="36" t="s">
        <v>80</v>
      </c>
      <c r="B848" s="36" t="s">
        <v>2609</v>
      </c>
      <c r="C848" s="36" t="s">
        <v>2610</v>
      </c>
      <c r="D848" s="37">
        <f>SUMIF(RAW_File!D:D,C:C,RAW_File!F:F)</f>
        <v>351.17540000000002</v>
      </c>
      <c r="E848" s="38">
        <f>SUMIF(RAW_File!D:D,C:C,RAW_File!G:G)</f>
        <v>0</v>
      </c>
      <c r="F848" s="39">
        <f>SUMIF(RAW_File!D:D,C:C,RAW_File!I:I)</f>
        <v>500</v>
      </c>
      <c r="G848" s="40">
        <f>SUMIF(RAW_File!D:D,C:C,RAW_File!K:K)</f>
        <v>0</v>
      </c>
      <c r="H848" s="41">
        <f>SUMIF(RAW_File!D:D,C:C,RAW_File!M:M)</f>
        <v>5000</v>
      </c>
      <c r="I848" s="40">
        <f t="shared" si="15"/>
        <v>5000</v>
      </c>
    </row>
    <row r="849" spans="1:9" hidden="1" x14ac:dyDescent="0.25">
      <c r="A849" s="36" t="s">
        <v>80</v>
      </c>
      <c r="B849" s="36" t="s">
        <v>2611</v>
      </c>
      <c r="C849" s="36" t="s">
        <v>2612</v>
      </c>
      <c r="D849" s="37">
        <f>SUMIF(RAW_File!D:D,C:C,RAW_File!F:F)</f>
        <v>4262.5659999999998</v>
      </c>
      <c r="E849" s="38">
        <f>SUMIF(RAW_File!D:D,C:C,RAW_File!G:G)</f>
        <v>42500</v>
      </c>
      <c r="F849" s="39">
        <f>SUMIF(RAW_File!D:D,C:C,RAW_File!I:I)</f>
        <v>70980</v>
      </c>
      <c r="G849" s="40">
        <f>SUMIF(RAW_File!D:D,C:C,RAW_File!K:K)</f>
        <v>0</v>
      </c>
      <c r="H849" s="41">
        <f>SUMIF(RAW_File!D:D,C:C,RAW_File!M:M)</f>
        <v>6000</v>
      </c>
      <c r="I849" s="40">
        <f t="shared" si="15"/>
        <v>6000</v>
      </c>
    </row>
    <row r="850" spans="1:9" hidden="1" x14ac:dyDescent="0.25">
      <c r="A850" s="36" t="s">
        <v>80</v>
      </c>
      <c r="B850" s="36" t="s">
        <v>2648</v>
      </c>
      <c r="C850" s="36" t="s">
        <v>2649</v>
      </c>
      <c r="D850" s="37">
        <f>SUMIF(RAW_File!D:D,C:C,RAW_File!F:F)</f>
        <v>12041.012000000001</v>
      </c>
      <c r="E850" s="38">
        <f>SUMIF(RAW_File!D:D,C:C,RAW_File!G:G)</f>
        <v>2520</v>
      </c>
      <c r="F850" s="39">
        <f>SUMIF(RAW_File!D:D,C:C,RAW_File!I:I)</f>
        <v>4500</v>
      </c>
      <c r="G850" s="40">
        <f>SUMIF(RAW_File!D:D,C:C,RAW_File!K:K)</f>
        <v>5000</v>
      </c>
      <c r="H850" s="41">
        <f>SUMIF(RAW_File!D:D,C:C,RAW_File!M:M)</f>
        <v>0</v>
      </c>
      <c r="I850" s="40">
        <f t="shared" si="15"/>
        <v>5000</v>
      </c>
    </row>
    <row r="851" spans="1:9" hidden="1" x14ac:dyDescent="0.25">
      <c r="A851" s="36" t="s">
        <v>80</v>
      </c>
      <c r="B851" s="36" t="s">
        <v>2778</v>
      </c>
      <c r="C851" s="36" t="s">
        <v>2779</v>
      </c>
      <c r="D851" s="37">
        <f>SUMIF(RAW_File!D:D,C:C,RAW_File!F:F)</f>
        <v>10371.66</v>
      </c>
      <c r="E851" s="38">
        <f>SUMIF(RAW_File!D:D,C:C,RAW_File!G:G)</f>
        <v>3800</v>
      </c>
      <c r="F851" s="39">
        <f>SUMIF(RAW_File!D:D,C:C,RAW_File!I:I)</f>
        <v>6190</v>
      </c>
      <c r="G851" s="40">
        <f>SUMIF(RAW_File!D:D,C:C,RAW_File!K:K)</f>
        <v>0</v>
      </c>
      <c r="H851" s="41">
        <f>SUMIF(RAW_File!D:D,C:C,RAW_File!M:M)</f>
        <v>30000</v>
      </c>
      <c r="I851" s="40">
        <f t="shared" si="15"/>
        <v>30000</v>
      </c>
    </row>
    <row r="852" spans="1:9" hidden="1" x14ac:dyDescent="0.25">
      <c r="A852" s="36" t="s">
        <v>80</v>
      </c>
      <c r="B852" s="36" t="s">
        <v>2800</v>
      </c>
      <c r="C852" s="36" t="s">
        <v>2801</v>
      </c>
      <c r="D852" s="37">
        <f>SUMIF(RAW_File!D:D,C:C,RAW_File!F:F)</f>
        <v>17849.463318006321</v>
      </c>
      <c r="E852" s="38">
        <f>SUMIF(RAW_File!D:D,C:C,RAW_File!G:G)</f>
        <v>3970</v>
      </c>
      <c r="F852" s="39">
        <f>SUMIF(RAW_File!D:D,C:C,RAW_File!I:I)</f>
        <v>21670</v>
      </c>
      <c r="G852" s="40">
        <f>SUMIF(RAW_File!D:D,C:C,RAW_File!K:K)</f>
        <v>0</v>
      </c>
      <c r="H852" s="41">
        <f>SUMIF(RAW_File!D:D,C:C,RAW_File!M:M)</f>
        <v>25000</v>
      </c>
      <c r="I852" s="40">
        <f t="shared" si="15"/>
        <v>25000</v>
      </c>
    </row>
    <row r="853" spans="1:9" hidden="1" x14ac:dyDescent="0.25">
      <c r="A853" s="36" t="s">
        <v>80</v>
      </c>
      <c r="B853" s="36" t="s">
        <v>2851</v>
      </c>
      <c r="C853" s="36" t="s">
        <v>2852</v>
      </c>
      <c r="D853" s="37">
        <f>SUMIF(RAW_File!D:D,C:C,RAW_File!F:F)</f>
        <v>10987.8628755187</v>
      </c>
      <c r="E853" s="38">
        <f>SUMIF(RAW_File!D:D,C:C,RAW_File!G:G)</f>
        <v>3300</v>
      </c>
      <c r="F853" s="39">
        <f>SUMIF(RAW_File!D:D,C:C,RAW_File!I:I)</f>
        <v>3400</v>
      </c>
      <c r="G853" s="40">
        <f>SUMIF(RAW_File!D:D,C:C,RAW_File!K:K)</f>
        <v>5000</v>
      </c>
      <c r="H853" s="41">
        <f>SUMIF(RAW_File!D:D,C:C,RAW_File!M:M)</f>
        <v>0</v>
      </c>
      <c r="I853" s="40">
        <f t="shared" si="15"/>
        <v>5000</v>
      </c>
    </row>
    <row r="854" spans="1:9" hidden="1" x14ac:dyDescent="0.25">
      <c r="A854" s="36" t="s">
        <v>80</v>
      </c>
      <c r="B854" s="36" t="s">
        <v>2882</v>
      </c>
      <c r="C854" s="36" t="s">
        <v>2883</v>
      </c>
      <c r="D854" s="37">
        <f>SUMIF(RAW_File!D:D,C:C,RAW_File!F:F)</f>
        <v>11424.443146367321</v>
      </c>
      <c r="E854" s="38">
        <f>SUMIF(RAW_File!D:D,C:C,RAW_File!G:G)</f>
        <v>16950</v>
      </c>
      <c r="F854" s="39">
        <f>SUMIF(RAW_File!D:D,C:C,RAW_File!I:I)</f>
        <v>161930</v>
      </c>
      <c r="G854" s="40">
        <f>SUMIF(RAW_File!D:D,C:C,RAW_File!K:K)</f>
        <v>0</v>
      </c>
      <c r="H854" s="41">
        <f>SUMIF(RAW_File!D:D,C:C,RAW_File!M:M)</f>
        <v>220000</v>
      </c>
      <c r="I854" s="40">
        <f t="shared" si="15"/>
        <v>220000</v>
      </c>
    </row>
    <row r="855" spans="1:9" hidden="1" x14ac:dyDescent="0.25">
      <c r="A855" s="36" t="s">
        <v>80</v>
      </c>
      <c r="B855" s="36" t="s">
        <v>2979</v>
      </c>
      <c r="C855" s="36" t="s">
        <v>2980</v>
      </c>
      <c r="D855" s="37">
        <f>SUMIF(RAW_File!D:D,C:C,RAW_File!F:F)</f>
        <v>10702.473788366329</v>
      </c>
      <c r="E855" s="38">
        <f>SUMIF(RAW_File!D:D,C:C,RAW_File!G:G)</f>
        <v>1700</v>
      </c>
      <c r="F855" s="39">
        <f>SUMIF(RAW_File!D:D,C:C,RAW_File!I:I)</f>
        <v>12695</v>
      </c>
      <c r="G855" s="40">
        <f>SUMIF(RAW_File!D:D,C:C,RAW_File!K:K)</f>
        <v>0</v>
      </c>
      <c r="H855" s="41">
        <f>SUMIF(RAW_File!D:D,C:C,RAW_File!M:M)</f>
        <v>5000</v>
      </c>
      <c r="I855" s="40">
        <f t="shared" si="15"/>
        <v>5000</v>
      </c>
    </row>
    <row r="856" spans="1:9" hidden="1" x14ac:dyDescent="0.25">
      <c r="A856" s="36" t="s">
        <v>80</v>
      </c>
      <c r="B856" s="36" t="s">
        <v>3175</v>
      </c>
      <c r="C856" s="36" t="s">
        <v>3176</v>
      </c>
      <c r="D856" s="37">
        <f>SUMIF(RAW_File!D:D,C:C,RAW_File!F:F)</f>
        <v>464.34835654219432</v>
      </c>
      <c r="E856" s="38">
        <f>SUMIF(RAW_File!D:D,C:C,RAW_File!G:G)</f>
        <v>50</v>
      </c>
      <c r="F856" s="39">
        <f>SUMIF(RAW_File!D:D,C:C,RAW_File!I:I)</f>
        <v>50</v>
      </c>
      <c r="G856" s="40">
        <f>SUMIF(RAW_File!D:D,C:C,RAW_File!K:K)</f>
        <v>0</v>
      </c>
      <c r="H856" s="41">
        <f>SUMIF(RAW_File!D:D,C:C,RAW_File!M:M)</f>
        <v>7000</v>
      </c>
      <c r="I856" s="40">
        <f t="shared" si="15"/>
        <v>7000</v>
      </c>
    </row>
    <row r="857" spans="1:9" hidden="1" x14ac:dyDescent="0.25">
      <c r="A857" s="36" t="s">
        <v>80</v>
      </c>
      <c r="B857" s="36" t="s">
        <v>3256</v>
      </c>
      <c r="C857" s="36" t="s">
        <v>3257</v>
      </c>
      <c r="D857" s="37">
        <f>SUMIF(RAW_File!D:D,C:C,RAW_File!F:F)</f>
        <v>1544.8334</v>
      </c>
      <c r="E857" s="38">
        <f>SUMIF(RAW_File!D:D,C:C,RAW_File!G:G)</f>
        <v>3500</v>
      </c>
      <c r="F857" s="39">
        <f>SUMIF(RAW_File!D:D,C:C,RAW_File!I:I)</f>
        <v>3500</v>
      </c>
      <c r="G857" s="40">
        <f>SUMIF(RAW_File!D:D,C:C,RAW_File!K:K)</f>
        <v>5000</v>
      </c>
      <c r="H857" s="41">
        <f>SUMIF(RAW_File!D:D,C:C,RAW_File!M:M)</f>
        <v>0</v>
      </c>
      <c r="I857" s="40">
        <f t="shared" si="15"/>
        <v>5000</v>
      </c>
    </row>
    <row r="858" spans="1:9" hidden="1" x14ac:dyDescent="0.25">
      <c r="A858" s="36" t="s">
        <v>80</v>
      </c>
      <c r="B858" s="36" t="s">
        <v>3293</v>
      </c>
      <c r="C858" s="36" t="s">
        <v>3294</v>
      </c>
      <c r="D858" s="37">
        <f>SUMIF(RAW_File!D:D,C:C,RAW_File!F:F)</f>
        <v>6885.1106</v>
      </c>
      <c r="E858" s="38">
        <f>SUMIF(RAW_File!D:D,C:C,RAW_File!G:G)</f>
        <v>0</v>
      </c>
      <c r="F858" s="39">
        <f>SUMIF(RAW_File!D:D,C:C,RAW_File!I:I)</f>
        <v>4850</v>
      </c>
      <c r="G858" s="40">
        <f>SUMIF(RAW_File!D:D,C:C,RAW_File!K:K)</f>
        <v>0</v>
      </c>
      <c r="H858" s="41">
        <f>SUMIF(RAW_File!D:D,C:C,RAW_File!M:M)</f>
        <v>50000</v>
      </c>
      <c r="I858" s="40">
        <f t="shared" si="15"/>
        <v>50000</v>
      </c>
    </row>
    <row r="859" spans="1:9" hidden="1" x14ac:dyDescent="0.25">
      <c r="A859" s="36" t="s">
        <v>80</v>
      </c>
      <c r="B859" s="36" t="s">
        <v>3375</v>
      </c>
      <c r="C859" s="36" t="s">
        <v>3376</v>
      </c>
      <c r="D859" s="37">
        <f>SUMIF(RAW_File!D:D,C:C,RAW_File!F:F)</f>
        <v>9811.9215306046226</v>
      </c>
      <c r="E859" s="38">
        <f>SUMIF(RAW_File!D:D,C:C,RAW_File!G:G)</f>
        <v>6280</v>
      </c>
      <c r="F859" s="39">
        <f>SUMIF(RAW_File!D:D,C:C,RAW_File!I:I)</f>
        <v>30715</v>
      </c>
      <c r="G859" s="40">
        <f>SUMIF(RAW_File!D:D,C:C,RAW_File!K:K)</f>
        <v>0</v>
      </c>
      <c r="H859" s="41">
        <f>SUMIF(RAW_File!D:D,C:C,RAW_File!M:M)</f>
        <v>40000</v>
      </c>
      <c r="I859" s="40">
        <f t="shared" si="15"/>
        <v>40000</v>
      </c>
    </row>
    <row r="860" spans="1:9" hidden="1" x14ac:dyDescent="0.25">
      <c r="A860" s="36" t="s">
        <v>80</v>
      </c>
      <c r="B860" s="36" t="s">
        <v>3379</v>
      </c>
      <c r="C860" s="36" t="s">
        <v>3380</v>
      </c>
      <c r="D860" s="37">
        <f>SUMIF(RAW_File!D:D,C:C,RAW_File!F:F)</f>
        <v>60785.106365695698</v>
      </c>
      <c r="E860" s="38">
        <f>SUMIF(RAW_File!D:D,C:C,RAW_File!G:G)</f>
        <v>11970</v>
      </c>
      <c r="F860" s="39">
        <f>SUMIF(RAW_File!D:D,C:C,RAW_File!I:I)</f>
        <v>72095</v>
      </c>
      <c r="G860" s="40">
        <f>SUMIF(RAW_File!D:D,C:C,RAW_File!K:K)</f>
        <v>0</v>
      </c>
      <c r="H860" s="41">
        <f>SUMIF(RAW_File!D:D,C:C,RAW_File!M:M)</f>
        <v>5000</v>
      </c>
      <c r="I860" s="40">
        <f t="shared" si="15"/>
        <v>5000</v>
      </c>
    </row>
    <row r="861" spans="1:9" hidden="1" x14ac:dyDescent="0.25">
      <c r="A861" s="36" t="s">
        <v>80</v>
      </c>
      <c r="B861" s="36" t="s">
        <v>3522</v>
      </c>
      <c r="C861" s="36" t="s">
        <v>3523</v>
      </c>
      <c r="D861" s="37">
        <f>SUMIF(RAW_File!D:D,C:C,RAW_File!F:F)</f>
        <v>868.94039999999995</v>
      </c>
      <c r="E861" s="38">
        <f>SUMIF(RAW_File!D:D,C:C,RAW_File!G:G)</f>
        <v>0</v>
      </c>
      <c r="F861" s="39">
        <f>SUMIF(RAW_File!D:D,C:C,RAW_File!I:I)</f>
        <v>1550</v>
      </c>
      <c r="G861" s="40">
        <f>SUMIF(RAW_File!D:D,C:C,RAW_File!K:K)</f>
        <v>0</v>
      </c>
      <c r="H861" s="41">
        <f>SUMIF(RAW_File!D:D,C:C,RAW_File!M:M)</f>
        <v>7000</v>
      </c>
      <c r="I861" s="40">
        <f t="shared" si="15"/>
        <v>7000</v>
      </c>
    </row>
    <row r="862" spans="1:9" hidden="1" x14ac:dyDescent="0.25">
      <c r="A862" s="36" t="s">
        <v>80</v>
      </c>
      <c r="B862" s="36" t="s">
        <v>3534</v>
      </c>
      <c r="C862" s="36" t="s">
        <v>3535</v>
      </c>
      <c r="D862" s="37">
        <f>SUMIF(RAW_File!D:D,C:C,RAW_File!F:F)</f>
        <v>13606.8377</v>
      </c>
      <c r="E862" s="38">
        <f>SUMIF(RAW_File!D:D,C:C,RAW_File!G:G)</f>
        <v>200</v>
      </c>
      <c r="F862" s="39">
        <f>SUMIF(RAW_File!D:D,C:C,RAW_File!I:I)</f>
        <v>890</v>
      </c>
      <c r="G862" s="40">
        <f>SUMIF(RAW_File!D:D,C:C,RAW_File!K:K)</f>
        <v>8000</v>
      </c>
      <c r="H862" s="41">
        <f>SUMIF(RAW_File!D:D,C:C,RAW_File!M:M)</f>
        <v>0</v>
      </c>
      <c r="I862" s="40">
        <f t="shared" si="15"/>
        <v>8000</v>
      </c>
    </row>
    <row r="863" spans="1:9" hidden="1" x14ac:dyDescent="0.25">
      <c r="A863" s="36" t="s">
        <v>52</v>
      </c>
      <c r="B863" s="36" t="s">
        <v>119</v>
      </c>
      <c r="C863" s="36" t="s">
        <v>120</v>
      </c>
      <c r="D863" s="37">
        <f>SUMIF(RAW_File!D:D,C:C,RAW_File!F:F)</f>
        <v>24961.598610000001</v>
      </c>
      <c r="E863" s="38">
        <f>SUMIF(RAW_File!D:D,C:C,RAW_File!G:G)</f>
        <v>14450</v>
      </c>
      <c r="F863" s="39">
        <f>SUMIF(RAW_File!D:D,C:C,RAW_File!I:I)</f>
        <v>38149</v>
      </c>
      <c r="G863" s="40">
        <f>SUMIF(RAW_File!D:D,C:C,RAW_File!K:K)</f>
        <v>5000</v>
      </c>
      <c r="H863" s="41">
        <f>SUMIF(RAW_File!D:D,C:C,RAW_File!M:M)</f>
        <v>0</v>
      </c>
      <c r="I863" s="40">
        <f t="shared" si="15"/>
        <v>5000</v>
      </c>
    </row>
    <row r="864" spans="1:9" hidden="1" x14ac:dyDescent="0.25">
      <c r="A864" s="36" t="s">
        <v>52</v>
      </c>
      <c r="B864" s="36" t="s">
        <v>129</v>
      </c>
      <c r="C864" s="36" t="s">
        <v>130</v>
      </c>
      <c r="D864" s="37">
        <f>SUMIF(RAW_File!D:D,C:C,RAW_File!F:F)</f>
        <v>5646.5908513629829</v>
      </c>
      <c r="E864" s="38">
        <f>SUMIF(RAW_File!D:D,C:C,RAW_File!G:G)</f>
        <v>20000</v>
      </c>
      <c r="F864" s="39">
        <f>SUMIF(RAW_File!D:D,C:C,RAW_File!I:I)</f>
        <v>21600</v>
      </c>
      <c r="G864" s="40">
        <f>SUMIF(RAW_File!D:D,C:C,RAW_File!K:K)</f>
        <v>20000</v>
      </c>
      <c r="H864" s="41">
        <f>SUMIF(RAW_File!D:D,C:C,RAW_File!M:M)</f>
        <v>0</v>
      </c>
      <c r="I864" s="40">
        <f t="shared" si="15"/>
        <v>20000</v>
      </c>
    </row>
    <row r="865" spans="1:9" hidden="1" x14ac:dyDescent="0.25">
      <c r="A865" s="36" t="s">
        <v>52</v>
      </c>
      <c r="B865" s="36" t="s">
        <v>334</v>
      </c>
      <c r="C865" s="36" t="s">
        <v>335</v>
      </c>
      <c r="D865" s="37">
        <f>SUMIF(RAW_File!D:D,C:C,RAW_File!F:F)</f>
        <v>16820.224000000901</v>
      </c>
      <c r="E865" s="38">
        <f>SUMIF(RAW_File!D:D,C:C,RAW_File!G:G)</f>
        <v>6590</v>
      </c>
      <c r="F865" s="39">
        <f>SUMIF(RAW_File!D:D,C:C,RAW_File!I:I)</f>
        <v>23670</v>
      </c>
      <c r="G865" s="40">
        <f>SUMIF(RAW_File!D:D,C:C,RAW_File!K:K)</f>
        <v>5000</v>
      </c>
      <c r="H865" s="41">
        <f>SUMIF(RAW_File!D:D,C:C,RAW_File!M:M)</f>
        <v>0</v>
      </c>
      <c r="I865" s="40">
        <f t="shared" si="15"/>
        <v>5000</v>
      </c>
    </row>
    <row r="866" spans="1:9" hidden="1" x14ac:dyDescent="0.25">
      <c r="A866" s="36" t="s">
        <v>52</v>
      </c>
      <c r="B866" s="36" t="s">
        <v>380</v>
      </c>
      <c r="C866" s="36" t="s">
        <v>381</v>
      </c>
      <c r="D866" s="37">
        <f>SUMIF(RAW_File!D:D,C:C,RAW_File!F:F)</f>
        <v>9.5579567055511809</v>
      </c>
      <c r="E866" s="38">
        <f>SUMIF(RAW_File!D:D,C:C,RAW_File!G:G)</f>
        <v>0</v>
      </c>
      <c r="F866" s="39">
        <f>SUMIF(RAW_File!D:D,C:C,RAW_File!I:I)</f>
        <v>0</v>
      </c>
      <c r="G866" s="40">
        <f>SUMIF(RAW_File!D:D,C:C,RAW_File!K:K)</f>
        <v>0</v>
      </c>
      <c r="H866" s="41">
        <f>SUMIF(RAW_File!D:D,C:C,RAW_File!M:M)</f>
        <v>0</v>
      </c>
      <c r="I866" s="40">
        <f t="shared" si="15"/>
        <v>0</v>
      </c>
    </row>
    <row r="867" spans="1:9" hidden="1" x14ac:dyDescent="0.25">
      <c r="A867" s="36" t="s">
        <v>52</v>
      </c>
      <c r="B867" s="36" t="s">
        <v>457</v>
      </c>
      <c r="C867" s="36" t="s">
        <v>458</v>
      </c>
      <c r="D867" s="37">
        <f>SUMIF(RAW_File!D:D,C:C,RAW_File!F:F)</f>
        <v>25103.11881352626</v>
      </c>
      <c r="E867" s="38">
        <f>SUMIF(RAW_File!D:D,C:C,RAW_File!G:G)</f>
        <v>2955</v>
      </c>
      <c r="F867" s="39">
        <f>SUMIF(RAW_File!D:D,C:C,RAW_File!I:I)</f>
        <v>13695</v>
      </c>
      <c r="G867" s="40">
        <f>SUMIF(RAW_File!D:D,C:C,RAW_File!K:K)</f>
        <v>0</v>
      </c>
      <c r="H867" s="41">
        <f>SUMIF(RAW_File!D:D,C:C,RAW_File!M:M)</f>
        <v>25000</v>
      </c>
      <c r="I867" s="40">
        <f t="shared" si="15"/>
        <v>25000</v>
      </c>
    </row>
    <row r="868" spans="1:9" hidden="1" x14ac:dyDescent="0.25">
      <c r="A868" s="36" t="s">
        <v>52</v>
      </c>
      <c r="B868" s="36" t="s">
        <v>529</v>
      </c>
      <c r="C868" s="36" t="s">
        <v>530</v>
      </c>
      <c r="D868" s="37">
        <f>SUMIF(RAW_File!D:D,C:C,RAW_File!F:F)</f>
        <v>43930.026327521657</v>
      </c>
      <c r="E868" s="38">
        <f>SUMIF(RAW_File!D:D,C:C,RAW_File!G:G)</f>
        <v>1090</v>
      </c>
      <c r="F868" s="39">
        <f>SUMIF(RAW_File!D:D,C:C,RAW_File!I:I)</f>
        <v>1240</v>
      </c>
      <c r="G868" s="40">
        <f>SUMIF(RAW_File!D:D,C:C,RAW_File!K:K)</f>
        <v>5000</v>
      </c>
      <c r="H868" s="41">
        <f>SUMIF(RAW_File!D:D,C:C,RAW_File!M:M)</f>
        <v>13000</v>
      </c>
      <c r="I868" s="40">
        <f t="shared" si="15"/>
        <v>8000</v>
      </c>
    </row>
    <row r="869" spans="1:9" hidden="1" x14ac:dyDescent="0.25">
      <c r="A869" s="36" t="s">
        <v>52</v>
      </c>
      <c r="B869" s="36" t="s">
        <v>545</v>
      </c>
      <c r="C869" s="36" t="s">
        <v>546</v>
      </c>
      <c r="D869" s="37">
        <f>SUMIF(RAW_File!D:D,C:C,RAW_File!F:F)</f>
        <v>95.553336672926434</v>
      </c>
      <c r="E869" s="38">
        <f>SUMIF(RAW_File!D:D,C:C,RAW_File!G:G)</f>
        <v>810</v>
      </c>
      <c r="F869" s="39">
        <f>SUMIF(RAW_File!D:D,C:C,RAW_File!I:I)</f>
        <v>4710</v>
      </c>
      <c r="G869" s="40">
        <f>SUMIF(RAW_File!D:D,C:C,RAW_File!K:K)</f>
        <v>0</v>
      </c>
      <c r="H869" s="41">
        <f>SUMIF(RAW_File!D:D,C:C,RAW_File!M:M)</f>
        <v>5000</v>
      </c>
      <c r="I869" s="40">
        <f t="shared" si="15"/>
        <v>5000</v>
      </c>
    </row>
    <row r="870" spans="1:9" hidden="1" x14ac:dyDescent="0.25">
      <c r="A870" s="36" t="s">
        <v>52</v>
      </c>
      <c r="B870" s="36" t="s">
        <v>659</v>
      </c>
      <c r="C870" s="36" t="s">
        <v>660</v>
      </c>
      <c r="D870" s="37">
        <f>SUMIF(RAW_File!D:D,C:C,RAW_File!F:F)</f>
        <v>47047.697739655443</v>
      </c>
      <c r="E870" s="38">
        <f>SUMIF(RAW_File!D:D,C:C,RAW_File!G:G)</f>
        <v>1000</v>
      </c>
      <c r="F870" s="39">
        <f>SUMIF(RAW_File!D:D,C:C,RAW_File!I:I)</f>
        <v>1000</v>
      </c>
      <c r="G870" s="40">
        <f>SUMIF(RAW_File!D:D,C:C,RAW_File!K:K)</f>
        <v>5000</v>
      </c>
      <c r="H870" s="41">
        <f>SUMIF(RAW_File!D:D,C:C,RAW_File!M:M)</f>
        <v>15000</v>
      </c>
      <c r="I870" s="40">
        <f t="shared" si="15"/>
        <v>10000</v>
      </c>
    </row>
    <row r="871" spans="1:9" hidden="1" x14ac:dyDescent="0.25">
      <c r="A871" s="36" t="s">
        <v>52</v>
      </c>
      <c r="B871" s="36" t="s">
        <v>719</v>
      </c>
      <c r="C871" s="36" t="s">
        <v>720</v>
      </c>
      <c r="D871" s="37">
        <f>SUMIF(RAW_File!D:D,C:C,RAW_File!F:F)</f>
        <v>1427.26685</v>
      </c>
      <c r="E871" s="38">
        <f>SUMIF(RAW_File!D:D,C:C,RAW_File!G:G)</f>
        <v>3540</v>
      </c>
      <c r="F871" s="39">
        <f>SUMIF(RAW_File!D:D,C:C,RAW_File!I:I)</f>
        <v>17890</v>
      </c>
      <c r="G871" s="40">
        <f>SUMIF(RAW_File!D:D,C:C,RAW_File!K:K)</f>
        <v>5000</v>
      </c>
      <c r="H871" s="41">
        <f>SUMIF(RAW_File!D:D,C:C,RAW_File!M:M)</f>
        <v>35000</v>
      </c>
      <c r="I871" s="40">
        <f t="shared" si="15"/>
        <v>30000</v>
      </c>
    </row>
    <row r="872" spans="1:9" hidden="1" x14ac:dyDescent="0.25">
      <c r="A872" s="36" t="s">
        <v>52</v>
      </c>
      <c r="B872" s="36" t="s">
        <v>793</v>
      </c>
      <c r="C872" s="36" t="s">
        <v>794</v>
      </c>
      <c r="D872" s="37">
        <f>SUMIF(RAW_File!D:D,C:C,RAW_File!F:F)</f>
        <v>4872.5770892694272</v>
      </c>
      <c r="E872" s="38">
        <f>SUMIF(RAW_File!D:D,C:C,RAW_File!G:G)</f>
        <v>1470</v>
      </c>
      <c r="F872" s="39">
        <f>SUMIF(RAW_File!D:D,C:C,RAW_File!I:I)</f>
        <v>23170</v>
      </c>
      <c r="G872" s="40">
        <f>SUMIF(RAW_File!D:D,C:C,RAW_File!K:K)</f>
        <v>0</v>
      </c>
      <c r="H872" s="41">
        <f>SUMIF(RAW_File!D:D,C:C,RAW_File!M:M)</f>
        <v>15000</v>
      </c>
      <c r="I872" s="40">
        <f t="shared" si="15"/>
        <v>15000</v>
      </c>
    </row>
    <row r="873" spans="1:9" hidden="1" x14ac:dyDescent="0.25">
      <c r="A873" s="36" t="s">
        <v>52</v>
      </c>
      <c r="B873" s="36" t="s">
        <v>844</v>
      </c>
      <c r="C873" s="36" t="s">
        <v>845</v>
      </c>
      <c r="D873" s="37">
        <f>SUMIF(RAW_File!D:D,C:C,RAW_File!F:F)</f>
        <v>22.28585</v>
      </c>
      <c r="E873" s="38">
        <f>SUMIF(RAW_File!D:D,C:C,RAW_File!G:G)</f>
        <v>0</v>
      </c>
      <c r="F873" s="39">
        <f>SUMIF(RAW_File!D:D,C:C,RAW_File!I:I)</f>
        <v>0</v>
      </c>
      <c r="G873" s="40">
        <f>SUMIF(RAW_File!D:D,C:C,RAW_File!K:K)</f>
        <v>0</v>
      </c>
      <c r="H873" s="41">
        <f>SUMIF(RAW_File!D:D,C:C,RAW_File!M:M)</f>
        <v>0</v>
      </c>
      <c r="I873" s="40">
        <f t="shared" si="15"/>
        <v>0</v>
      </c>
    </row>
    <row r="874" spans="1:9" hidden="1" x14ac:dyDescent="0.25">
      <c r="A874" s="36" t="s">
        <v>52</v>
      </c>
      <c r="B874" s="36" t="s">
        <v>868</v>
      </c>
      <c r="C874" s="36" t="s">
        <v>869</v>
      </c>
      <c r="D874" s="37">
        <f>SUMIF(RAW_File!D:D,C:C,RAW_File!F:F)</f>
        <v>7048.2802608695001</v>
      </c>
      <c r="E874" s="38">
        <f>SUMIF(RAW_File!D:D,C:C,RAW_File!G:G)</f>
        <v>14630</v>
      </c>
      <c r="F874" s="39">
        <f>SUMIF(RAW_File!D:D,C:C,RAW_File!I:I)</f>
        <v>18320</v>
      </c>
      <c r="G874" s="40">
        <f>SUMIF(RAW_File!D:D,C:C,RAW_File!K:K)</f>
        <v>5000</v>
      </c>
      <c r="H874" s="41">
        <f>SUMIF(RAW_File!D:D,C:C,RAW_File!M:M)</f>
        <v>0</v>
      </c>
      <c r="I874" s="40">
        <f t="shared" si="15"/>
        <v>5000</v>
      </c>
    </row>
    <row r="875" spans="1:9" hidden="1" x14ac:dyDescent="0.25">
      <c r="A875" s="36" t="s">
        <v>52</v>
      </c>
      <c r="B875" s="36" t="s">
        <v>947</v>
      </c>
      <c r="C875" s="36" t="s">
        <v>948</v>
      </c>
      <c r="D875" s="37">
        <f>SUMIF(RAW_File!D:D,C:C,RAW_File!F:F)</f>
        <v>67.28</v>
      </c>
      <c r="E875" s="38">
        <f>SUMIF(RAW_File!D:D,C:C,RAW_File!G:G)</f>
        <v>0</v>
      </c>
      <c r="F875" s="39">
        <f>SUMIF(RAW_File!D:D,C:C,RAW_File!I:I)</f>
        <v>3000</v>
      </c>
      <c r="G875" s="40">
        <f>SUMIF(RAW_File!D:D,C:C,RAW_File!K:K)</f>
        <v>0</v>
      </c>
      <c r="H875" s="41">
        <f>SUMIF(RAW_File!D:D,C:C,RAW_File!M:M)</f>
        <v>8000</v>
      </c>
      <c r="I875" s="40">
        <f t="shared" si="15"/>
        <v>8000</v>
      </c>
    </row>
    <row r="876" spans="1:9" hidden="1" x14ac:dyDescent="0.25">
      <c r="A876" s="36" t="s">
        <v>52</v>
      </c>
      <c r="B876" s="36" t="s">
        <v>983</v>
      </c>
      <c r="C876" s="36" t="s">
        <v>984</v>
      </c>
      <c r="D876" s="37">
        <f>SUMIF(RAW_File!D:D,C:C,RAW_File!F:F)</f>
        <v>7254.0989144600917</v>
      </c>
      <c r="E876" s="38">
        <f>SUMIF(RAW_File!D:D,C:C,RAW_File!G:G)</f>
        <v>11110</v>
      </c>
      <c r="F876" s="39">
        <f>SUMIF(RAW_File!D:D,C:C,RAW_File!I:I)</f>
        <v>31767</v>
      </c>
      <c r="G876" s="40">
        <f>SUMIF(RAW_File!D:D,C:C,RAW_File!K:K)</f>
        <v>0</v>
      </c>
      <c r="H876" s="41">
        <f>SUMIF(RAW_File!D:D,C:C,RAW_File!M:M)</f>
        <v>40000</v>
      </c>
      <c r="I876" s="40">
        <f t="shared" si="15"/>
        <v>40000</v>
      </c>
    </row>
    <row r="877" spans="1:9" hidden="1" x14ac:dyDescent="0.25">
      <c r="A877" s="36" t="s">
        <v>52</v>
      </c>
      <c r="B877" s="36" t="s">
        <v>1003</v>
      </c>
      <c r="C877" s="36" t="s">
        <v>1004</v>
      </c>
      <c r="D877" s="37">
        <f>SUMIF(RAW_File!D:D,C:C,RAW_File!F:F)</f>
        <v>4778.1310999999996</v>
      </c>
      <c r="E877" s="38">
        <f>SUMIF(RAW_File!D:D,C:C,RAW_File!G:G)</f>
        <v>400</v>
      </c>
      <c r="F877" s="39">
        <f>SUMIF(RAW_File!D:D,C:C,RAW_File!I:I)</f>
        <v>400</v>
      </c>
      <c r="G877" s="40">
        <f>SUMIF(RAW_File!D:D,C:C,RAW_File!K:K)</f>
        <v>5000</v>
      </c>
      <c r="H877" s="41">
        <f>SUMIF(RAW_File!D:D,C:C,RAW_File!M:M)</f>
        <v>0</v>
      </c>
      <c r="I877" s="40">
        <f t="shared" si="15"/>
        <v>5000</v>
      </c>
    </row>
    <row r="878" spans="1:9" hidden="1" x14ac:dyDescent="0.25">
      <c r="A878" s="36" t="s">
        <v>52</v>
      </c>
      <c r="B878" s="36" t="s">
        <v>1053</v>
      </c>
      <c r="C878" s="36" t="s">
        <v>1054</v>
      </c>
      <c r="D878" s="37">
        <f>SUMIF(RAW_File!D:D,C:C,RAW_File!F:F)</f>
        <v>502.98669999999998</v>
      </c>
      <c r="E878" s="38">
        <f>SUMIF(RAW_File!D:D,C:C,RAW_File!G:G)</f>
        <v>0</v>
      </c>
      <c r="F878" s="39">
        <f>SUMIF(RAW_File!D:D,C:C,RAW_File!I:I)</f>
        <v>6270</v>
      </c>
      <c r="G878" s="40">
        <f>SUMIF(RAW_File!D:D,C:C,RAW_File!K:K)</f>
        <v>0</v>
      </c>
      <c r="H878" s="41">
        <f>SUMIF(RAW_File!D:D,C:C,RAW_File!M:M)</f>
        <v>7000</v>
      </c>
      <c r="I878" s="40">
        <f t="shared" si="15"/>
        <v>7000</v>
      </c>
    </row>
    <row r="879" spans="1:9" hidden="1" x14ac:dyDescent="0.25">
      <c r="A879" s="36" t="s">
        <v>52</v>
      </c>
      <c r="B879" s="36" t="s">
        <v>1176</v>
      </c>
      <c r="C879" s="36" t="s">
        <v>1177</v>
      </c>
      <c r="D879" s="37">
        <f>SUMIF(RAW_File!D:D,C:C,RAW_File!F:F)</f>
        <v>45.441859982708863</v>
      </c>
      <c r="E879" s="38">
        <f>SUMIF(RAW_File!D:D,C:C,RAW_File!G:G)</f>
        <v>1700</v>
      </c>
      <c r="F879" s="39">
        <f>SUMIF(RAW_File!D:D,C:C,RAW_File!I:I)</f>
        <v>3990</v>
      </c>
      <c r="G879" s="40">
        <f>SUMIF(RAW_File!D:D,C:C,RAW_File!K:K)</f>
        <v>0</v>
      </c>
      <c r="H879" s="41">
        <f>SUMIF(RAW_File!D:D,C:C,RAW_File!M:M)</f>
        <v>5000</v>
      </c>
      <c r="I879" s="40">
        <f t="shared" si="15"/>
        <v>5000</v>
      </c>
    </row>
    <row r="880" spans="1:9" hidden="1" x14ac:dyDescent="0.25">
      <c r="A880" s="36" t="s">
        <v>52</v>
      </c>
      <c r="B880" s="36" t="s">
        <v>1186</v>
      </c>
      <c r="C880" s="36" t="s">
        <v>1187</v>
      </c>
      <c r="D880" s="37">
        <f>SUMIF(RAW_File!D:D,C:C,RAW_File!F:F)</f>
        <v>3572.934087985097</v>
      </c>
      <c r="E880" s="38">
        <f>SUMIF(RAW_File!D:D,C:C,RAW_File!G:G)</f>
        <v>1540</v>
      </c>
      <c r="F880" s="39">
        <f>SUMIF(RAW_File!D:D,C:C,RAW_File!I:I)</f>
        <v>7190</v>
      </c>
      <c r="G880" s="40">
        <f>SUMIF(RAW_File!D:D,C:C,RAW_File!K:K)</f>
        <v>0</v>
      </c>
      <c r="H880" s="41">
        <f>SUMIF(RAW_File!D:D,C:C,RAW_File!M:M)</f>
        <v>5000</v>
      </c>
      <c r="I880" s="40">
        <f t="shared" si="15"/>
        <v>5000</v>
      </c>
    </row>
    <row r="881" spans="1:9" hidden="1" x14ac:dyDescent="0.25">
      <c r="A881" s="36" t="s">
        <v>52</v>
      </c>
      <c r="B881" s="36" t="s">
        <v>1344</v>
      </c>
      <c r="C881" s="36" t="s">
        <v>1345</v>
      </c>
      <c r="D881" s="37">
        <f>SUMIF(RAW_File!D:D,C:C,RAW_File!F:F)</f>
        <v>8987.2011000000002</v>
      </c>
      <c r="E881" s="38">
        <f>SUMIF(RAW_File!D:D,C:C,RAW_File!G:G)</f>
        <v>5500</v>
      </c>
      <c r="F881" s="39">
        <f>SUMIF(RAW_File!D:D,C:C,RAW_File!I:I)</f>
        <v>11150</v>
      </c>
      <c r="G881" s="40">
        <f>SUMIF(RAW_File!D:D,C:C,RAW_File!K:K)</f>
        <v>5000</v>
      </c>
      <c r="H881" s="41">
        <f>SUMIF(RAW_File!D:D,C:C,RAW_File!M:M)</f>
        <v>0</v>
      </c>
      <c r="I881" s="40">
        <f t="shared" si="15"/>
        <v>5000</v>
      </c>
    </row>
    <row r="882" spans="1:9" hidden="1" x14ac:dyDescent="0.25">
      <c r="A882" s="36" t="s">
        <v>52</v>
      </c>
      <c r="B882" s="36" t="s">
        <v>1454</v>
      </c>
      <c r="C882" s="36" t="s">
        <v>1455</v>
      </c>
      <c r="D882" s="37">
        <f>SUMIF(RAW_File!D:D,C:C,RAW_File!F:F)</f>
        <v>606.95414298490653</v>
      </c>
      <c r="E882" s="38">
        <f>SUMIF(RAW_File!D:D,C:C,RAW_File!G:G)</f>
        <v>0</v>
      </c>
      <c r="F882" s="39">
        <f>SUMIF(RAW_File!D:D,C:C,RAW_File!I:I)</f>
        <v>0</v>
      </c>
      <c r="G882" s="40">
        <f>SUMIF(RAW_File!D:D,C:C,RAW_File!K:K)</f>
        <v>0</v>
      </c>
      <c r="H882" s="41">
        <f>SUMIF(RAW_File!D:D,C:C,RAW_File!M:M)</f>
        <v>5000</v>
      </c>
      <c r="I882" s="40">
        <f t="shared" si="15"/>
        <v>5000</v>
      </c>
    </row>
    <row r="883" spans="1:9" hidden="1" x14ac:dyDescent="0.25">
      <c r="A883" s="36" t="s">
        <v>52</v>
      </c>
      <c r="B883" s="36" t="s">
        <v>1462</v>
      </c>
      <c r="C883" s="36" t="s">
        <v>1463</v>
      </c>
      <c r="D883" s="37">
        <f>SUMIF(RAW_File!D:D,C:C,RAW_File!F:F)</f>
        <v>554.58055972000273</v>
      </c>
      <c r="E883" s="38">
        <f>SUMIF(RAW_File!D:D,C:C,RAW_File!G:G)</f>
        <v>2945</v>
      </c>
      <c r="F883" s="39">
        <f>SUMIF(RAW_File!D:D,C:C,RAW_File!I:I)</f>
        <v>6771</v>
      </c>
      <c r="G883" s="40">
        <f>SUMIF(RAW_File!D:D,C:C,RAW_File!K:K)</f>
        <v>0</v>
      </c>
      <c r="H883" s="41">
        <f>SUMIF(RAW_File!D:D,C:C,RAW_File!M:M)</f>
        <v>5000</v>
      </c>
      <c r="I883" s="40">
        <f t="shared" si="15"/>
        <v>5000</v>
      </c>
    </row>
    <row r="884" spans="1:9" hidden="1" x14ac:dyDescent="0.25">
      <c r="A884" s="36" t="s">
        <v>52</v>
      </c>
      <c r="B884" s="36" t="s">
        <v>1530</v>
      </c>
      <c r="C884" s="36" t="s">
        <v>1531</v>
      </c>
      <c r="D884" s="37">
        <f>SUMIF(RAW_File!D:D,C:C,RAW_File!F:F)</f>
        <v>4951.8318499999996</v>
      </c>
      <c r="E884" s="38">
        <f>SUMIF(RAW_File!D:D,C:C,RAW_File!G:G)</f>
        <v>0</v>
      </c>
      <c r="F884" s="39">
        <f>SUMIF(RAW_File!D:D,C:C,RAW_File!I:I)</f>
        <v>1650</v>
      </c>
      <c r="G884" s="40">
        <f>SUMIF(RAW_File!D:D,C:C,RAW_File!K:K)</f>
        <v>3000</v>
      </c>
      <c r="H884" s="41">
        <f>SUMIF(RAW_File!D:D,C:C,RAW_File!M:M)</f>
        <v>23000</v>
      </c>
      <c r="I884" s="40">
        <f t="shared" si="15"/>
        <v>20000</v>
      </c>
    </row>
    <row r="885" spans="1:9" hidden="1" x14ac:dyDescent="0.25">
      <c r="A885" s="36" t="s">
        <v>52</v>
      </c>
      <c r="B885" s="36" t="s">
        <v>1672</v>
      </c>
      <c r="C885" s="36" t="s">
        <v>1673</v>
      </c>
      <c r="D885" s="37">
        <f>SUMIF(RAW_File!D:D,C:C,RAW_File!F:F)</f>
        <v>2576.9996000000001</v>
      </c>
      <c r="E885" s="38">
        <f>SUMIF(RAW_File!D:D,C:C,RAW_File!G:G)</f>
        <v>4910</v>
      </c>
      <c r="F885" s="39">
        <f>SUMIF(RAW_File!D:D,C:C,RAW_File!I:I)</f>
        <v>7260</v>
      </c>
      <c r="G885" s="40">
        <f>SUMIF(RAW_File!D:D,C:C,RAW_File!K:K)</f>
        <v>5000</v>
      </c>
      <c r="H885" s="41">
        <f>SUMIF(RAW_File!D:D,C:C,RAW_File!M:M)</f>
        <v>0</v>
      </c>
      <c r="I885" s="40">
        <f t="shared" si="15"/>
        <v>5000</v>
      </c>
    </row>
    <row r="886" spans="1:9" hidden="1" x14ac:dyDescent="0.25">
      <c r="A886" s="36" t="s">
        <v>52</v>
      </c>
      <c r="B886" s="36" t="s">
        <v>1734</v>
      </c>
      <c r="C886" s="36" t="s">
        <v>1735</v>
      </c>
      <c r="D886" s="37">
        <f>SUMIF(RAW_File!D:D,C:C,RAW_File!F:F)</f>
        <v>108.17951402288919</v>
      </c>
      <c r="E886" s="38">
        <f>SUMIF(RAW_File!D:D,C:C,RAW_File!G:G)</f>
        <v>0</v>
      </c>
      <c r="F886" s="39">
        <f>SUMIF(RAW_File!D:D,C:C,RAW_File!I:I)</f>
        <v>100</v>
      </c>
      <c r="G886" s="40">
        <f>SUMIF(RAW_File!D:D,C:C,RAW_File!K:K)</f>
        <v>0</v>
      </c>
      <c r="H886" s="41">
        <f>SUMIF(RAW_File!D:D,C:C,RAW_File!M:M)</f>
        <v>0</v>
      </c>
      <c r="I886" s="40">
        <f t="shared" si="15"/>
        <v>0</v>
      </c>
    </row>
    <row r="887" spans="1:9" hidden="1" x14ac:dyDescent="0.25">
      <c r="A887" s="36" t="s">
        <v>52</v>
      </c>
      <c r="B887" s="36" t="s">
        <v>1738</v>
      </c>
      <c r="C887" s="36" t="s">
        <v>1739</v>
      </c>
      <c r="D887" s="37">
        <f>SUMIF(RAW_File!D:D,C:C,RAW_File!F:F)</f>
        <v>13296.353052333559</v>
      </c>
      <c r="E887" s="38">
        <f>SUMIF(RAW_File!D:D,C:C,RAW_File!G:G)</f>
        <v>3600</v>
      </c>
      <c r="F887" s="39">
        <f>SUMIF(RAW_File!D:D,C:C,RAW_File!I:I)</f>
        <v>7100</v>
      </c>
      <c r="G887" s="40">
        <f>SUMIF(RAW_File!D:D,C:C,RAW_File!K:K)</f>
        <v>5000</v>
      </c>
      <c r="H887" s="41">
        <f>SUMIF(RAW_File!D:D,C:C,RAW_File!M:M)</f>
        <v>0</v>
      </c>
      <c r="I887" s="40">
        <f t="shared" si="15"/>
        <v>5000</v>
      </c>
    </row>
    <row r="888" spans="1:9" hidden="1" x14ac:dyDescent="0.25">
      <c r="A888" s="36" t="s">
        <v>52</v>
      </c>
      <c r="B888" s="36" t="s">
        <v>1758</v>
      </c>
      <c r="C888" s="36" t="s">
        <v>1759</v>
      </c>
      <c r="D888" s="37">
        <f>SUMIF(RAW_File!D:D,C:C,RAW_File!F:F)</f>
        <v>448.44654166605773</v>
      </c>
      <c r="E888" s="38">
        <f>SUMIF(RAW_File!D:D,C:C,RAW_File!G:G)</f>
        <v>5240</v>
      </c>
      <c r="F888" s="39">
        <f>SUMIF(RAW_File!D:D,C:C,RAW_File!I:I)</f>
        <v>6866</v>
      </c>
      <c r="G888" s="40">
        <f>SUMIF(RAW_File!D:D,C:C,RAW_File!K:K)</f>
        <v>0</v>
      </c>
      <c r="H888" s="41">
        <f>SUMIF(RAW_File!D:D,C:C,RAW_File!M:M)</f>
        <v>0</v>
      </c>
      <c r="I888" s="40">
        <f t="shared" si="15"/>
        <v>0</v>
      </c>
    </row>
    <row r="889" spans="1:9" hidden="1" x14ac:dyDescent="0.25">
      <c r="A889" s="36" t="s">
        <v>52</v>
      </c>
      <c r="B889" s="36" t="s">
        <v>1817</v>
      </c>
      <c r="C889" s="36" t="s">
        <v>1818</v>
      </c>
      <c r="D889" s="37">
        <f>SUMIF(RAW_File!D:D,C:C,RAW_File!F:F)</f>
        <v>11867.76231890971</v>
      </c>
      <c r="E889" s="38">
        <f>SUMIF(RAW_File!D:D,C:C,RAW_File!G:G)</f>
        <v>900</v>
      </c>
      <c r="F889" s="39">
        <f>SUMIF(RAW_File!D:D,C:C,RAW_File!I:I)</f>
        <v>2850</v>
      </c>
      <c r="G889" s="40">
        <f>SUMIF(RAW_File!D:D,C:C,RAW_File!K:K)</f>
        <v>6000</v>
      </c>
      <c r="H889" s="41">
        <f>SUMIF(RAW_File!D:D,C:C,RAW_File!M:M)</f>
        <v>0</v>
      </c>
      <c r="I889" s="40">
        <f t="shared" si="15"/>
        <v>6000</v>
      </c>
    </row>
    <row r="890" spans="1:9" hidden="1" x14ac:dyDescent="0.25">
      <c r="A890" s="36" t="s">
        <v>52</v>
      </c>
      <c r="B890" s="36" t="s">
        <v>1847</v>
      </c>
      <c r="C890" s="36" t="s">
        <v>1848</v>
      </c>
      <c r="D890" s="37">
        <f>SUMIF(RAW_File!D:D,C:C,RAW_File!F:F)</f>
        <v>26059.089899460709</v>
      </c>
      <c r="E890" s="38">
        <f>SUMIF(RAW_File!D:D,C:C,RAW_File!G:G)</f>
        <v>5130</v>
      </c>
      <c r="F890" s="39">
        <f>SUMIF(RAW_File!D:D,C:C,RAW_File!I:I)</f>
        <v>29080</v>
      </c>
      <c r="G890" s="40">
        <f>SUMIF(RAW_File!D:D,C:C,RAW_File!K:K)</f>
        <v>0</v>
      </c>
      <c r="H890" s="41">
        <f>SUMIF(RAW_File!D:D,C:C,RAW_File!M:M)</f>
        <v>50000</v>
      </c>
      <c r="I890" s="40">
        <f t="shared" si="15"/>
        <v>50000</v>
      </c>
    </row>
    <row r="891" spans="1:9" hidden="1" x14ac:dyDescent="0.25">
      <c r="A891" s="36" t="s">
        <v>52</v>
      </c>
      <c r="B891" s="36" t="s">
        <v>2031</v>
      </c>
      <c r="C891" s="36" t="s">
        <v>2032</v>
      </c>
      <c r="D891" s="37">
        <f>SUMIF(RAW_File!D:D,C:C,RAW_File!F:F)</f>
        <v>6118.3009795997341</v>
      </c>
      <c r="E891" s="38">
        <f>SUMIF(RAW_File!D:D,C:C,RAW_File!G:G)</f>
        <v>64</v>
      </c>
      <c r="F891" s="39">
        <f>SUMIF(RAW_File!D:D,C:C,RAW_File!I:I)</f>
        <v>14654</v>
      </c>
      <c r="G891" s="40">
        <f>SUMIF(RAW_File!D:D,C:C,RAW_File!K:K)</f>
        <v>5000</v>
      </c>
      <c r="H891" s="41">
        <f>SUMIF(RAW_File!D:D,C:C,RAW_File!M:M)</f>
        <v>20000</v>
      </c>
      <c r="I891" s="40">
        <f t="shared" si="15"/>
        <v>15000</v>
      </c>
    </row>
    <row r="892" spans="1:9" hidden="1" x14ac:dyDescent="0.25">
      <c r="A892" s="36" t="s">
        <v>52</v>
      </c>
      <c r="B892" s="36" t="s">
        <v>2203</v>
      </c>
      <c r="C892" s="36" t="s">
        <v>2204</v>
      </c>
      <c r="D892" s="37">
        <f>SUMIF(RAW_File!D:D,C:C,RAW_File!F:F)</f>
        <v>5043.5731782610001</v>
      </c>
      <c r="E892" s="38">
        <f>SUMIF(RAW_File!D:D,C:C,RAW_File!G:G)</f>
        <v>2000</v>
      </c>
      <c r="F892" s="39">
        <f>SUMIF(RAW_File!D:D,C:C,RAW_File!I:I)</f>
        <v>25000</v>
      </c>
      <c r="G892" s="40">
        <f>SUMIF(RAW_File!D:D,C:C,RAW_File!K:K)</f>
        <v>0</v>
      </c>
      <c r="H892" s="41">
        <f>SUMIF(RAW_File!D:D,C:C,RAW_File!M:M)</f>
        <v>27000</v>
      </c>
      <c r="I892" s="40">
        <f t="shared" si="15"/>
        <v>27000</v>
      </c>
    </row>
    <row r="893" spans="1:9" hidden="1" x14ac:dyDescent="0.25">
      <c r="A893" s="36" t="s">
        <v>52</v>
      </c>
      <c r="B893" s="36" t="s">
        <v>2264</v>
      </c>
      <c r="C893" s="36" t="s">
        <v>2265</v>
      </c>
      <c r="D893" s="37">
        <f>SUMIF(RAW_File!D:D,C:C,RAW_File!F:F)</f>
        <v>92.219039083135257</v>
      </c>
      <c r="E893" s="38">
        <f>SUMIF(RAW_File!D:D,C:C,RAW_File!G:G)</f>
        <v>0</v>
      </c>
      <c r="F893" s="39">
        <f>SUMIF(RAW_File!D:D,C:C,RAW_File!I:I)</f>
        <v>0</v>
      </c>
      <c r="G893" s="40">
        <f>SUMIF(RAW_File!D:D,C:C,RAW_File!K:K)</f>
        <v>0</v>
      </c>
      <c r="H893" s="41">
        <f>SUMIF(RAW_File!D:D,C:C,RAW_File!M:M)</f>
        <v>0</v>
      </c>
      <c r="I893" s="40">
        <f t="shared" si="15"/>
        <v>0</v>
      </c>
    </row>
    <row r="894" spans="1:9" hidden="1" x14ac:dyDescent="0.25">
      <c r="A894" s="36" t="s">
        <v>52</v>
      </c>
      <c r="B894" s="36" t="s">
        <v>2401</v>
      </c>
      <c r="C894" s="36" t="s">
        <v>2402</v>
      </c>
      <c r="D894" s="37">
        <f>SUMIF(RAW_File!D:D,C:C,RAW_File!F:F)</f>
        <v>11918.096750000001</v>
      </c>
      <c r="E894" s="38">
        <f>SUMIF(RAW_File!D:D,C:C,RAW_File!G:G)</f>
        <v>500</v>
      </c>
      <c r="F894" s="39">
        <f>SUMIF(RAW_File!D:D,C:C,RAW_File!I:I)</f>
        <v>980</v>
      </c>
      <c r="G894" s="40">
        <f>SUMIF(RAW_File!D:D,C:C,RAW_File!K:K)</f>
        <v>0</v>
      </c>
      <c r="H894" s="41">
        <f>SUMIF(RAW_File!D:D,C:C,RAW_File!M:M)</f>
        <v>10000</v>
      </c>
      <c r="I894" s="40">
        <f t="shared" si="15"/>
        <v>10000</v>
      </c>
    </row>
    <row r="895" spans="1:9" hidden="1" x14ac:dyDescent="0.25">
      <c r="A895" s="36" t="s">
        <v>52</v>
      </c>
      <c r="B895" s="36" t="s">
        <v>2567</v>
      </c>
      <c r="C895" s="36" t="s">
        <v>2568</v>
      </c>
      <c r="D895" s="37">
        <f>SUMIF(RAW_File!D:D,C:C,RAW_File!F:F)</f>
        <v>13624.181750915421</v>
      </c>
      <c r="E895" s="38">
        <f>SUMIF(RAW_File!D:D,C:C,RAW_File!G:G)</f>
        <v>0</v>
      </c>
      <c r="F895" s="39">
        <f>SUMIF(RAW_File!D:D,C:C,RAW_File!I:I)</f>
        <v>500</v>
      </c>
      <c r="G895" s="40">
        <f>SUMIF(RAW_File!D:D,C:C,RAW_File!K:K)</f>
        <v>0</v>
      </c>
      <c r="H895" s="41">
        <f>SUMIF(RAW_File!D:D,C:C,RAW_File!M:M)</f>
        <v>6000</v>
      </c>
      <c r="I895" s="40">
        <f t="shared" si="15"/>
        <v>6000</v>
      </c>
    </row>
    <row r="896" spans="1:9" hidden="1" x14ac:dyDescent="0.25">
      <c r="A896" s="36" t="s">
        <v>52</v>
      </c>
      <c r="B896" s="36" t="s">
        <v>2584</v>
      </c>
      <c r="C896" s="36" t="s">
        <v>2585</v>
      </c>
      <c r="D896" s="37">
        <f>SUMIF(RAW_File!D:D,C:C,RAW_File!F:F)</f>
        <v>16398.561750000001</v>
      </c>
      <c r="E896" s="38">
        <f>SUMIF(RAW_File!D:D,C:C,RAW_File!G:G)</f>
        <v>750</v>
      </c>
      <c r="F896" s="39">
        <f>SUMIF(RAW_File!D:D,C:C,RAW_File!I:I)</f>
        <v>4250</v>
      </c>
      <c r="G896" s="40">
        <f>SUMIF(RAW_File!D:D,C:C,RAW_File!K:K)</f>
        <v>6000</v>
      </c>
      <c r="H896" s="41">
        <f>SUMIF(RAW_File!D:D,C:C,RAW_File!M:M)</f>
        <v>0</v>
      </c>
      <c r="I896" s="40">
        <f t="shared" si="15"/>
        <v>6000</v>
      </c>
    </row>
    <row r="897" spans="1:9" hidden="1" x14ac:dyDescent="0.25">
      <c r="A897" s="36" t="s">
        <v>52</v>
      </c>
      <c r="B897" s="36" t="s">
        <v>145</v>
      </c>
      <c r="C897" s="36" t="s">
        <v>2626</v>
      </c>
      <c r="D897" s="37">
        <f>SUMIF(RAW_File!D:D,C:C,RAW_File!F:F)</f>
        <v>14014.7220521739</v>
      </c>
      <c r="E897" s="38">
        <f>SUMIF(RAW_File!D:D,C:C,RAW_File!G:G)</f>
        <v>54690</v>
      </c>
      <c r="F897" s="39">
        <f>SUMIF(RAW_File!D:D,C:C,RAW_File!I:I)</f>
        <v>60840</v>
      </c>
      <c r="G897" s="40">
        <f>SUMIF(RAW_File!D:D,C:C,RAW_File!K:K)</f>
        <v>50000</v>
      </c>
      <c r="H897" s="41">
        <f>SUMIF(RAW_File!D:D,C:C,RAW_File!M:M)</f>
        <v>0</v>
      </c>
      <c r="I897" s="40">
        <f t="shared" si="15"/>
        <v>50000</v>
      </c>
    </row>
    <row r="898" spans="1:9" hidden="1" x14ac:dyDescent="0.25">
      <c r="A898" s="36" t="s">
        <v>52</v>
      </c>
      <c r="B898" s="36" t="s">
        <v>2642</v>
      </c>
      <c r="C898" s="36" t="s">
        <v>2643</v>
      </c>
      <c r="D898" s="37">
        <f>SUMIF(RAW_File!D:D,C:C,RAW_File!F:F)</f>
        <v>6371.6727000000001</v>
      </c>
      <c r="E898" s="38">
        <f>SUMIF(RAW_File!D:D,C:C,RAW_File!G:G)</f>
        <v>1000</v>
      </c>
      <c r="F898" s="39">
        <f>SUMIF(RAW_File!D:D,C:C,RAW_File!I:I)</f>
        <v>2885</v>
      </c>
      <c r="G898" s="40">
        <f>SUMIF(RAW_File!D:D,C:C,RAW_File!K:K)</f>
        <v>0</v>
      </c>
      <c r="H898" s="41">
        <f>SUMIF(RAW_File!D:D,C:C,RAW_File!M:M)</f>
        <v>6000</v>
      </c>
      <c r="I898" s="40">
        <f t="shared" si="15"/>
        <v>6000</v>
      </c>
    </row>
    <row r="899" spans="1:9" hidden="1" x14ac:dyDescent="0.25">
      <c r="A899" s="36" t="s">
        <v>52</v>
      </c>
      <c r="B899" s="36" t="s">
        <v>2671</v>
      </c>
      <c r="C899" s="36" t="s">
        <v>2672</v>
      </c>
      <c r="D899" s="37">
        <f>SUMIF(RAW_File!D:D,C:C,RAW_File!F:F)</f>
        <v>9095.7640608695001</v>
      </c>
      <c r="E899" s="38">
        <f>SUMIF(RAW_File!D:D,C:C,RAW_File!G:G)</f>
        <v>2700</v>
      </c>
      <c r="F899" s="39">
        <f>SUMIF(RAW_File!D:D,C:C,RAW_File!I:I)</f>
        <v>7375</v>
      </c>
      <c r="G899" s="40">
        <f>SUMIF(RAW_File!D:D,C:C,RAW_File!K:K)</f>
        <v>0</v>
      </c>
      <c r="H899" s="41">
        <f>SUMIF(RAW_File!D:D,C:C,RAW_File!M:M)</f>
        <v>15000</v>
      </c>
      <c r="I899" s="40">
        <f t="shared" ref="I899:I962" si="16">ABS(G899-H899)</f>
        <v>15000</v>
      </c>
    </row>
    <row r="900" spans="1:9" hidden="1" x14ac:dyDescent="0.25">
      <c r="A900" s="36" t="s">
        <v>52</v>
      </c>
      <c r="B900" s="36" t="s">
        <v>2754</v>
      </c>
      <c r="C900" s="36" t="s">
        <v>2755</v>
      </c>
      <c r="D900" s="37">
        <f>SUMIF(RAW_File!D:D,C:C,RAW_File!F:F)</f>
        <v>15679.999</v>
      </c>
      <c r="E900" s="38">
        <f>SUMIF(RAW_File!D:D,C:C,RAW_File!G:G)</f>
        <v>0</v>
      </c>
      <c r="F900" s="39">
        <f>SUMIF(RAW_File!D:D,C:C,RAW_File!I:I)</f>
        <v>0</v>
      </c>
      <c r="G900" s="40">
        <f>SUMIF(RAW_File!D:D,C:C,RAW_File!K:K)</f>
        <v>0</v>
      </c>
      <c r="H900" s="41">
        <f>SUMIF(RAW_File!D:D,C:C,RAW_File!M:M)</f>
        <v>0</v>
      </c>
      <c r="I900" s="40">
        <f t="shared" si="16"/>
        <v>0</v>
      </c>
    </row>
    <row r="901" spans="1:9" hidden="1" x14ac:dyDescent="0.25">
      <c r="A901" s="36" t="s">
        <v>52</v>
      </c>
      <c r="B901" s="36" t="s">
        <v>2865</v>
      </c>
      <c r="C901" s="36" t="s">
        <v>2866</v>
      </c>
      <c r="D901" s="37">
        <f>SUMIF(RAW_File!D:D,C:C,RAW_File!F:F)</f>
        <v>4333.9362532517362</v>
      </c>
      <c r="E901" s="38">
        <f>SUMIF(RAW_File!D:D,C:C,RAW_File!G:G)</f>
        <v>15300</v>
      </c>
      <c r="F901" s="39">
        <f>SUMIF(RAW_File!D:D,C:C,RAW_File!I:I)</f>
        <v>30300</v>
      </c>
      <c r="G901" s="40">
        <f>SUMIF(RAW_File!D:D,C:C,RAW_File!K:K)</f>
        <v>0</v>
      </c>
      <c r="H901" s="41">
        <f>SUMIF(RAW_File!D:D,C:C,RAW_File!M:M)</f>
        <v>6000</v>
      </c>
      <c r="I901" s="40">
        <f t="shared" si="16"/>
        <v>6000</v>
      </c>
    </row>
    <row r="902" spans="1:9" hidden="1" x14ac:dyDescent="0.25">
      <c r="A902" s="36" t="s">
        <v>52</v>
      </c>
      <c r="B902" s="36" t="s">
        <v>3097</v>
      </c>
      <c r="C902" s="36" t="s">
        <v>3098</v>
      </c>
      <c r="D902" s="37">
        <f>SUMIF(RAW_File!D:D,C:C,RAW_File!F:F)</f>
        <v>7383.4906965730916</v>
      </c>
      <c r="E902" s="38">
        <f>SUMIF(RAW_File!D:D,C:C,RAW_File!G:G)</f>
        <v>5020</v>
      </c>
      <c r="F902" s="39">
        <f>SUMIF(RAW_File!D:D,C:C,RAW_File!I:I)</f>
        <v>7820</v>
      </c>
      <c r="G902" s="40">
        <f>SUMIF(RAW_File!D:D,C:C,RAW_File!K:K)</f>
        <v>5000</v>
      </c>
      <c r="H902" s="41">
        <f>SUMIF(RAW_File!D:D,C:C,RAW_File!M:M)</f>
        <v>0</v>
      </c>
      <c r="I902" s="40">
        <f t="shared" si="16"/>
        <v>5000</v>
      </c>
    </row>
    <row r="903" spans="1:9" hidden="1" x14ac:dyDescent="0.25">
      <c r="A903" s="36" t="s">
        <v>52</v>
      </c>
      <c r="B903" s="36" t="s">
        <v>3097</v>
      </c>
      <c r="C903" s="36" t="s">
        <v>3124</v>
      </c>
      <c r="D903" s="37">
        <f>SUMIF(RAW_File!D:D,C:C,RAW_File!F:F)</f>
        <v>0.76521527355525931</v>
      </c>
      <c r="E903" s="38">
        <f>SUMIF(RAW_File!D:D,C:C,RAW_File!G:G)</f>
        <v>3486</v>
      </c>
      <c r="F903" s="39">
        <f>SUMIF(RAW_File!D:D,C:C,RAW_File!I:I)</f>
        <v>5989.55</v>
      </c>
      <c r="G903" s="40">
        <f>SUMIF(RAW_File!D:D,C:C,RAW_File!K:K)</f>
        <v>0</v>
      </c>
      <c r="H903" s="41">
        <f>SUMIF(RAW_File!D:D,C:C,RAW_File!M:M)</f>
        <v>0</v>
      </c>
      <c r="I903" s="40">
        <f t="shared" si="16"/>
        <v>0</v>
      </c>
    </row>
    <row r="904" spans="1:9" hidden="1" x14ac:dyDescent="0.25">
      <c r="A904" s="36" t="s">
        <v>52</v>
      </c>
      <c r="B904" s="36" t="s">
        <v>3136</v>
      </c>
      <c r="C904" s="36" t="s">
        <v>3137</v>
      </c>
      <c r="D904" s="37">
        <f>SUMIF(RAW_File!D:D,C:C,RAW_File!F:F)</f>
        <v>5089.1627353704152</v>
      </c>
      <c r="E904" s="38">
        <f>SUMIF(RAW_File!D:D,C:C,RAW_File!G:G)</f>
        <v>0</v>
      </c>
      <c r="F904" s="39">
        <f>SUMIF(RAW_File!D:D,C:C,RAW_File!I:I)</f>
        <v>6890</v>
      </c>
      <c r="G904" s="40">
        <f>SUMIF(RAW_File!D:D,C:C,RAW_File!K:K)</f>
        <v>0</v>
      </c>
      <c r="H904" s="41">
        <f>SUMIF(RAW_File!D:D,C:C,RAW_File!M:M)</f>
        <v>3500</v>
      </c>
      <c r="I904" s="40">
        <f t="shared" si="16"/>
        <v>3500</v>
      </c>
    </row>
    <row r="905" spans="1:9" hidden="1" x14ac:dyDescent="0.25">
      <c r="A905" s="36" t="s">
        <v>52</v>
      </c>
      <c r="B905" s="36" t="s">
        <v>3146</v>
      </c>
      <c r="C905" s="36" t="s">
        <v>3147</v>
      </c>
      <c r="D905" s="37">
        <f>SUMIF(RAW_File!D:D,C:C,RAW_File!F:F)</f>
        <v>201.77670718698829</v>
      </c>
      <c r="E905" s="38">
        <f>SUMIF(RAW_File!D:D,C:C,RAW_File!G:G)</f>
        <v>2614</v>
      </c>
      <c r="F905" s="39">
        <f>SUMIF(RAW_File!D:D,C:C,RAW_File!I:I)</f>
        <v>3404</v>
      </c>
      <c r="G905" s="40">
        <f>SUMIF(RAW_File!D:D,C:C,RAW_File!K:K)</f>
        <v>0</v>
      </c>
      <c r="H905" s="41">
        <f>SUMIF(RAW_File!D:D,C:C,RAW_File!M:M)</f>
        <v>10000</v>
      </c>
      <c r="I905" s="40">
        <f t="shared" si="16"/>
        <v>10000</v>
      </c>
    </row>
    <row r="906" spans="1:9" hidden="1" x14ac:dyDescent="0.25">
      <c r="A906" s="36" t="s">
        <v>52</v>
      </c>
      <c r="B906" s="36" t="s">
        <v>3181</v>
      </c>
      <c r="C906" s="36" t="s">
        <v>3182</v>
      </c>
      <c r="D906" s="37">
        <f>SUMIF(RAW_File!D:D,C:C,RAW_File!F:F)</f>
        <v>1.4625569461076999</v>
      </c>
      <c r="E906" s="38">
        <f>SUMIF(RAW_File!D:D,C:C,RAW_File!G:G)</f>
        <v>14033</v>
      </c>
      <c r="F906" s="39">
        <f>SUMIF(RAW_File!D:D,C:C,RAW_File!I:I)</f>
        <v>47312</v>
      </c>
      <c r="G906" s="40">
        <f>SUMIF(RAW_File!D:D,C:C,RAW_File!K:K)</f>
        <v>5000</v>
      </c>
      <c r="H906" s="41">
        <f>SUMIF(RAW_File!D:D,C:C,RAW_File!M:M)</f>
        <v>25000</v>
      </c>
      <c r="I906" s="40">
        <f t="shared" si="16"/>
        <v>20000</v>
      </c>
    </row>
    <row r="907" spans="1:9" hidden="1" x14ac:dyDescent="0.25">
      <c r="A907" s="36" t="s">
        <v>52</v>
      </c>
      <c r="B907" s="36" t="s">
        <v>3252</v>
      </c>
      <c r="C907" s="36" t="s">
        <v>3253</v>
      </c>
      <c r="D907" s="37">
        <f>SUMIF(RAW_File!D:D,C:C,RAW_File!F:F)</f>
        <v>2226.0409201976868</v>
      </c>
      <c r="E907" s="38">
        <f>SUMIF(RAW_File!D:D,C:C,RAW_File!G:G)</f>
        <v>7630</v>
      </c>
      <c r="F907" s="39">
        <f>SUMIF(RAW_File!D:D,C:C,RAW_File!I:I)</f>
        <v>38360</v>
      </c>
      <c r="G907" s="40">
        <f>SUMIF(RAW_File!D:D,C:C,RAW_File!K:K)</f>
        <v>10000</v>
      </c>
      <c r="H907" s="41">
        <f>SUMIF(RAW_File!D:D,C:C,RAW_File!M:M)</f>
        <v>35000</v>
      </c>
      <c r="I907" s="40">
        <f t="shared" si="16"/>
        <v>25000</v>
      </c>
    </row>
    <row r="908" spans="1:9" hidden="1" x14ac:dyDescent="0.25">
      <c r="A908" s="36" t="s">
        <v>52</v>
      </c>
      <c r="B908" s="36" t="s">
        <v>3383</v>
      </c>
      <c r="C908" s="36" t="s">
        <v>3384</v>
      </c>
      <c r="D908" s="37">
        <f>SUMIF(RAW_File!D:D,C:C,RAW_File!F:F)</f>
        <v>19847.657200000001</v>
      </c>
      <c r="E908" s="38">
        <f>SUMIF(RAW_File!D:D,C:C,RAW_File!G:G)</f>
        <v>0</v>
      </c>
      <c r="F908" s="39">
        <f>SUMIF(RAW_File!D:D,C:C,RAW_File!I:I)</f>
        <v>0</v>
      </c>
      <c r="G908" s="40">
        <f>SUMIF(RAW_File!D:D,C:C,RAW_File!K:K)</f>
        <v>0</v>
      </c>
      <c r="H908" s="41">
        <f>SUMIF(RAW_File!D:D,C:C,RAW_File!M:M)</f>
        <v>10000</v>
      </c>
      <c r="I908" s="40">
        <f t="shared" si="16"/>
        <v>10000</v>
      </c>
    </row>
    <row r="909" spans="1:9" hidden="1" x14ac:dyDescent="0.25">
      <c r="A909" s="36" t="s">
        <v>52</v>
      </c>
      <c r="B909" s="36" t="s">
        <v>3528</v>
      </c>
      <c r="C909" s="36" t="s">
        <v>3529</v>
      </c>
      <c r="D909" s="37">
        <f>SUMIF(RAW_File!D:D,C:C,RAW_File!F:F)</f>
        <v>7354.7838000000002</v>
      </c>
      <c r="E909" s="38">
        <f>SUMIF(RAW_File!D:D,C:C,RAW_File!G:G)</f>
        <v>450</v>
      </c>
      <c r="F909" s="39">
        <f>SUMIF(RAW_File!D:D,C:C,RAW_File!I:I)</f>
        <v>4200</v>
      </c>
      <c r="G909" s="40">
        <f>SUMIF(RAW_File!D:D,C:C,RAW_File!K:K)</f>
        <v>4000</v>
      </c>
      <c r="H909" s="41">
        <f>SUMIF(RAW_File!D:D,C:C,RAW_File!M:M)</f>
        <v>0</v>
      </c>
      <c r="I909" s="40">
        <f t="shared" si="16"/>
        <v>4000</v>
      </c>
    </row>
    <row r="910" spans="1:9" hidden="1" x14ac:dyDescent="0.25">
      <c r="A910" s="36" t="s">
        <v>66</v>
      </c>
      <c r="B910" s="36" t="s">
        <v>427</v>
      </c>
      <c r="C910" s="36" t="s">
        <v>428</v>
      </c>
      <c r="D910" s="37">
        <f>SUMIF(RAW_File!D:D,C:C,RAW_File!F:F)</f>
        <v>149.8614</v>
      </c>
      <c r="E910" s="38">
        <f>SUMIF(RAW_File!D:D,C:C,RAW_File!G:G)</f>
        <v>0</v>
      </c>
      <c r="F910" s="39">
        <f>SUMIF(RAW_File!D:D,C:C,RAW_File!I:I)</f>
        <v>0</v>
      </c>
      <c r="G910" s="40">
        <f>SUMIF(RAW_File!D:D,C:C,RAW_File!K:K)</f>
        <v>0</v>
      </c>
      <c r="H910" s="41">
        <f>SUMIF(RAW_File!D:D,C:C,RAW_File!M:M)</f>
        <v>14500</v>
      </c>
      <c r="I910" s="40">
        <f t="shared" si="16"/>
        <v>14500</v>
      </c>
    </row>
    <row r="911" spans="1:9" hidden="1" x14ac:dyDescent="0.25">
      <c r="A911" s="36" t="s">
        <v>66</v>
      </c>
      <c r="B911" s="36" t="s">
        <v>576</v>
      </c>
      <c r="C911" s="36" t="s">
        <v>577</v>
      </c>
      <c r="D911" s="37">
        <f>SUMIF(RAW_File!D:D,C:C,RAW_File!F:F)</f>
        <v>4943.8598000000002</v>
      </c>
      <c r="E911" s="38">
        <f>SUMIF(RAW_File!D:D,C:C,RAW_File!G:G)</f>
        <v>13000</v>
      </c>
      <c r="F911" s="39">
        <f>SUMIF(RAW_File!D:D,C:C,RAW_File!I:I)</f>
        <v>21000</v>
      </c>
      <c r="G911" s="40">
        <f>SUMIF(RAW_File!D:D,C:C,RAW_File!K:K)</f>
        <v>5000</v>
      </c>
      <c r="H911" s="41">
        <f>SUMIF(RAW_File!D:D,C:C,RAW_File!M:M)</f>
        <v>0</v>
      </c>
      <c r="I911" s="40">
        <f t="shared" si="16"/>
        <v>5000</v>
      </c>
    </row>
    <row r="912" spans="1:9" hidden="1" x14ac:dyDescent="0.25">
      <c r="A912" s="36" t="s">
        <v>66</v>
      </c>
      <c r="B912" s="36" t="s">
        <v>693</v>
      </c>
      <c r="C912" s="36" t="s">
        <v>694</v>
      </c>
      <c r="D912" s="37">
        <f>SUMIF(RAW_File!D:D,C:C,RAW_File!F:F)</f>
        <v>34206.999160876498</v>
      </c>
      <c r="E912" s="38">
        <f>SUMIF(RAW_File!D:D,C:C,RAW_File!G:G)</f>
        <v>1750</v>
      </c>
      <c r="F912" s="39">
        <f>SUMIF(RAW_File!D:D,C:C,RAW_File!I:I)</f>
        <v>9300</v>
      </c>
      <c r="G912" s="40">
        <f>SUMIF(RAW_File!D:D,C:C,RAW_File!K:K)</f>
        <v>20000</v>
      </c>
      <c r="H912" s="41">
        <f>SUMIF(RAW_File!D:D,C:C,RAW_File!M:M)</f>
        <v>0</v>
      </c>
      <c r="I912" s="40">
        <f t="shared" si="16"/>
        <v>20000</v>
      </c>
    </row>
    <row r="913" spans="1:9" hidden="1" x14ac:dyDescent="0.25">
      <c r="A913" s="36" t="s">
        <v>66</v>
      </c>
      <c r="B913" s="36" t="s">
        <v>145</v>
      </c>
      <c r="C913" s="36" t="s">
        <v>723</v>
      </c>
      <c r="D913" s="37">
        <f>SUMIF(RAW_File!D:D,C:C,RAW_File!F:F)</f>
        <v>5241.7712000000001</v>
      </c>
      <c r="E913" s="38">
        <f>SUMIF(RAW_File!D:D,C:C,RAW_File!G:G)</f>
        <v>59300</v>
      </c>
      <c r="F913" s="39">
        <f>SUMIF(RAW_File!D:D,C:C,RAW_File!I:I)</f>
        <v>104400</v>
      </c>
      <c r="G913" s="40">
        <f>SUMIF(RAW_File!D:D,C:C,RAW_File!K:K)</f>
        <v>0</v>
      </c>
      <c r="H913" s="41">
        <f>SUMIF(RAW_File!D:D,C:C,RAW_File!M:M)</f>
        <v>0</v>
      </c>
      <c r="I913" s="40">
        <f t="shared" si="16"/>
        <v>0</v>
      </c>
    </row>
    <row r="914" spans="1:9" hidden="1" x14ac:dyDescent="0.25">
      <c r="A914" s="36" t="s">
        <v>66</v>
      </c>
      <c r="B914" s="36" t="s">
        <v>742</v>
      </c>
      <c r="C914" s="36" t="s">
        <v>743</v>
      </c>
      <c r="D914" s="37">
        <f>SUMIF(RAW_File!D:D,C:C,RAW_File!F:F)</f>
        <v>223.1703</v>
      </c>
      <c r="E914" s="38">
        <f>SUMIF(RAW_File!D:D,C:C,RAW_File!G:G)</f>
        <v>0</v>
      </c>
      <c r="F914" s="39">
        <f>SUMIF(RAW_File!D:D,C:C,RAW_File!I:I)</f>
        <v>0</v>
      </c>
      <c r="G914" s="40">
        <f>SUMIF(RAW_File!D:D,C:C,RAW_File!K:K)</f>
        <v>0</v>
      </c>
      <c r="H914" s="41">
        <f>SUMIF(RAW_File!D:D,C:C,RAW_File!M:M)</f>
        <v>0</v>
      </c>
      <c r="I914" s="40">
        <f t="shared" si="16"/>
        <v>0</v>
      </c>
    </row>
    <row r="915" spans="1:9" hidden="1" x14ac:dyDescent="0.25">
      <c r="A915" s="36" t="s">
        <v>66</v>
      </c>
      <c r="B915" s="36" t="s">
        <v>903</v>
      </c>
      <c r="C915" s="36" t="s">
        <v>904</v>
      </c>
      <c r="D915" s="37">
        <f>SUMIF(RAW_File!D:D,C:C,RAW_File!F:F)</f>
        <v>13131.4123</v>
      </c>
      <c r="E915" s="38">
        <f>SUMIF(RAW_File!D:D,C:C,RAW_File!G:G)</f>
        <v>20900</v>
      </c>
      <c r="F915" s="39">
        <f>SUMIF(RAW_File!D:D,C:C,RAW_File!I:I)</f>
        <v>34880</v>
      </c>
      <c r="G915" s="40">
        <f>SUMIF(RAW_File!D:D,C:C,RAW_File!K:K)</f>
        <v>5000</v>
      </c>
      <c r="H915" s="41">
        <f>SUMIF(RAW_File!D:D,C:C,RAW_File!M:M)</f>
        <v>0</v>
      </c>
      <c r="I915" s="40">
        <f t="shared" si="16"/>
        <v>5000</v>
      </c>
    </row>
    <row r="916" spans="1:9" hidden="1" x14ac:dyDescent="0.25">
      <c r="A916" s="36" t="s">
        <v>66</v>
      </c>
      <c r="B916" s="36" t="s">
        <v>927</v>
      </c>
      <c r="C916" s="36" t="s">
        <v>928</v>
      </c>
      <c r="D916" s="37">
        <f>SUMIF(RAW_File!D:D,C:C,RAW_File!F:F)</f>
        <v>9211.0436051547258</v>
      </c>
      <c r="E916" s="38">
        <f>SUMIF(RAW_File!D:D,C:C,RAW_File!G:G)</f>
        <v>11850</v>
      </c>
      <c r="F916" s="39">
        <f>SUMIF(RAW_File!D:D,C:C,RAW_File!I:I)</f>
        <v>14510</v>
      </c>
      <c r="G916" s="40">
        <f>SUMIF(RAW_File!D:D,C:C,RAW_File!K:K)</f>
        <v>6000</v>
      </c>
      <c r="H916" s="41">
        <f>SUMIF(RAW_File!D:D,C:C,RAW_File!M:M)</f>
        <v>0</v>
      </c>
      <c r="I916" s="40">
        <f t="shared" si="16"/>
        <v>6000</v>
      </c>
    </row>
    <row r="917" spans="1:9" hidden="1" x14ac:dyDescent="0.25">
      <c r="A917" s="36" t="s">
        <v>66</v>
      </c>
      <c r="B917" s="36" t="s">
        <v>937</v>
      </c>
      <c r="C917" s="36" t="s">
        <v>938</v>
      </c>
      <c r="D917" s="37">
        <f>SUMIF(RAW_File!D:D,C:C,RAW_File!F:F)</f>
        <v>394.70968924859352</v>
      </c>
      <c r="E917" s="38">
        <f>SUMIF(RAW_File!D:D,C:C,RAW_File!G:G)</f>
        <v>0</v>
      </c>
      <c r="F917" s="39">
        <f>SUMIF(RAW_File!D:D,C:C,RAW_File!I:I)</f>
        <v>0</v>
      </c>
      <c r="G917" s="40">
        <f>SUMIF(RAW_File!D:D,C:C,RAW_File!K:K)</f>
        <v>0</v>
      </c>
      <c r="H917" s="41">
        <f>SUMIF(RAW_File!D:D,C:C,RAW_File!M:M)</f>
        <v>5000</v>
      </c>
      <c r="I917" s="40">
        <f t="shared" si="16"/>
        <v>5000</v>
      </c>
    </row>
    <row r="918" spans="1:9" hidden="1" x14ac:dyDescent="0.25">
      <c r="A918" s="36" t="s">
        <v>66</v>
      </c>
      <c r="B918" s="36" t="s">
        <v>961</v>
      </c>
      <c r="C918" s="36" t="s">
        <v>962</v>
      </c>
      <c r="D918" s="37">
        <f>SUMIF(RAW_File!D:D,C:C,RAW_File!F:F)</f>
        <v>7650.0142710329037</v>
      </c>
      <c r="E918" s="38">
        <f>SUMIF(RAW_File!D:D,C:C,RAW_File!G:G)</f>
        <v>39300</v>
      </c>
      <c r="F918" s="39">
        <f>SUMIF(RAW_File!D:D,C:C,RAW_File!I:I)</f>
        <v>65170</v>
      </c>
      <c r="G918" s="40">
        <f>SUMIF(RAW_File!D:D,C:C,RAW_File!K:K)</f>
        <v>5000</v>
      </c>
      <c r="H918" s="41">
        <f>SUMIF(RAW_File!D:D,C:C,RAW_File!M:M)</f>
        <v>0</v>
      </c>
      <c r="I918" s="40">
        <f t="shared" si="16"/>
        <v>5000</v>
      </c>
    </row>
    <row r="919" spans="1:9" hidden="1" x14ac:dyDescent="0.25">
      <c r="A919" s="36" t="s">
        <v>66</v>
      </c>
      <c r="B919" s="36" t="s">
        <v>997</v>
      </c>
      <c r="C919" s="36" t="s">
        <v>998</v>
      </c>
      <c r="D919" s="37">
        <f>SUMIF(RAW_File!D:D,C:C,RAW_File!F:F)</f>
        <v>12641.598825477129</v>
      </c>
      <c r="E919" s="38">
        <f>SUMIF(RAW_File!D:D,C:C,RAW_File!G:G)</f>
        <v>13560</v>
      </c>
      <c r="F919" s="39">
        <f>SUMIF(RAW_File!D:D,C:C,RAW_File!I:I)</f>
        <v>32200</v>
      </c>
      <c r="G919" s="40">
        <f>SUMIF(RAW_File!D:D,C:C,RAW_File!K:K)</f>
        <v>5000</v>
      </c>
      <c r="H919" s="41">
        <f>SUMIF(RAW_File!D:D,C:C,RAW_File!M:M)</f>
        <v>0</v>
      </c>
      <c r="I919" s="40">
        <f t="shared" si="16"/>
        <v>5000</v>
      </c>
    </row>
    <row r="920" spans="1:9" hidden="1" x14ac:dyDescent="0.25">
      <c r="A920" s="36" t="s">
        <v>66</v>
      </c>
      <c r="B920" s="36" t="s">
        <v>1047</v>
      </c>
      <c r="C920" s="36" t="s">
        <v>1048</v>
      </c>
      <c r="D920" s="37">
        <f>SUMIF(RAW_File!D:D,C:C,RAW_File!F:F)</f>
        <v>8908.5033619718361</v>
      </c>
      <c r="E920" s="38">
        <f>SUMIF(RAW_File!D:D,C:C,RAW_File!G:G)</f>
        <v>660</v>
      </c>
      <c r="F920" s="39">
        <f>SUMIF(RAW_File!D:D,C:C,RAW_File!I:I)</f>
        <v>8700</v>
      </c>
      <c r="G920" s="40">
        <f>SUMIF(RAW_File!D:D,C:C,RAW_File!K:K)</f>
        <v>0</v>
      </c>
      <c r="H920" s="41">
        <f>SUMIF(RAW_File!D:D,C:C,RAW_File!M:M)</f>
        <v>5000</v>
      </c>
      <c r="I920" s="40">
        <f t="shared" si="16"/>
        <v>5000</v>
      </c>
    </row>
    <row r="921" spans="1:9" hidden="1" x14ac:dyDescent="0.25">
      <c r="A921" s="36" t="s">
        <v>66</v>
      </c>
      <c r="B921" s="36" t="s">
        <v>1103</v>
      </c>
      <c r="C921" s="36" t="s">
        <v>1104</v>
      </c>
      <c r="D921" s="37">
        <f>SUMIF(RAW_File!D:D,C:C,RAW_File!F:F)</f>
        <v>74.637318579764724</v>
      </c>
      <c r="E921" s="38">
        <f>SUMIF(RAW_File!D:D,C:C,RAW_File!G:G)</f>
        <v>5310</v>
      </c>
      <c r="F921" s="39">
        <f>SUMIF(RAW_File!D:D,C:C,RAW_File!I:I)</f>
        <v>20290</v>
      </c>
      <c r="G921" s="40">
        <f>SUMIF(RAW_File!D:D,C:C,RAW_File!K:K)</f>
        <v>5000</v>
      </c>
      <c r="H921" s="41">
        <f>SUMIF(RAW_File!D:D,C:C,RAW_File!M:M)</f>
        <v>15000</v>
      </c>
      <c r="I921" s="40">
        <f t="shared" si="16"/>
        <v>10000</v>
      </c>
    </row>
    <row r="922" spans="1:9" hidden="1" x14ac:dyDescent="0.25">
      <c r="A922" s="36" t="s">
        <v>66</v>
      </c>
      <c r="B922" s="36" t="s">
        <v>1145</v>
      </c>
      <c r="C922" s="36" t="s">
        <v>1146</v>
      </c>
      <c r="D922" s="37">
        <f>SUMIF(RAW_File!D:D,C:C,RAW_File!F:F)</f>
        <v>3041.2941000000001</v>
      </c>
      <c r="E922" s="38">
        <f>SUMIF(RAW_File!D:D,C:C,RAW_File!G:G)</f>
        <v>28400</v>
      </c>
      <c r="F922" s="39">
        <f>SUMIF(RAW_File!D:D,C:C,RAW_File!I:I)</f>
        <v>49670</v>
      </c>
      <c r="G922" s="40">
        <f>SUMIF(RAW_File!D:D,C:C,RAW_File!K:K)</f>
        <v>0</v>
      </c>
      <c r="H922" s="41">
        <f>SUMIF(RAW_File!D:D,C:C,RAW_File!M:M)</f>
        <v>0</v>
      </c>
      <c r="I922" s="40">
        <f t="shared" si="16"/>
        <v>0</v>
      </c>
    </row>
    <row r="923" spans="1:9" hidden="1" x14ac:dyDescent="0.25">
      <c r="A923" s="36" t="s">
        <v>66</v>
      </c>
      <c r="B923" s="36" t="s">
        <v>1199</v>
      </c>
      <c r="C923" s="36" t="s">
        <v>1200</v>
      </c>
      <c r="D923" s="37">
        <f>SUMIF(RAW_File!D:D,C:C,RAW_File!F:F)</f>
        <v>5023.8522999999996</v>
      </c>
      <c r="E923" s="38">
        <f>SUMIF(RAW_File!D:D,C:C,RAW_File!G:G)</f>
        <v>0</v>
      </c>
      <c r="F923" s="39">
        <f>SUMIF(RAW_File!D:D,C:C,RAW_File!I:I)</f>
        <v>0</v>
      </c>
      <c r="G923" s="40">
        <f>SUMIF(RAW_File!D:D,C:C,RAW_File!K:K)</f>
        <v>5000</v>
      </c>
      <c r="H923" s="41">
        <f>SUMIF(RAW_File!D:D,C:C,RAW_File!M:M)</f>
        <v>0</v>
      </c>
      <c r="I923" s="40">
        <f t="shared" si="16"/>
        <v>5000</v>
      </c>
    </row>
    <row r="924" spans="1:9" hidden="1" x14ac:dyDescent="0.25">
      <c r="A924" s="36" t="s">
        <v>66</v>
      </c>
      <c r="B924" s="36" t="s">
        <v>1446</v>
      </c>
      <c r="C924" s="36" t="s">
        <v>1447</v>
      </c>
      <c r="D924" s="37">
        <f>SUMIF(RAW_File!D:D,C:C,RAW_File!F:F)</f>
        <v>1833.419866</v>
      </c>
      <c r="E924" s="38">
        <f>SUMIF(RAW_File!D:D,C:C,RAW_File!G:G)</f>
        <v>17180</v>
      </c>
      <c r="F924" s="39">
        <f>SUMIF(RAW_File!D:D,C:C,RAW_File!I:I)</f>
        <v>26460</v>
      </c>
      <c r="G924" s="40">
        <f>SUMIF(RAW_File!D:D,C:C,RAW_File!K:K)</f>
        <v>0</v>
      </c>
      <c r="H924" s="41">
        <f>SUMIF(RAW_File!D:D,C:C,RAW_File!M:M)</f>
        <v>5000</v>
      </c>
      <c r="I924" s="40">
        <f t="shared" si="16"/>
        <v>5000</v>
      </c>
    </row>
    <row r="925" spans="1:9" hidden="1" x14ac:dyDescent="0.25">
      <c r="A925" s="36" t="s">
        <v>66</v>
      </c>
      <c r="B925" s="36" t="s">
        <v>1534</v>
      </c>
      <c r="C925" s="36" t="s">
        <v>1535</v>
      </c>
      <c r="D925" s="37">
        <f>SUMIF(RAW_File!D:D,C:C,RAW_File!F:F)</f>
        <v>4995.3208479515069</v>
      </c>
      <c r="E925" s="38">
        <f>SUMIF(RAW_File!D:D,C:C,RAW_File!G:G)</f>
        <v>3140</v>
      </c>
      <c r="F925" s="39">
        <f>SUMIF(RAW_File!D:D,C:C,RAW_File!I:I)</f>
        <v>74865</v>
      </c>
      <c r="G925" s="40">
        <f>SUMIF(RAW_File!D:D,C:C,RAW_File!K:K)</f>
        <v>0</v>
      </c>
      <c r="H925" s="41">
        <f>SUMIF(RAW_File!D:D,C:C,RAW_File!M:M)</f>
        <v>70000</v>
      </c>
      <c r="I925" s="40">
        <f t="shared" si="16"/>
        <v>70000</v>
      </c>
    </row>
    <row r="926" spans="1:9" hidden="1" x14ac:dyDescent="0.25">
      <c r="A926" s="36" t="s">
        <v>66</v>
      </c>
      <c r="B926" s="36" t="s">
        <v>1576</v>
      </c>
      <c r="C926" s="36" t="s">
        <v>1577</v>
      </c>
      <c r="D926" s="37">
        <f>SUMIF(RAW_File!D:D,C:C,RAW_File!F:F)</f>
        <v>8112.2340000000004</v>
      </c>
      <c r="E926" s="38">
        <f>SUMIF(RAW_File!D:D,C:C,RAW_File!G:G)</f>
        <v>0</v>
      </c>
      <c r="F926" s="39">
        <f>SUMIF(RAW_File!D:D,C:C,RAW_File!I:I)</f>
        <v>3147</v>
      </c>
      <c r="G926" s="40">
        <f>SUMIF(RAW_File!D:D,C:C,RAW_File!K:K)</f>
        <v>5000</v>
      </c>
      <c r="H926" s="41">
        <f>SUMIF(RAW_File!D:D,C:C,RAW_File!M:M)</f>
        <v>15000</v>
      </c>
      <c r="I926" s="40">
        <f t="shared" si="16"/>
        <v>10000</v>
      </c>
    </row>
    <row r="927" spans="1:9" hidden="1" x14ac:dyDescent="0.25">
      <c r="A927" s="36" t="s">
        <v>66</v>
      </c>
      <c r="B927" s="36" t="s">
        <v>1580</v>
      </c>
      <c r="C927" s="36" t="s">
        <v>1581</v>
      </c>
      <c r="D927" s="37">
        <f>SUMIF(RAW_File!D:D,C:C,RAW_File!F:F)</f>
        <v>142.43510143419459</v>
      </c>
      <c r="E927" s="38">
        <f>SUMIF(RAW_File!D:D,C:C,RAW_File!G:G)</f>
        <v>11400</v>
      </c>
      <c r="F927" s="39">
        <f>SUMIF(RAW_File!D:D,C:C,RAW_File!I:I)</f>
        <v>27720</v>
      </c>
      <c r="G927" s="40">
        <f>SUMIF(RAW_File!D:D,C:C,RAW_File!K:K)</f>
        <v>5000</v>
      </c>
      <c r="H927" s="41">
        <f>SUMIF(RAW_File!D:D,C:C,RAW_File!M:M)</f>
        <v>20000</v>
      </c>
      <c r="I927" s="40">
        <f t="shared" si="16"/>
        <v>15000</v>
      </c>
    </row>
    <row r="928" spans="1:9" hidden="1" x14ac:dyDescent="0.25">
      <c r="A928" s="36" t="s">
        <v>66</v>
      </c>
      <c r="B928" s="36" t="s">
        <v>1623</v>
      </c>
      <c r="C928" s="36" t="s">
        <v>1624</v>
      </c>
      <c r="D928" s="37">
        <f>SUMIF(RAW_File!D:D,C:C,RAW_File!F:F)</f>
        <v>2010.852880195961</v>
      </c>
      <c r="E928" s="38">
        <f>SUMIF(RAW_File!D:D,C:C,RAW_File!G:G)</f>
        <v>720</v>
      </c>
      <c r="F928" s="39">
        <f>SUMIF(RAW_File!D:D,C:C,RAW_File!I:I)</f>
        <v>13620</v>
      </c>
      <c r="G928" s="40">
        <f>SUMIF(RAW_File!D:D,C:C,RAW_File!K:K)</f>
        <v>5000</v>
      </c>
      <c r="H928" s="41">
        <f>SUMIF(RAW_File!D:D,C:C,RAW_File!M:M)</f>
        <v>25000</v>
      </c>
      <c r="I928" s="40">
        <f t="shared" si="16"/>
        <v>20000</v>
      </c>
    </row>
    <row r="929" spans="1:9" hidden="1" x14ac:dyDescent="0.25">
      <c r="A929" s="36" t="s">
        <v>66</v>
      </c>
      <c r="B929" s="36" t="s">
        <v>1676</v>
      </c>
      <c r="C929" s="36" t="s">
        <v>1677</v>
      </c>
      <c r="D929" s="37">
        <f>SUMIF(RAW_File!D:D,C:C,RAW_File!F:F)</f>
        <v>7513.6972500000002</v>
      </c>
      <c r="E929" s="38">
        <f>SUMIF(RAW_File!D:D,C:C,RAW_File!G:G)</f>
        <v>18700</v>
      </c>
      <c r="F929" s="39">
        <f>SUMIF(RAW_File!D:D,C:C,RAW_File!I:I)</f>
        <v>35920</v>
      </c>
      <c r="G929" s="40">
        <f>SUMIF(RAW_File!D:D,C:C,RAW_File!K:K)</f>
        <v>0</v>
      </c>
      <c r="H929" s="41">
        <f>SUMIF(RAW_File!D:D,C:C,RAW_File!M:M)</f>
        <v>5000</v>
      </c>
      <c r="I929" s="40">
        <f t="shared" si="16"/>
        <v>5000</v>
      </c>
    </row>
    <row r="930" spans="1:9" hidden="1" x14ac:dyDescent="0.25">
      <c r="A930" s="36" t="s">
        <v>66</v>
      </c>
      <c r="B930" s="36" t="s">
        <v>1833</v>
      </c>
      <c r="C930" s="36" t="s">
        <v>1834</v>
      </c>
      <c r="D930" s="37">
        <f>SUMIF(RAW_File!D:D,C:C,RAW_File!F:F)</f>
        <v>2962.0480068811821</v>
      </c>
      <c r="E930" s="38">
        <f>SUMIF(RAW_File!D:D,C:C,RAW_File!G:G)</f>
        <v>15565</v>
      </c>
      <c r="F930" s="39">
        <f>SUMIF(RAW_File!D:D,C:C,RAW_File!I:I)</f>
        <v>25415</v>
      </c>
      <c r="G930" s="40">
        <f>SUMIF(RAW_File!D:D,C:C,RAW_File!K:K)</f>
        <v>5000</v>
      </c>
      <c r="H930" s="41">
        <f>SUMIF(RAW_File!D:D,C:C,RAW_File!M:M)</f>
        <v>0</v>
      </c>
      <c r="I930" s="40">
        <f t="shared" si="16"/>
        <v>5000</v>
      </c>
    </row>
    <row r="931" spans="1:9" hidden="1" x14ac:dyDescent="0.25">
      <c r="A931" s="36" t="s">
        <v>66</v>
      </c>
      <c r="B931" s="36" t="s">
        <v>2006</v>
      </c>
      <c r="C931" s="36" t="s">
        <v>2007</v>
      </c>
      <c r="D931" s="37">
        <f>SUMIF(RAW_File!D:D,C:C,RAW_File!F:F)</f>
        <v>6825.0540641142507</v>
      </c>
      <c r="E931" s="38">
        <f>SUMIF(RAW_File!D:D,C:C,RAW_File!G:G)</f>
        <v>0</v>
      </c>
      <c r="F931" s="39">
        <f>SUMIF(RAW_File!D:D,C:C,RAW_File!I:I)</f>
        <v>500</v>
      </c>
      <c r="G931" s="40">
        <f>SUMIF(RAW_File!D:D,C:C,RAW_File!K:K)</f>
        <v>5000</v>
      </c>
      <c r="H931" s="41">
        <f>SUMIF(RAW_File!D:D,C:C,RAW_File!M:M)</f>
        <v>0</v>
      </c>
      <c r="I931" s="40">
        <f t="shared" si="16"/>
        <v>5000</v>
      </c>
    </row>
    <row r="932" spans="1:9" hidden="1" x14ac:dyDescent="0.25">
      <c r="A932" s="36" t="s">
        <v>66</v>
      </c>
      <c r="B932" s="36" t="s">
        <v>2029</v>
      </c>
      <c r="C932" s="36" t="s">
        <v>2030</v>
      </c>
      <c r="D932" s="37">
        <f>SUMIF(RAW_File!D:D,C:C,RAW_File!F:F)</f>
        <v>45.136550001800003</v>
      </c>
      <c r="E932" s="38">
        <f>SUMIF(RAW_File!D:D,C:C,RAW_File!G:G)</f>
        <v>0</v>
      </c>
      <c r="F932" s="39">
        <f>SUMIF(RAW_File!D:D,C:C,RAW_File!I:I)</f>
        <v>0</v>
      </c>
      <c r="G932" s="40">
        <f>SUMIF(RAW_File!D:D,C:C,RAW_File!K:K)</f>
        <v>0</v>
      </c>
      <c r="H932" s="41">
        <f>SUMIF(RAW_File!D:D,C:C,RAW_File!M:M)</f>
        <v>5000</v>
      </c>
      <c r="I932" s="40">
        <f t="shared" si="16"/>
        <v>5000</v>
      </c>
    </row>
    <row r="933" spans="1:9" hidden="1" x14ac:dyDescent="0.25">
      <c r="A933" s="36" t="s">
        <v>66</v>
      </c>
      <c r="B933" s="36" t="s">
        <v>2139</v>
      </c>
      <c r="C933" s="36" t="s">
        <v>2140</v>
      </c>
      <c r="D933" s="37">
        <f>SUMIF(RAW_File!D:D,C:C,RAW_File!F:F)</f>
        <v>1193.058791453919</v>
      </c>
      <c r="E933" s="38">
        <f>SUMIF(RAW_File!D:D,C:C,RAW_File!G:G)</f>
        <v>9796</v>
      </c>
      <c r="F933" s="39">
        <f>SUMIF(RAW_File!D:D,C:C,RAW_File!I:I)</f>
        <v>15596</v>
      </c>
      <c r="G933" s="40">
        <f>SUMIF(RAW_File!D:D,C:C,RAW_File!K:K)</f>
        <v>5000</v>
      </c>
      <c r="H933" s="41">
        <f>SUMIF(RAW_File!D:D,C:C,RAW_File!M:M)</f>
        <v>0</v>
      </c>
      <c r="I933" s="40">
        <f t="shared" si="16"/>
        <v>5000</v>
      </c>
    </row>
    <row r="934" spans="1:9" hidden="1" x14ac:dyDescent="0.25">
      <c r="A934" s="36" t="s">
        <v>66</v>
      </c>
      <c r="B934" s="36" t="s">
        <v>2281</v>
      </c>
      <c r="C934" s="36" t="s">
        <v>2282</v>
      </c>
      <c r="D934" s="37">
        <f>SUMIF(RAW_File!D:D,C:C,RAW_File!F:F)</f>
        <v>33257.606004388414</v>
      </c>
      <c r="E934" s="38">
        <f>SUMIF(RAW_File!D:D,C:C,RAW_File!G:G)</f>
        <v>19650</v>
      </c>
      <c r="F934" s="39">
        <f>SUMIF(RAW_File!D:D,C:C,RAW_File!I:I)</f>
        <v>58060</v>
      </c>
      <c r="G934" s="40">
        <f>SUMIF(RAW_File!D:D,C:C,RAW_File!K:K)</f>
        <v>14000</v>
      </c>
      <c r="H934" s="41">
        <f>SUMIF(RAW_File!D:D,C:C,RAW_File!M:M)</f>
        <v>0</v>
      </c>
      <c r="I934" s="40">
        <f t="shared" si="16"/>
        <v>14000</v>
      </c>
    </row>
    <row r="935" spans="1:9" hidden="1" x14ac:dyDescent="0.25">
      <c r="A935" s="36" t="s">
        <v>66</v>
      </c>
      <c r="B935" s="36" t="s">
        <v>2343</v>
      </c>
      <c r="C935" s="36" t="s">
        <v>2344</v>
      </c>
      <c r="D935" s="37">
        <f>SUMIF(RAW_File!D:D,C:C,RAW_File!F:F)</f>
        <v>9025.7201485201749</v>
      </c>
      <c r="E935" s="38">
        <f>SUMIF(RAW_File!D:D,C:C,RAW_File!G:G)</f>
        <v>0</v>
      </c>
      <c r="F935" s="39">
        <f>SUMIF(RAW_File!D:D,C:C,RAW_File!I:I)</f>
        <v>4000</v>
      </c>
      <c r="G935" s="40">
        <f>SUMIF(RAW_File!D:D,C:C,RAW_File!K:K)</f>
        <v>5000</v>
      </c>
      <c r="H935" s="41">
        <f>SUMIF(RAW_File!D:D,C:C,RAW_File!M:M)</f>
        <v>0</v>
      </c>
      <c r="I935" s="40">
        <f t="shared" si="16"/>
        <v>5000</v>
      </c>
    </row>
    <row r="936" spans="1:9" hidden="1" x14ac:dyDescent="0.25">
      <c r="A936" s="36" t="s">
        <v>66</v>
      </c>
      <c r="B936" s="36" t="s">
        <v>2521</v>
      </c>
      <c r="C936" s="36" t="s">
        <v>2522</v>
      </c>
      <c r="D936" s="37">
        <f>SUMIF(RAW_File!D:D,C:C,RAW_File!F:F)</f>
        <v>5219.4372000000003</v>
      </c>
      <c r="E936" s="38">
        <f>SUMIF(RAW_File!D:D,C:C,RAW_File!G:G)</f>
        <v>26700</v>
      </c>
      <c r="F936" s="39">
        <f>SUMIF(RAW_File!D:D,C:C,RAW_File!I:I)</f>
        <v>34780</v>
      </c>
      <c r="G936" s="40">
        <f>SUMIF(RAW_File!D:D,C:C,RAW_File!K:K)</f>
        <v>8500</v>
      </c>
      <c r="H936" s="41">
        <f>SUMIF(RAW_File!D:D,C:C,RAW_File!M:M)</f>
        <v>0</v>
      </c>
      <c r="I936" s="40">
        <f t="shared" si="16"/>
        <v>8500</v>
      </c>
    </row>
    <row r="937" spans="1:9" hidden="1" x14ac:dyDescent="0.25">
      <c r="A937" s="36" t="s">
        <v>66</v>
      </c>
      <c r="B937" s="36" t="s">
        <v>2687</v>
      </c>
      <c r="C937" s="36" t="s">
        <v>2688</v>
      </c>
      <c r="D937" s="37">
        <f>SUMIF(RAW_File!D:D,C:C,RAW_File!F:F)</f>
        <v>19534.323390496571</v>
      </c>
      <c r="E937" s="38">
        <f>SUMIF(RAW_File!D:D,C:C,RAW_File!G:G)</f>
        <v>4435</v>
      </c>
      <c r="F937" s="39">
        <f>SUMIF(RAW_File!D:D,C:C,RAW_File!I:I)</f>
        <v>6435</v>
      </c>
      <c r="G937" s="40">
        <f>SUMIF(RAW_File!D:D,C:C,RAW_File!K:K)</f>
        <v>5000</v>
      </c>
      <c r="H937" s="41">
        <f>SUMIF(RAW_File!D:D,C:C,RAW_File!M:M)</f>
        <v>0</v>
      </c>
      <c r="I937" s="40">
        <f t="shared" si="16"/>
        <v>5000</v>
      </c>
    </row>
    <row r="938" spans="1:9" hidden="1" x14ac:dyDescent="0.25">
      <c r="A938" s="36" t="s">
        <v>66</v>
      </c>
      <c r="B938" s="36" t="s">
        <v>2761</v>
      </c>
      <c r="C938" s="36" t="s">
        <v>2762</v>
      </c>
      <c r="D938" s="37">
        <f>SUMIF(RAW_File!D:D,C:C,RAW_File!F:F)</f>
        <v>2893.231050990134</v>
      </c>
      <c r="E938" s="38">
        <f>SUMIF(RAW_File!D:D,C:C,RAW_File!G:G)</f>
        <v>2510</v>
      </c>
      <c r="F938" s="39">
        <f>SUMIF(RAW_File!D:D,C:C,RAW_File!I:I)</f>
        <v>26050</v>
      </c>
      <c r="G938" s="40">
        <f>SUMIF(RAW_File!D:D,C:C,RAW_File!K:K)</f>
        <v>0</v>
      </c>
      <c r="H938" s="41">
        <f>SUMIF(RAW_File!D:D,C:C,RAW_File!M:M)</f>
        <v>54000</v>
      </c>
      <c r="I938" s="40">
        <f t="shared" si="16"/>
        <v>54000</v>
      </c>
    </row>
    <row r="939" spans="1:9" hidden="1" x14ac:dyDescent="0.25">
      <c r="A939" s="36" t="s">
        <v>66</v>
      </c>
      <c r="B939" s="36" t="s">
        <v>2836</v>
      </c>
      <c r="C939" s="36" t="s">
        <v>2837</v>
      </c>
      <c r="D939" s="37">
        <f>SUMIF(RAW_File!D:D,C:C,RAW_File!F:F)</f>
        <v>1726.5218738538219</v>
      </c>
      <c r="E939" s="38">
        <f>SUMIF(RAW_File!D:D,C:C,RAW_File!G:G)</f>
        <v>46800</v>
      </c>
      <c r="F939" s="39">
        <f>SUMIF(RAW_File!D:D,C:C,RAW_File!I:I)</f>
        <v>85632</v>
      </c>
      <c r="G939" s="40">
        <f>SUMIF(RAW_File!D:D,C:C,RAW_File!K:K)</f>
        <v>5000</v>
      </c>
      <c r="H939" s="41">
        <f>SUMIF(RAW_File!D:D,C:C,RAW_File!M:M)</f>
        <v>0</v>
      </c>
      <c r="I939" s="40">
        <f t="shared" si="16"/>
        <v>5000</v>
      </c>
    </row>
    <row r="940" spans="1:9" hidden="1" x14ac:dyDescent="0.25">
      <c r="A940" s="36" t="s">
        <v>66</v>
      </c>
      <c r="B940" s="36" t="s">
        <v>2906</v>
      </c>
      <c r="C940" s="36" t="s">
        <v>2907</v>
      </c>
      <c r="D940" s="37">
        <f>SUMIF(RAW_File!D:D,C:C,RAW_File!F:F)</f>
        <v>6055.2633961635547</v>
      </c>
      <c r="E940" s="38">
        <f>SUMIF(RAW_File!D:D,C:C,RAW_File!G:G)</f>
        <v>17145</v>
      </c>
      <c r="F940" s="39">
        <f>SUMIF(RAW_File!D:D,C:C,RAW_File!I:I)</f>
        <v>30155</v>
      </c>
      <c r="G940" s="40">
        <f>SUMIF(RAW_File!D:D,C:C,RAW_File!K:K)</f>
        <v>15000</v>
      </c>
      <c r="H940" s="41">
        <f>SUMIF(RAW_File!D:D,C:C,RAW_File!M:M)</f>
        <v>5000</v>
      </c>
      <c r="I940" s="40">
        <f t="shared" si="16"/>
        <v>10000</v>
      </c>
    </row>
    <row r="941" spans="1:9" hidden="1" x14ac:dyDescent="0.25">
      <c r="A941" s="36" t="s">
        <v>66</v>
      </c>
      <c r="B941" s="36" t="s">
        <v>2997</v>
      </c>
      <c r="C941" s="36" t="s">
        <v>2998</v>
      </c>
      <c r="D941" s="37">
        <f>SUMIF(RAW_File!D:D,C:C,RAW_File!F:F)</f>
        <v>392.08805000000001</v>
      </c>
      <c r="E941" s="38">
        <f>SUMIF(RAW_File!D:D,C:C,RAW_File!G:G)</f>
        <v>30000</v>
      </c>
      <c r="F941" s="39">
        <f>SUMIF(RAW_File!D:D,C:C,RAW_File!I:I)</f>
        <v>50100</v>
      </c>
      <c r="G941" s="40">
        <f>SUMIF(RAW_File!D:D,C:C,RAW_File!K:K)</f>
        <v>0</v>
      </c>
      <c r="H941" s="41">
        <f>SUMIF(RAW_File!D:D,C:C,RAW_File!M:M)</f>
        <v>7500</v>
      </c>
      <c r="I941" s="40">
        <f t="shared" si="16"/>
        <v>7500</v>
      </c>
    </row>
    <row r="942" spans="1:9" hidden="1" x14ac:dyDescent="0.25">
      <c r="A942" s="36" t="s">
        <v>66</v>
      </c>
      <c r="B942" s="36" t="s">
        <v>3317</v>
      </c>
      <c r="C942" s="36" t="s">
        <v>3318</v>
      </c>
      <c r="D942" s="37">
        <f>SUMIF(RAW_File!D:D,C:C,RAW_File!F:F)</f>
        <v>6640.6804000000002</v>
      </c>
      <c r="E942" s="38">
        <f>SUMIF(RAW_File!D:D,C:C,RAW_File!G:G)</f>
        <v>49400</v>
      </c>
      <c r="F942" s="39">
        <f>SUMIF(RAW_File!D:D,C:C,RAW_File!I:I)</f>
        <v>70950</v>
      </c>
      <c r="G942" s="40">
        <f>SUMIF(RAW_File!D:D,C:C,RAW_File!K:K)</f>
        <v>7000</v>
      </c>
      <c r="H942" s="41">
        <f>SUMIF(RAW_File!D:D,C:C,RAW_File!M:M)</f>
        <v>0</v>
      </c>
      <c r="I942" s="40">
        <f t="shared" si="16"/>
        <v>7000</v>
      </c>
    </row>
    <row r="943" spans="1:9" hidden="1" x14ac:dyDescent="0.25">
      <c r="A943" s="36" t="s">
        <v>66</v>
      </c>
      <c r="B943" s="36" t="s">
        <v>3395</v>
      </c>
      <c r="C943" s="36" t="s">
        <v>3396</v>
      </c>
      <c r="D943" s="37">
        <f>SUMIF(RAW_File!D:D,C:C,RAW_File!F:F)</f>
        <v>15257.892</v>
      </c>
      <c r="E943" s="38">
        <f>SUMIF(RAW_File!D:D,C:C,RAW_File!G:G)</f>
        <v>10720</v>
      </c>
      <c r="F943" s="39">
        <f>SUMIF(RAW_File!D:D,C:C,RAW_File!I:I)</f>
        <v>27370</v>
      </c>
      <c r="G943" s="40">
        <f>SUMIF(RAW_File!D:D,C:C,RAW_File!K:K)</f>
        <v>10000</v>
      </c>
      <c r="H943" s="41">
        <f>SUMIF(RAW_File!D:D,C:C,RAW_File!M:M)</f>
        <v>0</v>
      </c>
      <c r="I943" s="40">
        <f t="shared" si="16"/>
        <v>10000</v>
      </c>
    </row>
    <row r="944" spans="1:9" hidden="1" x14ac:dyDescent="0.25">
      <c r="A944" s="36" t="s">
        <v>66</v>
      </c>
      <c r="B944" s="36" t="s">
        <v>3457</v>
      </c>
      <c r="C944" s="36" t="s">
        <v>3458</v>
      </c>
      <c r="D944" s="37">
        <f>SUMIF(RAW_File!D:D,C:C,RAW_File!F:F)</f>
        <v>3.9590000000000001</v>
      </c>
      <c r="E944" s="38">
        <f>SUMIF(RAW_File!D:D,C:C,RAW_File!G:G)</f>
        <v>0</v>
      </c>
      <c r="F944" s="39">
        <f>SUMIF(RAW_File!D:D,C:C,RAW_File!I:I)</f>
        <v>0</v>
      </c>
      <c r="G944" s="40">
        <f>SUMIF(RAW_File!D:D,C:C,RAW_File!K:K)</f>
        <v>0</v>
      </c>
      <c r="H944" s="41">
        <f>SUMIF(RAW_File!D:D,C:C,RAW_File!M:M)</f>
        <v>0</v>
      </c>
      <c r="I944" s="40">
        <f t="shared" si="16"/>
        <v>0</v>
      </c>
    </row>
    <row r="945" spans="1:9" hidden="1" x14ac:dyDescent="0.25">
      <c r="A945" s="36" t="s">
        <v>66</v>
      </c>
      <c r="B945" s="36" t="s">
        <v>3474</v>
      </c>
      <c r="C945" s="36" t="s">
        <v>3475</v>
      </c>
      <c r="D945" s="37">
        <f>SUMIF(RAW_File!D:D,C:C,RAW_File!F:F)</f>
        <v>1142.525862069939</v>
      </c>
      <c r="E945" s="38">
        <f>SUMIF(RAW_File!D:D,C:C,RAW_File!G:G)</f>
        <v>0</v>
      </c>
      <c r="F945" s="39">
        <f>SUMIF(RAW_File!D:D,C:C,RAW_File!I:I)</f>
        <v>1200</v>
      </c>
      <c r="G945" s="40">
        <f>SUMIF(RAW_File!D:D,C:C,RAW_File!K:K)</f>
        <v>0</v>
      </c>
      <c r="H945" s="41">
        <f>SUMIF(RAW_File!D:D,C:C,RAW_File!M:M)</f>
        <v>0</v>
      </c>
      <c r="I945" s="40">
        <f t="shared" si="16"/>
        <v>0</v>
      </c>
    </row>
    <row r="946" spans="1:9" hidden="1" x14ac:dyDescent="0.25">
      <c r="A946" s="36" t="s">
        <v>66</v>
      </c>
      <c r="B946" s="36" t="s">
        <v>3478</v>
      </c>
      <c r="C946" s="36" t="s">
        <v>3479</v>
      </c>
      <c r="D946" s="37">
        <f>SUMIF(RAW_File!D:D,C:C,RAW_File!F:F)</f>
        <v>25839.143573353929</v>
      </c>
      <c r="E946" s="38">
        <f>SUMIF(RAW_File!D:D,C:C,RAW_File!G:G)</f>
        <v>7640</v>
      </c>
      <c r="F946" s="39">
        <f>SUMIF(RAW_File!D:D,C:C,RAW_File!I:I)</f>
        <v>11820</v>
      </c>
      <c r="G946" s="40">
        <f>SUMIF(RAW_File!D:D,C:C,RAW_File!K:K)</f>
        <v>5000</v>
      </c>
      <c r="H946" s="41">
        <f>SUMIF(RAW_File!D:D,C:C,RAW_File!M:M)</f>
        <v>0</v>
      </c>
      <c r="I946" s="40">
        <f t="shared" si="16"/>
        <v>5000</v>
      </c>
    </row>
    <row r="947" spans="1:9" hidden="1" x14ac:dyDescent="0.25">
      <c r="A947" s="36" t="s">
        <v>66</v>
      </c>
      <c r="B947" s="36" t="s">
        <v>3494</v>
      </c>
      <c r="C947" s="36" t="s">
        <v>3495</v>
      </c>
      <c r="D947" s="37">
        <f>SUMIF(RAW_File!D:D,C:C,RAW_File!F:F)</f>
        <v>15758.9545</v>
      </c>
      <c r="E947" s="38">
        <f>SUMIF(RAW_File!D:D,C:C,RAW_File!G:G)</f>
        <v>400</v>
      </c>
      <c r="F947" s="39">
        <f>SUMIF(RAW_File!D:D,C:C,RAW_File!I:I)</f>
        <v>600</v>
      </c>
      <c r="G947" s="40">
        <f>SUMIF(RAW_File!D:D,C:C,RAW_File!K:K)</f>
        <v>5000</v>
      </c>
      <c r="H947" s="41">
        <f>SUMIF(RAW_File!D:D,C:C,RAW_File!M:M)</f>
        <v>18000</v>
      </c>
      <c r="I947" s="40">
        <f t="shared" si="16"/>
        <v>13000</v>
      </c>
    </row>
    <row r="948" spans="1:9" hidden="1" x14ac:dyDescent="0.25">
      <c r="A948" s="36" t="s">
        <v>63</v>
      </c>
      <c r="B948" s="36" t="s">
        <v>262</v>
      </c>
      <c r="C948" s="36" t="s">
        <v>263</v>
      </c>
      <c r="D948" s="37">
        <f>SUMIF(RAW_File!D:D,C:C,RAW_File!F:F)</f>
        <v>947.71337886149001</v>
      </c>
      <c r="E948" s="38">
        <f>SUMIF(RAW_File!D:D,C:C,RAW_File!G:G)</f>
        <v>100</v>
      </c>
      <c r="F948" s="39">
        <f>SUMIF(RAW_File!D:D,C:C,RAW_File!I:I)</f>
        <v>1100</v>
      </c>
      <c r="G948" s="40">
        <f>SUMIF(RAW_File!D:D,C:C,RAW_File!K:K)</f>
        <v>0</v>
      </c>
      <c r="H948" s="41">
        <f>SUMIF(RAW_File!D:D,C:C,RAW_File!M:M)</f>
        <v>0</v>
      </c>
      <c r="I948" s="40">
        <f t="shared" si="16"/>
        <v>0</v>
      </c>
    </row>
    <row r="949" spans="1:9" hidden="1" x14ac:dyDescent="0.25">
      <c r="A949" s="36" t="s">
        <v>63</v>
      </c>
      <c r="B949" s="36" t="s">
        <v>376</v>
      </c>
      <c r="C949" s="36" t="s">
        <v>377</v>
      </c>
      <c r="D949" s="37">
        <f>SUMIF(RAW_File!D:D,C:C,RAW_File!F:F)</f>
        <v>9397.8137999999999</v>
      </c>
      <c r="E949" s="38">
        <f>SUMIF(RAW_File!D:D,C:C,RAW_File!G:G)</f>
        <v>2100</v>
      </c>
      <c r="F949" s="39">
        <f>SUMIF(RAW_File!D:D,C:C,RAW_File!I:I)</f>
        <v>2100</v>
      </c>
      <c r="G949" s="40">
        <f>SUMIF(RAW_File!D:D,C:C,RAW_File!K:K)</f>
        <v>5000</v>
      </c>
      <c r="H949" s="41">
        <f>SUMIF(RAW_File!D:D,C:C,RAW_File!M:M)</f>
        <v>0</v>
      </c>
      <c r="I949" s="40">
        <f t="shared" si="16"/>
        <v>5000</v>
      </c>
    </row>
    <row r="950" spans="1:9" hidden="1" x14ac:dyDescent="0.25">
      <c r="A950" s="36" t="s">
        <v>63</v>
      </c>
      <c r="B950" s="36" t="s">
        <v>425</v>
      </c>
      <c r="C950" s="36" t="s">
        <v>426</v>
      </c>
      <c r="D950" s="37">
        <f>SUMIF(RAW_File!D:D,C:C,RAW_File!F:F)</f>
        <v>3458.0102999999999</v>
      </c>
      <c r="E950" s="38">
        <f>SUMIF(RAW_File!D:D,C:C,RAW_File!G:G)</f>
        <v>5070</v>
      </c>
      <c r="F950" s="39">
        <f>SUMIF(RAW_File!D:D,C:C,RAW_File!I:I)</f>
        <v>5070</v>
      </c>
      <c r="G950" s="40">
        <f>SUMIF(RAW_File!D:D,C:C,RAW_File!K:K)</f>
        <v>5000</v>
      </c>
      <c r="H950" s="41">
        <f>SUMIF(RAW_File!D:D,C:C,RAW_File!M:M)</f>
        <v>0</v>
      </c>
      <c r="I950" s="40">
        <f t="shared" si="16"/>
        <v>5000</v>
      </c>
    </row>
    <row r="951" spans="1:9" hidden="1" x14ac:dyDescent="0.25">
      <c r="A951" s="36" t="s">
        <v>63</v>
      </c>
      <c r="B951" s="36" t="s">
        <v>447</v>
      </c>
      <c r="C951" s="36" t="s">
        <v>448</v>
      </c>
      <c r="D951" s="37">
        <f>SUMIF(RAW_File!D:D,C:C,RAW_File!F:F)</f>
        <v>33918.2451</v>
      </c>
      <c r="E951" s="38">
        <f>SUMIF(RAW_File!D:D,C:C,RAW_File!G:G)</f>
        <v>19085</v>
      </c>
      <c r="F951" s="39">
        <f>SUMIF(RAW_File!D:D,C:C,RAW_File!I:I)</f>
        <v>35035</v>
      </c>
      <c r="G951" s="40">
        <f>SUMIF(RAW_File!D:D,C:C,RAW_File!K:K)</f>
        <v>0</v>
      </c>
      <c r="H951" s="41">
        <f>SUMIF(RAW_File!D:D,C:C,RAW_File!M:M)</f>
        <v>17000</v>
      </c>
      <c r="I951" s="40">
        <f t="shared" si="16"/>
        <v>17000</v>
      </c>
    </row>
    <row r="952" spans="1:9" hidden="1" x14ac:dyDescent="0.25">
      <c r="A952" s="36" t="s">
        <v>63</v>
      </c>
      <c r="B952" s="36" t="s">
        <v>465</v>
      </c>
      <c r="C952" s="36" t="s">
        <v>466</v>
      </c>
      <c r="D952" s="37">
        <f>SUMIF(RAW_File!D:D,C:C,RAW_File!F:F)</f>
        <v>197.33860000000001</v>
      </c>
      <c r="E952" s="38">
        <f>SUMIF(RAW_File!D:D,C:C,RAW_File!G:G)</f>
        <v>0</v>
      </c>
      <c r="F952" s="39">
        <f>SUMIF(RAW_File!D:D,C:C,RAW_File!I:I)</f>
        <v>0</v>
      </c>
      <c r="G952" s="40">
        <f>SUMIF(RAW_File!D:D,C:C,RAW_File!K:K)</f>
        <v>0</v>
      </c>
      <c r="H952" s="41">
        <f>SUMIF(RAW_File!D:D,C:C,RAW_File!M:M)</f>
        <v>5000</v>
      </c>
      <c r="I952" s="40">
        <f t="shared" si="16"/>
        <v>5000</v>
      </c>
    </row>
    <row r="953" spans="1:9" hidden="1" x14ac:dyDescent="0.25">
      <c r="A953" s="36" t="s">
        <v>63</v>
      </c>
      <c r="B953" s="36" t="s">
        <v>482</v>
      </c>
      <c r="C953" s="36" t="s">
        <v>483</v>
      </c>
      <c r="D953" s="37">
        <f>SUMIF(RAW_File!D:D,C:C,RAW_File!F:F)</f>
        <v>4074.2282319999999</v>
      </c>
      <c r="E953" s="38">
        <f>SUMIF(RAW_File!D:D,C:C,RAW_File!G:G)</f>
        <v>4260</v>
      </c>
      <c r="F953" s="39">
        <f>SUMIF(RAW_File!D:D,C:C,RAW_File!I:I)</f>
        <v>14360</v>
      </c>
      <c r="G953" s="40">
        <f>SUMIF(RAW_File!D:D,C:C,RAW_File!K:K)</f>
        <v>0</v>
      </c>
      <c r="H953" s="41">
        <f>SUMIF(RAW_File!D:D,C:C,RAW_File!M:M)</f>
        <v>5000</v>
      </c>
      <c r="I953" s="40">
        <f t="shared" si="16"/>
        <v>5000</v>
      </c>
    </row>
    <row r="954" spans="1:9" hidden="1" x14ac:dyDescent="0.25">
      <c r="A954" s="36" t="s">
        <v>63</v>
      </c>
      <c r="B954" s="36" t="s">
        <v>572</v>
      </c>
      <c r="C954" s="36" t="s">
        <v>573</v>
      </c>
      <c r="D954" s="37">
        <f>SUMIF(RAW_File!D:D,C:C,RAW_File!F:F)</f>
        <v>25717.938246950391</v>
      </c>
      <c r="E954" s="38">
        <f>SUMIF(RAW_File!D:D,C:C,RAW_File!G:G)</f>
        <v>10630</v>
      </c>
      <c r="F954" s="39">
        <f>SUMIF(RAW_File!D:D,C:C,RAW_File!I:I)</f>
        <v>18610</v>
      </c>
      <c r="G954" s="40">
        <f>SUMIF(RAW_File!D:D,C:C,RAW_File!K:K)</f>
        <v>6000</v>
      </c>
      <c r="H954" s="41">
        <f>SUMIF(RAW_File!D:D,C:C,RAW_File!M:M)</f>
        <v>0</v>
      </c>
      <c r="I954" s="40">
        <f t="shared" si="16"/>
        <v>6000</v>
      </c>
    </row>
    <row r="955" spans="1:9" hidden="1" x14ac:dyDescent="0.25">
      <c r="A955" s="36" t="s">
        <v>63</v>
      </c>
      <c r="B955" s="36" t="s">
        <v>614</v>
      </c>
      <c r="C955" s="36" t="s">
        <v>615</v>
      </c>
      <c r="D955" s="37">
        <f>SUMIF(RAW_File!D:D,C:C,RAW_File!F:F)</f>
        <v>9103.0869754798514</v>
      </c>
      <c r="E955" s="38">
        <f>SUMIF(RAW_File!D:D,C:C,RAW_File!G:G)</f>
        <v>18420</v>
      </c>
      <c r="F955" s="39">
        <f>SUMIF(RAW_File!D:D,C:C,RAW_File!I:I)</f>
        <v>50000</v>
      </c>
      <c r="G955" s="40">
        <f>SUMIF(RAW_File!D:D,C:C,RAW_File!K:K)</f>
        <v>0</v>
      </c>
      <c r="H955" s="41">
        <f>SUMIF(RAW_File!D:D,C:C,RAW_File!M:M)</f>
        <v>36000</v>
      </c>
      <c r="I955" s="40">
        <f t="shared" si="16"/>
        <v>36000</v>
      </c>
    </row>
    <row r="956" spans="1:9" hidden="1" x14ac:dyDescent="0.25">
      <c r="A956" s="36" t="s">
        <v>63</v>
      </c>
      <c r="B956" s="36" t="s">
        <v>618</v>
      </c>
      <c r="C956" s="36" t="s">
        <v>619</v>
      </c>
      <c r="D956" s="37">
        <f>SUMIF(RAW_File!D:D,C:C,RAW_File!F:F)</f>
        <v>12799.4648</v>
      </c>
      <c r="E956" s="38">
        <f>SUMIF(RAW_File!D:D,C:C,RAW_File!G:G)</f>
        <v>0</v>
      </c>
      <c r="F956" s="39">
        <f>SUMIF(RAW_File!D:D,C:C,RAW_File!I:I)</f>
        <v>950</v>
      </c>
      <c r="G956" s="40">
        <f>SUMIF(RAW_File!D:D,C:C,RAW_File!K:K)</f>
        <v>0</v>
      </c>
      <c r="H956" s="41">
        <f>SUMIF(RAW_File!D:D,C:C,RAW_File!M:M)</f>
        <v>6000</v>
      </c>
      <c r="I956" s="40">
        <f t="shared" si="16"/>
        <v>6000</v>
      </c>
    </row>
    <row r="957" spans="1:9" hidden="1" x14ac:dyDescent="0.25">
      <c r="A957" s="36" t="s">
        <v>63</v>
      </c>
      <c r="B957" s="36" t="s">
        <v>703</v>
      </c>
      <c r="C957" s="36" t="s">
        <v>704</v>
      </c>
      <c r="D957" s="37">
        <f>SUMIF(RAW_File!D:D,C:C,RAW_File!F:F)</f>
        <v>217.6007654312678</v>
      </c>
      <c r="E957" s="38">
        <f>SUMIF(RAW_File!D:D,C:C,RAW_File!G:G)</f>
        <v>2530</v>
      </c>
      <c r="F957" s="39">
        <f>SUMIF(RAW_File!D:D,C:C,RAW_File!I:I)</f>
        <v>11980</v>
      </c>
      <c r="G957" s="40">
        <f>SUMIF(RAW_File!D:D,C:C,RAW_File!K:K)</f>
        <v>6000</v>
      </c>
      <c r="H957" s="41">
        <f>SUMIF(RAW_File!D:D,C:C,RAW_File!M:M)</f>
        <v>26000</v>
      </c>
      <c r="I957" s="40">
        <f t="shared" si="16"/>
        <v>20000</v>
      </c>
    </row>
    <row r="958" spans="1:9" hidden="1" x14ac:dyDescent="0.25">
      <c r="A958" s="36" t="s">
        <v>63</v>
      </c>
      <c r="B958" s="36" t="s">
        <v>724</v>
      </c>
      <c r="C958" s="36" t="s">
        <v>725</v>
      </c>
      <c r="D958" s="37">
        <f>SUMIF(RAW_File!D:D,C:C,RAW_File!F:F)</f>
        <v>12358.225899999999</v>
      </c>
      <c r="E958" s="38">
        <f>SUMIF(RAW_File!D:D,C:C,RAW_File!G:G)</f>
        <v>15330</v>
      </c>
      <c r="F958" s="39">
        <f>SUMIF(RAW_File!D:D,C:C,RAW_File!I:I)</f>
        <v>42688</v>
      </c>
      <c r="G958" s="40">
        <f>SUMIF(RAW_File!D:D,C:C,RAW_File!K:K)</f>
        <v>5000</v>
      </c>
      <c r="H958" s="41">
        <f>SUMIF(RAW_File!D:D,C:C,RAW_File!M:M)</f>
        <v>10000</v>
      </c>
      <c r="I958" s="40">
        <f t="shared" si="16"/>
        <v>5000</v>
      </c>
    </row>
    <row r="959" spans="1:9" hidden="1" x14ac:dyDescent="0.25">
      <c r="A959" s="36" t="s">
        <v>63</v>
      </c>
      <c r="B959" s="36" t="s">
        <v>773</v>
      </c>
      <c r="C959" s="36" t="s">
        <v>774</v>
      </c>
      <c r="D959" s="37">
        <f>SUMIF(RAW_File!D:D,C:C,RAW_File!F:F)</f>
        <v>7109.1066000000001</v>
      </c>
      <c r="E959" s="38">
        <f>SUMIF(RAW_File!D:D,C:C,RAW_File!G:G)</f>
        <v>6210</v>
      </c>
      <c r="F959" s="39">
        <f>SUMIF(RAW_File!D:D,C:C,RAW_File!I:I)</f>
        <v>9370</v>
      </c>
      <c r="G959" s="40">
        <f>SUMIF(RAW_File!D:D,C:C,RAW_File!K:K)</f>
        <v>5000</v>
      </c>
      <c r="H959" s="41">
        <f>SUMIF(RAW_File!D:D,C:C,RAW_File!M:M)</f>
        <v>0</v>
      </c>
      <c r="I959" s="40">
        <f t="shared" si="16"/>
        <v>5000</v>
      </c>
    </row>
    <row r="960" spans="1:9" hidden="1" x14ac:dyDescent="0.25">
      <c r="A960" s="36" t="s">
        <v>63</v>
      </c>
      <c r="B960" s="36" t="s">
        <v>1009</v>
      </c>
      <c r="C960" s="36" t="s">
        <v>1010</v>
      </c>
      <c r="D960" s="37">
        <f>SUMIF(RAW_File!D:D,C:C,RAW_File!F:F)</f>
        <v>11093.2917</v>
      </c>
      <c r="E960" s="38">
        <f>SUMIF(RAW_File!D:D,C:C,RAW_File!G:G)</f>
        <v>13188</v>
      </c>
      <c r="F960" s="39">
        <f>SUMIF(RAW_File!D:D,C:C,RAW_File!I:I)</f>
        <v>26218</v>
      </c>
      <c r="G960" s="40">
        <f>SUMIF(RAW_File!D:D,C:C,RAW_File!K:K)</f>
        <v>5000</v>
      </c>
      <c r="H960" s="41">
        <f>SUMIF(RAW_File!D:D,C:C,RAW_File!M:M)</f>
        <v>0</v>
      </c>
      <c r="I960" s="40">
        <f t="shared" si="16"/>
        <v>5000</v>
      </c>
    </row>
    <row r="961" spans="1:9" hidden="1" x14ac:dyDescent="0.25">
      <c r="A961" s="36" t="s">
        <v>63</v>
      </c>
      <c r="B961" s="36" t="s">
        <v>1013</v>
      </c>
      <c r="C961" s="36" t="s">
        <v>1014</v>
      </c>
      <c r="D961" s="37">
        <f>SUMIF(RAW_File!D:D,C:C,RAW_File!F:F)</f>
        <v>4299.2582689569999</v>
      </c>
      <c r="E961" s="38">
        <f>SUMIF(RAW_File!D:D,C:C,RAW_File!G:G)</f>
        <v>17450</v>
      </c>
      <c r="F961" s="39">
        <f>SUMIF(RAW_File!D:D,C:C,RAW_File!I:I)</f>
        <v>30450</v>
      </c>
      <c r="G961" s="40">
        <f>SUMIF(RAW_File!D:D,C:C,RAW_File!K:K)</f>
        <v>10000</v>
      </c>
      <c r="H961" s="41">
        <f>SUMIF(RAW_File!D:D,C:C,RAW_File!M:M)</f>
        <v>0</v>
      </c>
      <c r="I961" s="40">
        <f t="shared" si="16"/>
        <v>10000</v>
      </c>
    </row>
    <row r="962" spans="1:9" hidden="1" x14ac:dyDescent="0.25">
      <c r="A962" s="36" t="s">
        <v>63</v>
      </c>
      <c r="B962" s="36" t="s">
        <v>1105</v>
      </c>
      <c r="C962" s="36" t="s">
        <v>1106</v>
      </c>
      <c r="D962" s="37">
        <f>SUMIF(RAW_File!D:D,C:C,RAW_File!F:F)</f>
        <v>8055.9940973300118</v>
      </c>
      <c r="E962" s="38">
        <f>SUMIF(RAW_File!D:D,C:C,RAW_File!G:G)</f>
        <v>13800</v>
      </c>
      <c r="F962" s="39">
        <f>SUMIF(RAW_File!D:D,C:C,RAW_File!I:I)</f>
        <v>19450</v>
      </c>
      <c r="G962" s="40">
        <f>SUMIF(RAW_File!D:D,C:C,RAW_File!K:K)</f>
        <v>6000</v>
      </c>
      <c r="H962" s="41">
        <f>SUMIF(RAW_File!D:D,C:C,RAW_File!M:M)</f>
        <v>0</v>
      </c>
      <c r="I962" s="40">
        <f t="shared" si="16"/>
        <v>6000</v>
      </c>
    </row>
    <row r="963" spans="1:9" hidden="1" x14ac:dyDescent="0.25">
      <c r="A963" s="36" t="s">
        <v>63</v>
      </c>
      <c r="B963" s="36" t="s">
        <v>1114</v>
      </c>
      <c r="C963" s="36" t="s">
        <v>1115</v>
      </c>
      <c r="D963" s="37">
        <f>SUMIF(RAW_File!D:D,C:C,RAW_File!F:F)</f>
        <v>21562.091966459029</v>
      </c>
      <c r="E963" s="38">
        <f>SUMIF(RAW_File!D:D,C:C,RAW_File!G:G)</f>
        <v>2850</v>
      </c>
      <c r="F963" s="39">
        <f>SUMIF(RAW_File!D:D,C:C,RAW_File!I:I)</f>
        <v>12195</v>
      </c>
      <c r="G963" s="40">
        <f>SUMIF(RAW_File!D:D,C:C,RAW_File!K:K)</f>
        <v>5000</v>
      </c>
      <c r="H963" s="41">
        <f>SUMIF(RAW_File!D:D,C:C,RAW_File!M:M)</f>
        <v>0</v>
      </c>
      <c r="I963" s="40">
        <f t="shared" ref="I963:I1026" si="17">ABS(G963-H963)</f>
        <v>5000</v>
      </c>
    </row>
    <row r="964" spans="1:9" hidden="1" x14ac:dyDescent="0.25">
      <c r="A964" s="36" t="s">
        <v>63</v>
      </c>
      <c r="B964" s="36" t="s">
        <v>1149</v>
      </c>
      <c r="C964" s="36" t="s">
        <v>1150</v>
      </c>
      <c r="D964" s="37">
        <f>SUMIF(RAW_File!D:D,C:C,RAW_File!F:F)</f>
        <v>3009.762823130558</v>
      </c>
      <c r="E964" s="38">
        <f>SUMIF(RAW_File!D:D,C:C,RAW_File!G:G)</f>
        <v>6240</v>
      </c>
      <c r="F964" s="39">
        <f>SUMIF(RAW_File!D:D,C:C,RAW_File!I:I)</f>
        <v>33190</v>
      </c>
      <c r="G964" s="40">
        <f>SUMIF(RAW_File!D:D,C:C,RAW_File!K:K)</f>
        <v>0</v>
      </c>
      <c r="H964" s="41">
        <f>SUMIF(RAW_File!D:D,C:C,RAW_File!M:M)</f>
        <v>40000</v>
      </c>
      <c r="I964" s="40">
        <f t="shared" si="17"/>
        <v>40000</v>
      </c>
    </row>
    <row r="965" spans="1:9" hidden="1" x14ac:dyDescent="0.25">
      <c r="A965" s="36" t="s">
        <v>63</v>
      </c>
      <c r="B965" s="36" t="s">
        <v>1269</v>
      </c>
      <c r="C965" s="36" t="s">
        <v>1270</v>
      </c>
      <c r="D965" s="37">
        <f>SUMIF(RAW_File!D:D,C:C,RAW_File!F:F)</f>
        <v>185.7253</v>
      </c>
      <c r="E965" s="38">
        <f>SUMIF(RAW_File!D:D,C:C,RAW_File!G:G)</f>
        <v>410</v>
      </c>
      <c r="F965" s="39">
        <f>SUMIF(RAW_File!D:D,C:C,RAW_File!I:I)</f>
        <v>10710</v>
      </c>
      <c r="G965" s="40">
        <f>SUMIF(RAW_File!D:D,C:C,RAW_File!K:K)</f>
        <v>5000</v>
      </c>
      <c r="H965" s="41">
        <f>SUMIF(RAW_File!D:D,C:C,RAW_File!M:M)</f>
        <v>19000</v>
      </c>
      <c r="I965" s="40">
        <f t="shared" si="17"/>
        <v>14000</v>
      </c>
    </row>
    <row r="966" spans="1:9" hidden="1" x14ac:dyDescent="0.25">
      <c r="A966" s="36" t="s">
        <v>63</v>
      </c>
      <c r="B966" s="36" t="s">
        <v>1512</v>
      </c>
      <c r="C966" s="36" t="s">
        <v>1513</v>
      </c>
      <c r="D966" s="37">
        <f>SUMIF(RAW_File!D:D,C:C,RAW_File!F:F)</f>
        <v>1247.4147</v>
      </c>
      <c r="E966" s="38">
        <f>SUMIF(RAW_File!D:D,C:C,RAW_File!G:G)</f>
        <v>0</v>
      </c>
      <c r="F966" s="39">
        <f>SUMIF(RAW_File!D:D,C:C,RAW_File!I:I)</f>
        <v>30000</v>
      </c>
      <c r="G966" s="40">
        <f>SUMIF(RAW_File!D:D,C:C,RAW_File!K:K)</f>
        <v>0</v>
      </c>
      <c r="H966" s="41">
        <f>SUMIF(RAW_File!D:D,C:C,RAW_File!M:M)</f>
        <v>43000</v>
      </c>
      <c r="I966" s="40">
        <f t="shared" si="17"/>
        <v>43000</v>
      </c>
    </row>
    <row r="967" spans="1:9" hidden="1" x14ac:dyDescent="0.25">
      <c r="A967" s="36" t="s">
        <v>63</v>
      </c>
      <c r="B967" s="36" t="s">
        <v>1550</v>
      </c>
      <c r="C967" s="36" t="s">
        <v>1551</v>
      </c>
      <c r="D967" s="37">
        <f>SUMIF(RAW_File!D:D,C:C,RAW_File!F:F)</f>
        <v>20387.087392104419</v>
      </c>
      <c r="E967" s="38">
        <f>SUMIF(RAW_File!D:D,C:C,RAW_File!G:G)</f>
        <v>100</v>
      </c>
      <c r="F967" s="39">
        <f>SUMIF(RAW_File!D:D,C:C,RAW_File!I:I)</f>
        <v>18180</v>
      </c>
      <c r="G967" s="40">
        <f>SUMIF(RAW_File!D:D,C:C,RAW_File!K:K)</f>
        <v>0</v>
      </c>
      <c r="H967" s="41">
        <f>SUMIF(RAW_File!D:D,C:C,RAW_File!M:M)</f>
        <v>15000</v>
      </c>
      <c r="I967" s="40">
        <f t="shared" si="17"/>
        <v>15000</v>
      </c>
    </row>
    <row r="968" spans="1:9" hidden="1" x14ac:dyDescent="0.25">
      <c r="A968" s="36" t="s">
        <v>63</v>
      </c>
      <c r="B968" s="36" t="s">
        <v>1585</v>
      </c>
      <c r="C968" s="36" t="s">
        <v>1586</v>
      </c>
      <c r="D968" s="37">
        <f>SUMIF(RAW_File!D:D,C:C,RAW_File!F:F)</f>
        <v>5572.2139999999999</v>
      </c>
      <c r="E968" s="38">
        <f>SUMIF(RAW_File!D:D,C:C,RAW_File!G:G)</f>
        <v>22000</v>
      </c>
      <c r="F968" s="39">
        <f>SUMIF(RAW_File!D:D,C:C,RAW_File!I:I)</f>
        <v>52613</v>
      </c>
      <c r="G968" s="40">
        <f>SUMIF(RAW_File!D:D,C:C,RAW_File!K:K)</f>
        <v>0</v>
      </c>
      <c r="H968" s="41">
        <f>SUMIF(RAW_File!D:D,C:C,RAW_File!M:M)</f>
        <v>6000</v>
      </c>
      <c r="I968" s="40">
        <f t="shared" si="17"/>
        <v>6000</v>
      </c>
    </row>
    <row r="969" spans="1:9" hidden="1" x14ac:dyDescent="0.25">
      <c r="A969" s="36" t="s">
        <v>63</v>
      </c>
      <c r="B969" s="36" t="s">
        <v>1815</v>
      </c>
      <c r="C969" s="36" t="s">
        <v>1816</v>
      </c>
      <c r="D969" s="37">
        <f>SUMIF(RAW_File!D:D,C:C,RAW_File!F:F)</f>
        <v>21372.032836307611</v>
      </c>
      <c r="E969" s="38">
        <f>SUMIF(RAW_File!D:D,C:C,RAW_File!G:G)</f>
        <v>1200</v>
      </c>
      <c r="F969" s="39">
        <f>SUMIF(RAW_File!D:D,C:C,RAW_File!I:I)</f>
        <v>1200</v>
      </c>
      <c r="G969" s="40">
        <f>SUMIF(RAW_File!D:D,C:C,RAW_File!K:K)</f>
        <v>6000</v>
      </c>
      <c r="H969" s="41">
        <f>SUMIF(RAW_File!D:D,C:C,RAW_File!M:M)</f>
        <v>0</v>
      </c>
      <c r="I969" s="40">
        <f t="shared" si="17"/>
        <v>6000</v>
      </c>
    </row>
    <row r="970" spans="1:9" hidden="1" x14ac:dyDescent="0.25">
      <c r="A970" s="36" t="s">
        <v>63</v>
      </c>
      <c r="B970" s="36" t="s">
        <v>1957</v>
      </c>
      <c r="C970" s="36" t="s">
        <v>1958</v>
      </c>
      <c r="D970" s="37">
        <f>SUMIF(RAW_File!D:D,C:C,RAW_File!F:F)</f>
        <v>26054.673936828131</v>
      </c>
      <c r="E970" s="38">
        <f>SUMIF(RAW_File!D:D,C:C,RAW_File!G:G)</f>
        <v>2710</v>
      </c>
      <c r="F970" s="39">
        <f>SUMIF(RAW_File!D:D,C:C,RAW_File!I:I)</f>
        <v>8110</v>
      </c>
      <c r="G970" s="40">
        <f>SUMIF(RAW_File!D:D,C:C,RAW_File!K:K)</f>
        <v>0</v>
      </c>
      <c r="H970" s="41">
        <f>SUMIF(RAW_File!D:D,C:C,RAW_File!M:M)</f>
        <v>10000</v>
      </c>
      <c r="I970" s="40">
        <f t="shared" si="17"/>
        <v>10000</v>
      </c>
    </row>
    <row r="971" spans="1:9" hidden="1" x14ac:dyDescent="0.25">
      <c r="A971" s="36" t="s">
        <v>63</v>
      </c>
      <c r="B971" s="36" t="s">
        <v>2129</v>
      </c>
      <c r="C971" s="36" t="s">
        <v>2130</v>
      </c>
      <c r="D971" s="37">
        <f>SUMIF(RAW_File!D:D,C:C,RAW_File!F:F)</f>
        <v>1083.9015498282629</v>
      </c>
      <c r="E971" s="38">
        <f>SUMIF(RAW_File!D:D,C:C,RAW_File!G:G)</f>
        <v>14350</v>
      </c>
      <c r="F971" s="39">
        <f>SUMIF(RAW_File!D:D,C:C,RAW_File!I:I)</f>
        <v>17690</v>
      </c>
      <c r="G971" s="40">
        <f>SUMIF(RAW_File!D:D,C:C,RAW_File!K:K)</f>
        <v>10000</v>
      </c>
      <c r="H971" s="41">
        <f>SUMIF(RAW_File!D:D,C:C,RAW_File!M:M)</f>
        <v>0</v>
      </c>
      <c r="I971" s="40">
        <f t="shared" si="17"/>
        <v>10000</v>
      </c>
    </row>
    <row r="972" spans="1:9" hidden="1" x14ac:dyDescent="0.25">
      <c r="A972" s="36" t="s">
        <v>63</v>
      </c>
      <c r="B972" s="36" t="s">
        <v>2193</v>
      </c>
      <c r="C972" s="36" t="s">
        <v>2194</v>
      </c>
      <c r="D972" s="37">
        <f>SUMIF(RAW_File!D:D,C:C,RAW_File!F:F)</f>
        <v>3011.467565902321</v>
      </c>
      <c r="E972" s="38">
        <f>SUMIF(RAW_File!D:D,C:C,RAW_File!G:G)</f>
        <v>19240</v>
      </c>
      <c r="F972" s="39">
        <f>SUMIF(RAW_File!D:D,C:C,RAW_File!I:I)</f>
        <v>22540</v>
      </c>
      <c r="G972" s="40">
        <f>SUMIF(RAW_File!D:D,C:C,RAW_File!K:K)</f>
        <v>15000</v>
      </c>
      <c r="H972" s="41">
        <f>SUMIF(RAW_File!D:D,C:C,RAW_File!M:M)</f>
        <v>0</v>
      </c>
      <c r="I972" s="40">
        <f t="shared" si="17"/>
        <v>15000</v>
      </c>
    </row>
    <row r="973" spans="1:9" hidden="1" x14ac:dyDescent="0.25">
      <c r="A973" s="36" t="s">
        <v>63</v>
      </c>
      <c r="B973" s="36" t="s">
        <v>2315</v>
      </c>
      <c r="C973" s="36" t="s">
        <v>2316</v>
      </c>
      <c r="D973" s="37">
        <f>SUMIF(RAW_File!D:D,C:C,RAW_File!F:F)</f>
        <v>22448.728500000001</v>
      </c>
      <c r="E973" s="38">
        <f>SUMIF(RAW_File!D:D,C:C,RAW_File!G:G)</f>
        <v>4825</v>
      </c>
      <c r="F973" s="39">
        <f>SUMIF(RAW_File!D:D,C:C,RAW_File!I:I)</f>
        <v>24955</v>
      </c>
      <c r="G973" s="40">
        <f>SUMIF(RAW_File!D:D,C:C,RAW_File!K:K)</f>
        <v>0</v>
      </c>
      <c r="H973" s="41">
        <f>SUMIF(RAW_File!D:D,C:C,RAW_File!M:M)</f>
        <v>10000</v>
      </c>
      <c r="I973" s="40">
        <f t="shared" si="17"/>
        <v>10000</v>
      </c>
    </row>
    <row r="974" spans="1:9" hidden="1" x14ac:dyDescent="0.25">
      <c r="A974" s="36" t="s">
        <v>63</v>
      </c>
      <c r="B974" s="36" t="s">
        <v>2392</v>
      </c>
      <c r="C974" s="36" t="s">
        <v>2393</v>
      </c>
      <c r="D974" s="37">
        <f>SUMIF(RAW_File!D:D,C:C,RAW_File!F:F)</f>
        <v>10625.041406661179</v>
      </c>
      <c r="E974" s="38">
        <f>SUMIF(RAW_File!D:D,C:C,RAW_File!G:G)</f>
        <v>19510</v>
      </c>
      <c r="F974" s="39">
        <f>SUMIF(RAW_File!D:D,C:C,RAW_File!I:I)</f>
        <v>19510</v>
      </c>
      <c r="G974" s="40">
        <f>SUMIF(RAW_File!D:D,C:C,RAW_File!K:K)</f>
        <v>34000</v>
      </c>
      <c r="H974" s="41">
        <f>SUMIF(RAW_File!D:D,C:C,RAW_File!M:M)</f>
        <v>4000</v>
      </c>
      <c r="I974" s="40">
        <f t="shared" si="17"/>
        <v>30000</v>
      </c>
    </row>
    <row r="975" spans="1:9" hidden="1" x14ac:dyDescent="0.25">
      <c r="A975" s="36" t="s">
        <v>63</v>
      </c>
      <c r="B975" s="36" t="s">
        <v>2481</v>
      </c>
      <c r="C975" s="36" t="s">
        <v>2482</v>
      </c>
      <c r="D975" s="37">
        <f>SUMIF(RAW_File!D:D,C:C,RAW_File!F:F)</f>
        <v>12749.634</v>
      </c>
      <c r="E975" s="38">
        <f>SUMIF(RAW_File!D:D,C:C,RAW_File!G:G)</f>
        <v>1430</v>
      </c>
      <c r="F975" s="39">
        <f>SUMIF(RAW_File!D:D,C:C,RAW_File!I:I)</f>
        <v>2430</v>
      </c>
      <c r="G975" s="40">
        <f>SUMIF(RAW_File!D:D,C:C,RAW_File!K:K)</f>
        <v>5000</v>
      </c>
      <c r="H975" s="41">
        <f>SUMIF(RAW_File!D:D,C:C,RAW_File!M:M)</f>
        <v>0</v>
      </c>
      <c r="I975" s="40">
        <f t="shared" si="17"/>
        <v>5000</v>
      </c>
    </row>
    <row r="976" spans="1:9" hidden="1" x14ac:dyDescent="0.25">
      <c r="A976" s="36" t="s">
        <v>63</v>
      </c>
      <c r="B976" s="36" t="s">
        <v>2483</v>
      </c>
      <c r="C976" s="36" t="s">
        <v>2484</v>
      </c>
      <c r="D976" s="37">
        <f>SUMIF(RAW_File!D:D,C:C,RAW_File!F:F)</f>
        <v>6593.5060000000003</v>
      </c>
      <c r="E976" s="38">
        <f>SUMIF(RAW_File!D:D,C:C,RAW_File!G:G)</f>
        <v>0</v>
      </c>
      <c r="F976" s="39">
        <f>SUMIF(RAW_File!D:D,C:C,RAW_File!I:I)</f>
        <v>0</v>
      </c>
      <c r="G976" s="40">
        <f>SUMIF(RAW_File!D:D,C:C,RAW_File!K:K)</f>
        <v>5000</v>
      </c>
      <c r="H976" s="41">
        <f>SUMIF(RAW_File!D:D,C:C,RAW_File!M:M)</f>
        <v>0</v>
      </c>
      <c r="I976" s="40">
        <f t="shared" si="17"/>
        <v>5000</v>
      </c>
    </row>
    <row r="977" spans="1:9" hidden="1" x14ac:dyDescent="0.25">
      <c r="A977" s="36" t="s">
        <v>63</v>
      </c>
      <c r="B977" s="36" t="s">
        <v>1495</v>
      </c>
      <c r="C977" s="36" t="s">
        <v>2499</v>
      </c>
      <c r="D977" s="37">
        <f>SUMIF(RAW_File!D:D,C:C,RAW_File!F:F)</f>
        <v>12641.5063148645</v>
      </c>
      <c r="E977" s="38">
        <f>SUMIF(RAW_File!D:D,C:C,RAW_File!G:G)</f>
        <v>2000</v>
      </c>
      <c r="F977" s="39">
        <f>SUMIF(RAW_File!D:D,C:C,RAW_File!I:I)</f>
        <v>7000</v>
      </c>
      <c r="G977" s="40">
        <f>SUMIF(RAW_File!D:D,C:C,RAW_File!K:K)</f>
        <v>5000</v>
      </c>
      <c r="H977" s="41">
        <f>SUMIF(RAW_File!D:D,C:C,RAW_File!M:M)</f>
        <v>0</v>
      </c>
      <c r="I977" s="40">
        <f t="shared" si="17"/>
        <v>5000</v>
      </c>
    </row>
    <row r="978" spans="1:9" hidden="1" x14ac:dyDescent="0.25">
      <c r="A978" s="36" t="s">
        <v>63</v>
      </c>
      <c r="B978" s="36" t="s">
        <v>2734</v>
      </c>
      <c r="C978" s="36" t="s">
        <v>2735</v>
      </c>
      <c r="D978" s="37">
        <f>SUMIF(RAW_File!D:D,C:C,RAW_File!F:F)</f>
        <v>6033.007796256351</v>
      </c>
      <c r="E978" s="38">
        <f>SUMIF(RAW_File!D:D,C:C,RAW_File!G:G)</f>
        <v>0</v>
      </c>
      <c r="F978" s="39">
        <f>SUMIF(RAW_File!D:D,C:C,RAW_File!I:I)</f>
        <v>0</v>
      </c>
      <c r="G978" s="40">
        <f>SUMIF(RAW_File!D:D,C:C,RAW_File!K:K)</f>
        <v>6000</v>
      </c>
      <c r="H978" s="41">
        <f>SUMIF(RAW_File!D:D,C:C,RAW_File!M:M)</f>
        <v>0</v>
      </c>
      <c r="I978" s="40">
        <f t="shared" si="17"/>
        <v>6000</v>
      </c>
    </row>
    <row r="979" spans="1:9" hidden="1" x14ac:dyDescent="0.25">
      <c r="A979" s="36" t="s">
        <v>63</v>
      </c>
      <c r="B979" s="36" t="s">
        <v>2750</v>
      </c>
      <c r="C979" s="36" t="s">
        <v>2751</v>
      </c>
      <c r="D979" s="37">
        <f>SUMIF(RAW_File!D:D,C:C,RAW_File!F:F)</f>
        <v>132.6913672571101</v>
      </c>
      <c r="E979" s="38">
        <f>SUMIF(RAW_File!D:D,C:C,RAW_File!G:G)</f>
        <v>0</v>
      </c>
      <c r="F979" s="39">
        <f>SUMIF(RAW_File!D:D,C:C,RAW_File!I:I)</f>
        <v>4000</v>
      </c>
      <c r="G979" s="40">
        <f>SUMIF(RAW_File!D:D,C:C,RAW_File!K:K)</f>
        <v>0</v>
      </c>
      <c r="H979" s="41">
        <f>SUMIF(RAW_File!D:D,C:C,RAW_File!M:M)</f>
        <v>4000</v>
      </c>
      <c r="I979" s="40">
        <f t="shared" si="17"/>
        <v>4000</v>
      </c>
    </row>
    <row r="980" spans="1:9" hidden="1" x14ac:dyDescent="0.25">
      <c r="A980" s="36" t="s">
        <v>63</v>
      </c>
      <c r="B980" s="36" t="s">
        <v>2765</v>
      </c>
      <c r="C980" s="36" t="s">
        <v>2766</v>
      </c>
      <c r="D980" s="37">
        <f>SUMIF(RAW_File!D:D,C:C,RAW_File!F:F)</f>
        <v>132.4074228489529</v>
      </c>
      <c r="E980" s="38">
        <f>SUMIF(RAW_File!D:D,C:C,RAW_File!G:G)</f>
        <v>0</v>
      </c>
      <c r="F980" s="39">
        <f>SUMIF(RAW_File!D:D,C:C,RAW_File!I:I)</f>
        <v>5000</v>
      </c>
      <c r="G980" s="40">
        <f>SUMIF(RAW_File!D:D,C:C,RAW_File!K:K)</f>
        <v>0</v>
      </c>
      <c r="H980" s="41">
        <f>SUMIF(RAW_File!D:D,C:C,RAW_File!M:M)</f>
        <v>5000</v>
      </c>
      <c r="I980" s="40">
        <f t="shared" si="17"/>
        <v>5000</v>
      </c>
    </row>
    <row r="981" spans="1:9" hidden="1" x14ac:dyDescent="0.25">
      <c r="A981" s="36" t="s">
        <v>63</v>
      </c>
      <c r="B981" s="36" t="s">
        <v>2841</v>
      </c>
      <c r="C981" s="36" t="s">
        <v>2842</v>
      </c>
      <c r="D981" s="37">
        <f>SUMIF(RAW_File!D:D,C:C,RAW_File!F:F)</f>
        <v>119.81292534625911</v>
      </c>
      <c r="E981" s="38">
        <f>SUMIF(RAW_File!D:D,C:C,RAW_File!G:G)</f>
        <v>980</v>
      </c>
      <c r="F981" s="39">
        <f>SUMIF(RAW_File!D:D,C:C,RAW_File!I:I)</f>
        <v>2470</v>
      </c>
      <c r="G981" s="40">
        <f>SUMIF(RAW_File!D:D,C:C,RAW_File!K:K)</f>
        <v>0</v>
      </c>
      <c r="H981" s="41">
        <f>SUMIF(RAW_File!D:D,C:C,RAW_File!M:M)</f>
        <v>37000</v>
      </c>
      <c r="I981" s="40">
        <f t="shared" si="17"/>
        <v>37000</v>
      </c>
    </row>
    <row r="982" spans="1:9" hidden="1" x14ac:dyDescent="0.25">
      <c r="A982" s="36" t="s">
        <v>63</v>
      </c>
      <c r="B982" s="36" t="s">
        <v>2845</v>
      </c>
      <c r="C982" s="36" t="s">
        <v>2846</v>
      </c>
      <c r="D982" s="37">
        <f>SUMIF(RAW_File!D:D,C:C,RAW_File!F:F)</f>
        <v>33687.250607973598</v>
      </c>
      <c r="E982" s="38">
        <f>SUMIF(RAW_File!D:D,C:C,RAW_File!G:G)</f>
        <v>1750</v>
      </c>
      <c r="F982" s="39">
        <f>SUMIF(RAW_File!D:D,C:C,RAW_File!I:I)</f>
        <v>8420</v>
      </c>
      <c r="G982" s="40">
        <f>SUMIF(RAW_File!D:D,C:C,RAW_File!K:K)</f>
        <v>0</v>
      </c>
      <c r="H982" s="41">
        <f>SUMIF(RAW_File!D:D,C:C,RAW_File!M:M)</f>
        <v>70000</v>
      </c>
      <c r="I982" s="40">
        <f t="shared" si="17"/>
        <v>70000</v>
      </c>
    </row>
    <row r="983" spans="1:9" hidden="1" x14ac:dyDescent="0.25">
      <c r="A983" s="36" t="s">
        <v>63</v>
      </c>
      <c r="B983" s="36" t="s">
        <v>2954</v>
      </c>
      <c r="C983" s="36" t="s">
        <v>2955</v>
      </c>
      <c r="D983" s="37">
        <f>SUMIF(RAW_File!D:D,C:C,RAW_File!F:F)</f>
        <v>2436.2499306915588</v>
      </c>
      <c r="E983" s="38">
        <f>SUMIF(RAW_File!D:D,C:C,RAW_File!G:G)</f>
        <v>15065</v>
      </c>
      <c r="F983" s="39">
        <f>SUMIF(RAW_File!D:D,C:C,RAW_File!I:I)</f>
        <v>20865</v>
      </c>
      <c r="G983" s="40">
        <f>SUMIF(RAW_File!D:D,C:C,RAW_File!K:K)</f>
        <v>5000</v>
      </c>
      <c r="H983" s="41">
        <f>SUMIF(RAW_File!D:D,C:C,RAW_File!M:M)</f>
        <v>0</v>
      </c>
      <c r="I983" s="40">
        <f t="shared" si="17"/>
        <v>5000</v>
      </c>
    </row>
    <row r="984" spans="1:9" hidden="1" x14ac:dyDescent="0.25">
      <c r="A984" s="36" t="s">
        <v>63</v>
      </c>
      <c r="B984" s="36" t="s">
        <v>2977</v>
      </c>
      <c r="C984" s="36" t="s">
        <v>2978</v>
      </c>
      <c r="D984" s="37">
        <f>SUMIF(RAW_File!D:D,C:C,RAW_File!F:F)</f>
        <v>22721.708751780021</v>
      </c>
      <c r="E984" s="38">
        <f>SUMIF(RAW_File!D:D,C:C,RAW_File!G:G)</f>
        <v>2720</v>
      </c>
      <c r="F984" s="39">
        <f>SUMIF(RAW_File!D:D,C:C,RAW_File!I:I)</f>
        <v>12250</v>
      </c>
      <c r="G984" s="40">
        <f>SUMIF(RAW_File!D:D,C:C,RAW_File!K:K)</f>
        <v>0</v>
      </c>
      <c r="H984" s="41">
        <f>SUMIF(RAW_File!D:D,C:C,RAW_File!M:M)</f>
        <v>20000</v>
      </c>
      <c r="I984" s="40">
        <f t="shared" si="17"/>
        <v>20000</v>
      </c>
    </row>
    <row r="985" spans="1:9" hidden="1" x14ac:dyDescent="0.25">
      <c r="A985" s="36" t="s">
        <v>63</v>
      </c>
      <c r="B985" s="36" t="s">
        <v>3048</v>
      </c>
      <c r="C985" s="36" t="s">
        <v>3049</v>
      </c>
      <c r="D985" s="37">
        <f>SUMIF(RAW_File!D:D,C:C,RAW_File!F:F)</f>
        <v>147028.91628428971</v>
      </c>
      <c r="E985" s="38">
        <f>SUMIF(RAW_File!D:D,C:C,RAW_File!G:G)</f>
        <v>12680</v>
      </c>
      <c r="F985" s="39">
        <f>SUMIF(RAW_File!D:D,C:C,RAW_File!I:I)</f>
        <v>58510</v>
      </c>
      <c r="G985" s="40">
        <f>SUMIF(RAW_File!D:D,C:C,RAW_File!K:K)</f>
        <v>0</v>
      </c>
      <c r="H985" s="41">
        <f>SUMIF(RAW_File!D:D,C:C,RAW_File!M:M)</f>
        <v>50000</v>
      </c>
      <c r="I985" s="40">
        <f t="shared" si="17"/>
        <v>50000</v>
      </c>
    </row>
    <row r="986" spans="1:9" hidden="1" x14ac:dyDescent="0.25">
      <c r="A986" s="36" t="s">
        <v>63</v>
      </c>
      <c r="B986" s="36" t="s">
        <v>3089</v>
      </c>
      <c r="C986" s="36" t="s">
        <v>3090</v>
      </c>
      <c r="D986" s="37">
        <f>SUMIF(RAW_File!D:D,C:C,RAW_File!F:F)</f>
        <v>18564.32817323738</v>
      </c>
      <c r="E986" s="38">
        <f>SUMIF(RAW_File!D:D,C:C,RAW_File!G:G)</f>
        <v>57750</v>
      </c>
      <c r="F986" s="39">
        <f>SUMIF(RAW_File!D:D,C:C,RAW_File!I:I)</f>
        <v>274890</v>
      </c>
      <c r="G986" s="40">
        <f>SUMIF(RAW_File!D:D,C:C,RAW_File!K:K)</f>
        <v>0</v>
      </c>
      <c r="H986" s="41">
        <f>SUMIF(RAW_File!D:D,C:C,RAW_File!M:M)</f>
        <v>180000</v>
      </c>
      <c r="I986" s="40">
        <f t="shared" si="17"/>
        <v>180000</v>
      </c>
    </row>
    <row r="987" spans="1:9" hidden="1" x14ac:dyDescent="0.25">
      <c r="A987" s="36" t="s">
        <v>63</v>
      </c>
      <c r="B987" s="36" t="s">
        <v>3101</v>
      </c>
      <c r="C987" s="36" t="s">
        <v>3102</v>
      </c>
      <c r="D987" s="37">
        <f>SUMIF(RAW_File!D:D,C:C,RAW_File!F:F)</f>
        <v>10114.73112357532</v>
      </c>
      <c r="E987" s="38">
        <f>SUMIF(RAW_File!D:D,C:C,RAW_File!G:G)</f>
        <v>2000</v>
      </c>
      <c r="F987" s="39">
        <f>SUMIF(RAW_File!D:D,C:C,RAW_File!I:I)</f>
        <v>12790</v>
      </c>
      <c r="G987" s="40">
        <f>SUMIF(RAW_File!D:D,C:C,RAW_File!K:K)</f>
        <v>0</v>
      </c>
      <c r="H987" s="41">
        <f>SUMIF(RAW_File!D:D,C:C,RAW_File!M:M)</f>
        <v>15000</v>
      </c>
      <c r="I987" s="40">
        <f t="shared" si="17"/>
        <v>15000</v>
      </c>
    </row>
    <row r="988" spans="1:9" hidden="1" x14ac:dyDescent="0.25">
      <c r="A988" s="36" t="s">
        <v>63</v>
      </c>
      <c r="B988" s="36" t="s">
        <v>3179</v>
      </c>
      <c r="C988" s="36" t="s">
        <v>3180</v>
      </c>
      <c r="D988" s="37">
        <f>SUMIF(RAW_File!D:D,C:C,RAW_File!F:F)</f>
        <v>25371.649758262261</v>
      </c>
      <c r="E988" s="38">
        <f>SUMIF(RAW_File!D:D,C:C,RAW_File!G:G)</f>
        <v>300</v>
      </c>
      <c r="F988" s="39">
        <f>SUMIF(RAW_File!D:D,C:C,RAW_File!I:I)</f>
        <v>5100</v>
      </c>
      <c r="G988" s="40">
        <f>SUMIF(RAW_File!D:D,C:C,RAW_File!K:K)</f>
        <v>0</v>
      </c>
      <c r="H988" s="41">
        <f>SUMIF(RAW_File!D:D,C:C,RAW_File!M:M)</f>
        <v>20000</v>
      </c>
      <c r="I988" s="40">
        <f t="shared" si="17"/>
        <v>20000</v>
      </c>
    </row>
    <row r="989" spans="1:9" hidden="1" x14ac:dyDescent="0.25">
      <c r="A989" s="36" t="s">
        <v>63</v>
      </c>
      <c r="B989" s="36" t="s">
        <v>3199</v>
      </c>
      <c r="C989" s="36" t="s">
        <v>3200</v>
      </c>
      <c r="D989" s="37">
        <f>SUMIF(RAW_File!D:D,C:C,RAW_File!F:F)</f>
        <v>10642.605946062649</v>
      </c>
      <c r="E989" s="38">
        <f>SUMIF(RAW_File!D:D,C:C,RAW_File!G:G)</f>
        <v>3490</v>
      </c>
      <c r="F989" s="39">
        <f>SUMIF(RAW_File!D:D,C:C,RAW_File!I:I)</f>
        <v>16260</v>
      </c>
      <c r="G989" s="40">
        <f>SUMIF(RAW_File!D:D,C:C,RAW_File!K:K)</f>
        <v>0</v>
      </c>
      <c r="H989" s="41">
        <f>SUMIF(RAW_File!D:D,C:C,RAW_File!M:M)</f>
        <v>10000</v>
      </c>
      <c r="I989" s="40">
        <f t="shared" si="17"/>
        <v>10000</v>
      </c>
    </row>
    <row r="990" spans="1:9" hidden="1" x14ac:dyDescent="0.25">
      <c r="A990" s="36" t="s">
        <v>63</v>
      </c>
      <c r="B990" s="36" t="s">
        <v>3285</v>
      </c>
      <c r="C990" s="36" t="s">
        <v>3286</v>
      </c>
      <c r="D990" s="37">
        <f>SUMIF(RAW_File!D:D,C:C,RAW_File!F:F)</f>
        <v>44958.499102500697</v>
      </c>
      <c r="E990" s="38">
        <f>SUMIF(RAW_File!D:D,C:C,RAW_File!G:G)</f>
        <v>22400</v>
      </c>
      <c r="F990" s="39">
        <f>SUMIF(RAW_File!D:D,C:C,RAW_File!I:I)</f>
        <v>41970</v>
      </c>
      <c r="G990" s="40">
        <f>SUMIF(RAW_File!D:D,C:C,RAW_File!K:K)</f>
        <v>40000</v>
      </c>
      <c r="H990" s="41">
        <f>SUMIF(RAW_File!D:D,C:C,RAW_File!M:M)</f>
        <v>0</v>
      </c>
      <c r="I990" s="40">
        <f t="shared" si="17"/>
        <v>40000</v>
      </c>
    </row>
    <row r="991" spans="1:9" hidden="1" x14ac:dyDescent="0.25">
      <c r="A991" s="36" t="s">
        <v>63</v>
      </c>
      <c r="B991" s="36" t="s">
        <v>3397</v>
      </c>
      <c r="C991" s="36" t="s">
        <v>3398</v>
      </c>
      <c r="D991" s="37">
        <f>SUMIF(RAW_File!D:D,C:C,RAW_File!F:F)</f>
        <v>554.4825330801724</v>
      </c>
      <c r="E991" s="38">
        <f>SUMIF(RAW_File!D:D,C:C,RAW_File!G:G)</f>
        <v>25000</v>
      </c>
      <c r="F991" s="39">
        <f>SUMIF(RAW_File!D:D,C:C,RAW_File!I:I)</f>
        <v>25200</v>
      </c>
      <c r="G991" s="40">
        <f>SUMIF(RAW_File!D:D,C:C,RAW_File!K:K)</f>
        <v>25000</v>
      </c>
      <c r="H991" s="41">
        <f>SUMIF(RAW_File!D:D,C:C,RAW_File!M:M)</f>
        <v>0</v>
      </c>
      <c r="I991" s="40">
        <f t="shared" si="17"/>
        <v>25000</v>
      </c>
    </row>
    <row r="992" spans="1:9" hidden="1" x14ac:dyDescent="0.25">
      <c r="A992" s="36" t="s">
        <v>63</v>
      </c>
      <c r="B992" s="36" t="s">
        <v>3526</v>
      </c>
      <c r="C992" s="36" t="s">
        <v>3527</v>
      </c>
      <c r="D992" s="37">
        <f>SUMIF(RAW_File!D:D,C:C,RAW_File!F:F)</f>
        <v>15880.2</v>
      </c>
      <c r="E992" s="38">
        <f>SUMIF(RAW_File!D:D,C:C,RAW_File!G:G)</f>
        <v>1670</v>
      </c>
      <c r="F992" s="39">
        <f>SUMIF(RAW_File!D:D,C:C,RAW_File!I:I)</f>
        <v>9470</v>
      </c>
      <c r="G992" s="40">
        <f>SUMIF(RAW_File!D:D,C:C,RAW_File!K:K)</f>
        <v>5000</v>
      </c>
      <c r="H992" s="41">
        <f>SUMIF(RAW_File!D:D,C:C,RAW_File!M:M)</f>
        <v>0</v>
      </c>
      <c r="I992" s="40">
        <f t="shared" si="17"/>
        <v>5000</v>
      </c>
    </row>
    <row r="993" spans="1:9" hidden="1" x14ac:dyDescent="0.25">
      <c r="A993" s="36" t="s">
        <v>76</v>
      </c>
      <c r="B993" s="36" t="s">
        <v>312</v>
      </c>
      <c r="C993" s="36" t="s">
        <v>313</v>
      </c>
      <c r="D993" s="37">
        <f>SUMIF(RAW_File!D:D,C:C,RAW_File!F:F)</f>
        <v>12177.967037835781</v>
      </c>
      <c r="E993" s="38">
        <f>SUMIF(RAW_File!D:D,C:C,RAW_File!G:G)</f>
        <v>2600</v>
      </c>
      <c r="F993" s="39">
        <f>SUMIF(RAW_File!D:D,C:C,RAW_File!I:I)</f>
        <v>4700</v>
      </c>
      <c r="G993" s="40">
        <f>SUMIF(RAW_File!D:D,C:C,RAW_File!K:K)</f>
        <v>0</v>
      </c>
      <c r="H993" s="41">
        <f>SUMIF(RAW_File!D:D,C:C,RAW_File!M:M)</f>
        <v>10000</v>
      </c>
      <c r="I993" s="40">
        <f t="shared" si="17"/>
        <v>10000</v>
      </c>
    </row>
    <row r="994" spans="1:9" hidden="1" x14ac:dyDescent="0.25">
      <c r="A994" s="36" t="s">
        <v>76</v>
      </c>
      <c r="B994" s="36" t="s">
        <v>374</v>
      </c>
      <c r="C994" s="36" t="s">
        <v>375</v>
      </c>
      <c r="D994" s="37">
        <f>SUMIF(RAW_File!D:D,C:C,RAW_File!F:F)</f>
        <v>454.43349999999998</v>
      </c>
      <c r="E994" s="38">
        <f>SUMIF(RAW_File!D:D,C:C,RAW_File!G:G)</f>
        <v>16080</v>
      </c>
      <c r="F994" s="39">
        <f>SUMIF(RAW_File!D:D,C:C,RAW_File!I:I)</f>
        <v>22870</v>
      </c>
      <c r="G994" s="40">
        <f>SUMIF(RAW_File!D:D,C:C,RAW_File!K:K)</f>
        <v>5000</v>
      </c>
      <c r="H994" s="41">
        <f>SUMIF(RAW_File!D:D,C:C,RAW_File!M:M)</f>
        <v>0</v>
      </c>
      <c r="I994" s="40">
        <f t="shared" si="17"/>
        <v>5000</v>
      </c>
    </row>
    <row r="995" spans="1:9" hidden="1" x14ac:dyDescent="0.25">
      <c r="A995" s="36" t="s">
        <v>76</v>
      </c>
      <c r="B995" s="36" t="s">
        <v>519</v>
      </c>
      <c r="C995" s="36" t="s">
        <v>520</v>
      </c>
      <c r="D995" s="37">
        <f>SUMIF(RAW_File!D:D,C:C,RAW_File!F:F)</f>
        <v>1487.8691616824569</v>
      </c>
      <c r="E995" s="38">
        <f>SUMIF(RAW_File!D:D,C:C,RAW_File!G:G)</f>
        <v>2030</v>
      </c>
      <c r="F995" s="39">
        <f>SUMIF(RAW_File!D:D,C:C,RAW_File!I:I)</f>
        <v>2030</v>
      </c>
      <c r="G995" s="40">
        <f>SUMIF(RAW_File!D:D,C:C,RAW_File!K:K)</f>
        <v>0</v>
      </c>
      <c r="H995" s="41">
        <f>SUMIF(RAW_File!D:D,C:C,RAW_File!M:M)</f>
        <v>0</v>
      </c>
      <c r="I995" s="40">
        <f t="shared" si="17"/>
        <v>0</v>
      </c>
    </row>
    <row r="996" spans="1:9" hidden="1" x14ac:dyDescent="0.25">
      <c r="A996" s="36" t="s">
        <v>76</v>
      </c>
      <c r="B996" s="36" t="s">
        <v>521</v>
      </c>
      <c r="C996" s="36" t="s">
        <v>522</v>
      </c>
      <c r="D996" s="37">
        <f>SUMIF(RAW_File!D:D,C:C,RAW_File!F:F)</f>
        <v>12.9058011870736</v>
      </c>
      <c r="E996" s="38">
        <f>SUMIF(RAW_File!D:D,C:C,RAW_File!G:G)</f>
        <v>0</v>
      </c>
      <c r="F996" s="39">
        <f>SUMIF(RAW_File!D:D,C:C,RAW_File!I:I)</f>
        <v>0</v>
      </c>
      <c r="G996" s="40">
        <f>SUMIF(RAW_File!D:D,C:C,RAW_File!K:K)</f>
        <v>0</v>
      </c>
      <c r="H996" s="41">
        <f>SUMIF(RAW_File!D:D,C:C,RAW_File!M:M)</f>
        <v>0</v>
      </c>
      <c r="I996" s="40">
        <f t="shared" si="17"/>
        <v>0</v>
      </c>
    </row>
    <row r="997" spans="1:9" hidden="1" x14ac:dyDescent="0.25">
      <c r="A997" s="36" t="s">
        <v>76</v>
      </c>
      <c r="B997" s="36" t="s">
        <v>578</v>
      </c>
      <c r="C997" s="36" t="s">
        <v>579</v>
      </c>
      <c r="D997" s="37">
        <f>SUMIF(RAW_File!D:D,C:C,RAW_File!F:F)</f>
        <v>31304.900004347801</v>
      </c>
      <c r="E997" s="38">
        <f>SUMIF(RAW_File!D:D,C:C,RAW_File!G:G)</f>
        <v>5620</v>
      </c>
      <c r="F997" s="39">
        <f>SUMIF(RAW_File!D:D,C:C,RAW_File!I:I)</f>
        <v>5620</v>
      </c>
      <c r="G997" s="40">
        <f>SUMIF(RAW_File!D:D,C:C,RAW_File!K:K)</f>
        <v>5000</v>
      </c>
      <c r="H997" s="41">
        <f>SUMIF(RAW_File!D:D,C:C,RAW_File!M:M)</f>
        <v>0</v>
      </c>
      <c r="I997" s="40">
        <f t="shared" si="17"/>
        <v>5000</v>
      </c>
    </row>
    <row r="998" spans="1:9" hidden="1" x14ac:dyDescent="0.25">
      <c r="A998" s="36" t="s">
        <v>76</v>
      </c>
      <c r="B998" s="36" t="s">
        <v>638</v>
      </c>
      <c r="C998" s="36" t="s">
        <v>639</v>
      </c>
      <c r="D998" s="37">
        <f>SUMIF(RAW_File!D:D,C:C,RAW_File!F:F)</f>
        <v>0.60699932734445494</v>
      </c>
      <c r="E998" s="38">
        <f>SUMIF(RAW_File!D:D,C:C,RAW_File!G:G)</f>
        <v>0</v>
      </c>
      <c r="F998" s="39">
        <f>SUMIF(RAW_File!D:D,C:C,RAW_File!I:I)</f>
        <v>0</v>
      </c>
      <c r="G998" s="40">
        <f>SUMIF(RAW_File!D:D,C:C,RAW_File!K:K)</f>
        <v>0</v>
      </c>
      <c r="H998" s="41">
        <f>SUMIF(RAW_File!D:D,C:C,RAW_File!M:M)</f>
        <v>0</v>
      </c>
      <c r="I998" s="40">
        <f t="shared" si="17"/>
        <v>0</v>
      </c>
    </row>
    <row r="999" spans="1:9" hidden="1" x14ac:dyDescent="0.25">
      <c r="A999" s="36" t="s">
        <v>76</v>
      </c>
      <c r="B999" s="36" t="s">
        <v>767</v>
      </c>
      <c r="C999" s="36" t="s">
        <v>768</v>
      </c>
      <c r="D999" s="37">
        <f>SUMIF(RAW_File!D:D,C:C,RAW_File!F:F)</f>
        <v>13470.373100000001</v>
      </c>
      <c r="E999" s="38">
        <f>SUMIF(RAW_File!D:D,C:C,RAW_File!G:G)</f>
        <v>300</v>
      </c>
      <c r="F999" s="39">
        <f>SUMIF(RAW_File!D:D,C:C,RAW_File!I:I)</f>
        <v>300</v>
      </c>
      <c r="G999" s="40">
        <f>SUMIF(RAW_File!D:D,C:C,RAW_File!K:K)</f>
        <v>5000</v>
      </c>
      <c r="H999" s="41">
        <f>SUMIF(RAW_File!D:D,C:C,RAW_File!M:M)</f>
        <v>10000</v>
      </c>
      <c r="I999" s="40">
        <f t="shared" si="17"/>
        <v>5000</v>
      </c>
    </row>
    <row r="1000" spans="1:9" hidden="1" x14ac:dyDescent="0.25">
      <c r="A1000" s="36" t="s">
        <v>76</v>
      </c>
      <c r="B1000" s="36" t="s">
        <v>820</v>
      </c>
      <c r="C1000" s="36" t="s">
        <v>821</v>
      </c>
      <c r="D1000" s="37">
        <f>SUMIF(RAW_File!D:D,C:C,RAW_File!F:F)</f>
        <v>12867.03827726596</v>
      </c>
      <c r="E1000" s="38">
        <f>SUMIF(RAW_File!D:D,C:C,RAW_File!G:G)</f>
        <v>500</v>
      </c>
      <c r="F1000" s="39">
        <f>SUMIF(RAW_File!D:D,C:C,RAW_File!I:I)</f>
        <v>2450</v>
      </c>
      <c r="G1000" s="40">
        <f>SUMIF(RAW_File!D:D,C:C,RAW_File!K:K)</f>
        <v>6000</v>
      </c>
      <c r="H1000" s="41">
        <f>SUMIF(RAW_File!D:D,C:C,RAW_File!M:M)</f>
        <v>0</v>
      </c>
      <c r="I1000" s="40">
        <f t="shared" si="17"/>
        <v>6000</v>
      </c>
    </row>
    <row r="1001" spans="1:9" hidden="1" x14ac:dyDescent="0.25">
      <c r="A1001" s="36" t="s">
        <v>76</v>
      </c>
      <c r="B1001" s="36" t="s">
        <v>939</v>
      </c>
      <c r="C1001" s="36" t="s">
        <v>940</v>
      </c>
      <c r="D1001" s="37">
        <f>SUMIF(RAW_File!D:D,C:C,RAW_File!F:F)</f>
        <v>11577.744356849311</v>
      </c>
      <c r="E1001" s="38">
        <f>SUMIF(RAW_File!D:D,C:C,RAW_File!G:G)</f>
        <v>5020</v>
      </c>
      <c r="F1001" s="39">
        <f>SUMIF(RAW_File!D:D,C:C,RAW_File!I:I)</f>
        <v>14710</v>
      </c>
      <c r="G1001" s="40">
        <f>SUMIF(RAW_File!D:D,C:C,RAW_File!K:K)</f>
        <v>5000</v>
      </c>
      <c r="H1001" s="41">
        <f>SUMIF(RAW_File!D:D,C:C,RAW_File!M:M)</f>
        <v>0</v>
      </c>
      <c r="I1001" s="40">
        <f t="shared" si="17"/>
        <v>5000</v>
      </c>
    </row>
    <row r="1002" spans="1:9" hidden="1" x14ac:dyDescent="0.25">
      <c r="A1002" s="36" t="s">
        <v>76</v>
      </c>
      <c r="B1002" s="36" t="s">
        <v>1043</v>
      </c>
      <c r="C1002" s="36" t="s">
        <v>1044</v>
      </c>
      <c r="D1002" s="37">
        <f>SUMIF(RAW_File!D:D,C:C,RAW_File!F:F)</f>
        <v>1063.3810550000001</v>
      </c>
      <c r="E1002" s="38">
        <f>SUMIF(RAW_File!D:D,C:C,RAW_File!G:G)</f>
        <v>760</v>
      </c>
      <c r="F1002" s="39">
        <f>SUMIF(RAW_File!D:D,C:C,RAW_File!I:I)</f>
        <v>760</v>
      </c>
      <c r="G1002" s="40">
        <f>SUMIF(RAW_File!D:D,C:C,RAW_File!K:K)</f>
        <v>0</v>
      </c>
      <c r="H1002" s="41">
        <f>SUMIF(RAW_File!D:D,C:C,RAW_File!M:M)</f>
        <v>18000</v>
      </c>
      <c r="I1002" s="40">
        <f t="shared" si="17"/>
        <v>18000</v>
      </c>
    </row>
    <row r="1003" spans="1:9" hidden="1" x14ac:dyDescent="0.25">
      <c r="A1003" s="36" t="s">
        <v>76</v>
      </c>
      <c r="B1003" s="36" t="s">
        <v>1201</v>
      </c>
      <c r="C1003" s="36" t="s">
        <v>1202</v>
      </c>
      <c r="D1003" s="37">
        <f>SUMIF(RAW_File!D:D,C:C,RAW_File!F:F)</f>
        <v>6057.1955399999997</v>
      </c>
      <c r="E1003" s="38">
        <f>SUMIF(RAW_File!D:D,C:C,RAW_File!G:G)</f>
        <v>1000</v>
      </c>
      <c r="F1003" s="39">
        <f>SUMIF(RAW_File!D:D,C:C,RAW_File!I:I)</f>
        <v>1000</v>
      </c>
      <c r="G1003" s="40">
        <f>SUMIF(RAW_File!D:D,C:C,RAW_File!K:K)</f>
        <v>0</v>
      </c>
      <c r="H1003" s="41">
        <f>SUMIF(RAW_File!D:D,C:C,RAW_File!M:M)</f>
        <v>0</v>
      </c>
      <c r="I1003" s="40">
        <f t="shared" si="17"/>
        <v>0</v>
      </c>
    </row>
    <row r="1004" spans="1:9" hidden="1" x14ac:dyDescent="0.25">
      <c r="A1004" s="36" t="s">
        <v>76</v>
      </c>
      <c r="B1004" s="36" t="s">
        <v>1233</v>
      </c>
      <c r="C1004" s="36" t="s">
        <v>1234</v>
      </c>
      <c r="D1004" s="37">
        <f>SUMIF(RAW_File!D:D,C:C,RAW_File!F:F)</f>
        <v>2741.0107473274952</v>
      </c>
      <c r="E1004" s="38">
        <f>SUMIF(RAW_File!D:D,C:C,RAW_File!G:G)</f>
        <v>0</v>
      </c>
      <c r="F1004" s="39">
        <f>SUMIF(RAW_File!D:D,C:C,RAW_File!I:I)</f>
        <v>4975</v>
      </c>
      <c r="G1004" s="40">
        <f>SUMIF(RAW_File!D:D,C:C,RAW_File!K:K)</f>
        <v>5000</v>
      </c>
      <c r="H1004" s="41">
        <f>SUMIF(RAW_File!D:D,C:C,RAW_File!M:M)</f>
        <v>10000</v>
      </c>
      <c r="I1004" s="40">
        <f t="shared" si="17"/>
        <v>5000</v>
      </c>
    </row>
    <row r="1005" spans="1:9" hidden="1" x14ac:dyDescent="0.25">
      <c r="A1005" s="36" t="s">
        <v>76</v>
      </c>
      <c r="B1005" s="36" t="s">
        <v>1261</v>
      </c>
      <c r="C1005" s="36" t="s">
        <v>1262</v>
      </c>
      <c r="D1005" s="37">
        <f>SUMIF(RAW_File!D:D,C:C,RAW_File!F:F)</f>
        <v>13911.608876325579</v>
      </c>
      <c r="E1005" s="38">
        <f>SUMIF(RAW_File!D:D,C:C,RAW_File!G:G)</f>
        <v>8250</v>
      </c>
      <c r="F1005" s="39">
        <f>SUMIF(RAW_File!D:D,C:C,RAW_File!I:I)</f>
        <v>24150</v>
      </c>
      <c r="G1005" s="40">
        <f>SUMIF(RAW_File!D:D,C:C,RAW_File!K:K)</f>
        <v>5000</v>
      </c>
      <c r="H1005" s="41">
        <f>SUMIF(RAW_File!D:D,C:C,RAW_File!M:M)</f>
        <v>0</v>
      </c>
      <c r="I1005" s="40">
        <f t="shared" si="17"/>
        <v>5000</v>
      </c>
    </row>
    <row r="1006" spans="1:9" hidden="1" x14ac:dyDescent="0.25">
      <c r="A1006" s="36" t="s">
        <v>76</v>
      </c>
      <c r="B1006" s="36" t="s">
        <v>1289</v>
      </c>
      <c r="C1006" s="36" t="s">
        <v>1290</v>
      </c>
      <c r="D1006" s="37">
        <f>SUMIF(RAW_File!D:D,C:C,RAW_File!F:F)</f>
        <v>2593.7610067001801</v>
      </c>
      <c r="E1006" s="38">
        <f>SUMIF(RAW_File!D:D,C:C,RAW_File!G:G)</f>
        <v>4000</v>
      </c>
      <c r="F1006" s="39">
        <f>SUMIF(RAW_File!D:D,C:C,RAW_File!I:I)</f>
        <v>8450</v>
      </c>
      <c r="G1006" s="40">
        <f>SUMIF(RAW_File!D:D,C:C,RAW_File!K:K)</f>
        <v>0</v>
      </c>
      <c r="H1006" s="41">
        <f>SUMIF(RAW_File!D:D,C:C,RAW_File!M:M)</f>
        <v>5000</v>
      </c>
      <c r="I1006" s="40">
        <f t="shared" si="17"/>
        <v>5000</v>
      </c>
    </row>
    <row r="1007" spans="1:9" hidden="1" x14ac:dyDescent="0.25">
      <c r="A1007" s="36" t="s">
        <v>76</v>
      </c>
      <c r="B1007" s="36" t="s">
        <v>1377</v>
      </c>
      <c r="C1007" s="36" t="s">
        <v>1378</v>
      </c>
      <c r="D1007" s="37">
        <f>SUMIF(RAW_File!D:D,C:C,RAW_File!F:F)</f>
        <v>33716.457999999999</v>
      </c>
      <c r="E1007" s="38">
        <f>SUMIF(RAW_File!D:D,C:C,RAW_File!G:G)</f>
        <v>3200</v>
      </c>
      <c r="F1007" s="39">
        <f>SUMIF(RAW_File!D:D,C:C,RAW_File!I:I)</f>
        <v>11006</v>
      </c>
      <c r="G1007" s="40">
        <f>SUMIF(RAW_File!D:D,C:C,RAW_File!K:K)</f>
        <v>5000</v>
      </c>
      <c r="H1007" s="41">
        <f>SUMIF(RAW_File!D:D,C:C,RAW_File!M:M)</f>
        <v>12000</v>
      </c>
      <c r="I1007" s="40">
        <f t="shared" si="17"/>
        <v>7000</v>
      </c>
    </row>
    <row r="1008" spans="1:9" hidden="1" x14ac:dyDescent="0.25">
      <c r="A1008" s="36" t="s">
        <v>76</v>
      </c>
      <c r="B1008" s="36" t="s">
        <v>1423</v>
      </c>
      <c r="C1008" s="36" t="s">
        <v>1424</v>
      </c>
      <c r="D1008" s="37">
        <f>SUMIF(RAW_File!D:D,C:C,RAW_File!F:F)</f>
        <v>39512.221553138457</v>
      </c>
      <c r="E1008" s="38">
        <f>SUMIF(RAW_File!D:D,C:C,RAW_File!G:G)</f>
        <v>1410</v>
      </c>
      <c r="F1008" s="39">
        <f>SUMIF(RAW_File!D:D,C:C,RAW_File!I:I)</f>
        <v>17460</v>
      </c>
      <c r="G1008" s="40">
        <f>SUMIF(RAW_File!D:D,C:C,RAW_File!K:K)</f>
        <v>0</v>
      </c>
      <c r="H1008" s="41">
        <f>SUMIF(RAW_File!D:D,C:C,RAW_File!M:M)</f>
        <v>40000</v>
      </c>
      <c r="I1008" s="40">
        <f t="shared" si="17"/>
        <v>40000</v>
      </c>
    </row>
    <row r="1009" spans="1:9" hidden="1" x14ac:dyDescent="0.25">
      <c r="A1009" s="36" t="s">
        <v>76</v>
      </c>
      <c r="B1009" s="36" t="s">
        <v>1428</v>
      </c>
      <c r="C1009" s="36" t="s">
        <v>1429</v>
      </c>
      <c r="D1009" s="37">
        <f>SUMIF(RAW_File!D:D,C:C,RAW_File!F:F)</f>
        <v>6670.5446000000002</v>
      </c>
      <c r="E1009" s="38">
        <f>SUMIF(RAW_File!D:D,C:C,RAW_File!G:G)</f>
        <v>0</v>
      </c>
      <c r="F1009" s="39">
        <f>SUMIF(RAW_File!D:D,C:C,RAW_File!I:I)</f>
        <v>0</v>
      </c>
      <c r="G1009" s="40">
        <f>SUMIF(RAW_File!D:D,C:C,RAW_File!K:K)</f>
        <v>0</v>
      </c>
      <c r="H1009" s="41">
        <f>SUMIF(RAW_File!D:D,C:C,RAW_File!M:M)</f>
        <v>5000</v>
      </c>
      <c r="I1009" s="40">
        <f t="shared" si="17"/>
        <v>5000</v>
      </c>
    </row>
    <row r="1010" spans="1:9" hidden="1" x14ac:dyDescent="0.25">
      <c r="A1010" s="36" t="s">
        <v>76</v>
      </c>
      <c r="B1010" s="36" t="s">
        <v>1434</v>
      </c>
      <c r="C1010" s="36" t="s">
        <v>1435</v>
      </c>
      <c r="D1010" s="37">
        <f>SUMIF(RAW_File!D:D,C:C,RAW_File!F:F)</f>
        <v>3629.2114059999999</v>
      </c>
      <c r="E1010" s="38">
        <f>SUMIF(RAW_File!D:D,C:C,RAW_File!G:G)</f>
        <v>6250</v>
      </c>
      <c r="F1010" s="39">
        <f>SUMIF(RAW_File!D:D,C:C,RAW_File!I:I)</f>
        <v>7050</v>
      </c>
      <c r="G1010" s="40">
        <f>SUMIF(RAW_File!D:D,C:C,RAW_File!K:K)</f>
        <v>5000</v>
      </c>
      <c r="H1010" s="41">
        <f>SUMIF(RAW_File!D:D,C:C,RAW_File!M:M)</f>
        <v>12000</v>
      </c>
      <c r="I1010" s="40">
        <f t="shared" si="17"/>
        <v>7000</v>
      </c>
    </row>
    <row r="1011" spans="1:9" hidden="1" x14ac:dyDescent="0.25">
      <c r="A1011" s="36" t="s">
        <v>76</v>
      </c>
      <c r="B1011" s="36" t="s">
        <v>1478</v>
      </c>
      <c r="C1011" s="36" t="s">
        <v>1479</v>
      </c>
      <c r="D1011" s="37">
        <f>SUMIF(RAW_File!D:D,C:C,RAW_File!F:F)</f>
        <v>14851.117200000001</v>
      </c>
      <c r="E1011" s="38">
        <f>SUMIF(RAW_File!D:D,C:C,RAW_File!G:G)</f>
        <v>0</v>
      </c>
      <c r="F1011" s="39">
        <f>SUMIF(RAW_File!D:D,C:C,RAW_File!I:I)</f>
        <v>6150</v>
      </c>
      <c r="G1011" s="40">
        <f>SUMIF(RAW_File!D:D,C:C,RAW_File!K:K)</f>
        <v>0</v>
      </c>
      <c r="H1011" s="41">
        <f>SUMIF(RAW_File!D:D,C:C,RAW_File!M:M)</f>
        <v>5000</v>
      </c>
      <c r="I1011" s="40">
        <f t="shared" si="17"/>
        <v>5000</v>
      </c>
    </row>
    <row r="1012" spans="1:9" hidden="1" x14ac:dyDescent="0.25">
      <c r="A1012" s="36" t="s">
        <v>76</v>
      </c>
      <c r="B1012" s="36" t="s">
        <v>1595</v>
      </c>
      <c r="C1012" s="36" t="s">
        <v>1596</v>
      </c>
      <c r="D1012" s="37">
        <f>SUMIF(RAW_File!D:D,C:C,RAW_File!F:F)</f>
        <v>14066.619478085961</v>
      </c>
      <c r="E1012" s="38">
        <f>SUMIF(RAW_File!D:D,C:C,RAW_File!G:G)</f>
        <v>1450</v>
      </c>
      <c r="F1012" s="39">
        <f>SUMIF(RAW_File!D:D,C:C,RAW_File!I:I)</f>
        <v>30030</v>
      </c>
      <c r="G1012" s="40">
        <f>SUMIF(RAW_File!D:D,C:C,RAW_File!K:K)</f>
        <v>5000</v>
      </c>
      <c r="H1012" s="41">
        <f>SUMIF(RAW_File!D:D,C:C,RAW_File!M:M)</f>
        <v>20000</v>
      </c>
      <c r="I1012" s="40">
        <f t="shared" si="17"/>
        <v>15000</v>
      </c>
    </row>
    <row r="1013" spans="1:9" hidden="1" x14ac:dyDescent="0.25">
      <c r="A1013" s="36" t="s">
        <v>76</v>
      </c>
      <c r="B1013" s="36" t="s">
        <v>1648</v>
      </c>
      <c r="C1013" s="36" t="s">
        <v>1649</v>
      </c>
      <c r="D1013" s="37">
        <f>SUMIF(RAW_File!D:D,C:C,RAW_File!F:F)</f>
        <v>8856.4749023385975</v>
      </c>
      <c r="E1013" s="38">
        <f>SUMIF(RAW_File!D:D,C:C,RAW_File!G:G)</f>
        <v>4575</v>
      </c>
      <c r="F1013" s="39">
        <f>SUMIF(RAW_File!D:D,C:C,RAW_File!I:I)</f>
        <v>21235</v>
      </c>
      <c r="G1013" s="40">
        <f>SUMIF(RAW_File!D:D,C:C,RAW_File!K:K)</f>
        <v>0</v>
      </c>
      <c r="H1013" s="41">
        <f>SUMIF(RAW_File!D:D,C:C,RAW_File!M:M)</f>
        <v>10000</v>
      </c>
      <c r="I1013" s="40">
        <f t="shared" si="17"/>
        <v>10000</v>
      </c>
    </row>
    <row r="1014" spans="1:9" hidden="1" x14ac:dyDescent="0.25">
      <c r="A1014" s="36" t="s">
        <v>76</v>
      </c>
      <c r="B1014" s="36" t="s">
        <v>1692</v>
      </c>
      <c r="C1014" s="36" t="s">
        <v>1693</v>
      </c>
      <c r="D1014" s="37">
        <f>SUMIF(RAW_File!D:D,C:C,RAW_File!F:F)</f>
        <v>3.6960500000000001</v>
      </c>
      <c r="E1014" s="38">
        <f>SUMIF(RAW_File!D:D,C:C,RAW_File!G:G)</f>
        <v>0</v>
      </c>
      <c r="F1014" s="39">
        <f>SUMIF(RAW_File!D:D,C:C,RAW_File!I:I)</f>
        <v>0</v>
      </c>
      <c r="G1014" s="40">
        <f>SUMIF(RAW_File!D:D,C:C,RAW_File!K:K)</f>
        <v>0</v>
      </c>
      <c r="H1014" s="41">
        <f>SUMIF(RAW_File!D:D,C:C,RAW_File!M:M)</f>
        <v>0</v>
      </c>
      <c r="I1014" s="40">
        <f t="shared" si="17"/>
        <v>0</v>
      </c>
    </row>
    <row r="1015" spans="1:9" hidden="1" x14ac:dyDescent="0.25">
      <c r="A1015" s="36" t="s">
        <v>76</v>
      </c>
      <c r="B1015" s="36" t="s">
        <v>1720</v>
      </c>
      <c r="C1015" s="36" t="s">
        <v>1721</v>
      </c>
      <c r="D1015" s="37">
        <f>SUMIF(RAW_File!D:D,C:C,RAW_File!F:F)</f>
        <v>18547.324700000001</v>
      </c>
      <c r="E1015" s="38">
        <f>SUMIF(RAW_File!D:D,C:C,RAW_File!G:G)</f>
        <v>1000</v>
      </c>
      <c r="F1015" s="39">
        <f>SUMIF(RAW_File!D:D,C:C,RAW_File!I:I)</f>
        <v>3730</v>
      </c>
      <c r="G1015" s="40">
        <f>SUMIF(RAW_File!D:D,C:C,RAW_File!K:K)</f>
        <v>5000</v>
      </c>
      <c r="H1015" s="41">
        <f>SUMIF(RAW_File!D:D,C:C,RAW_File!M:M)</f>
        <v>0</v>
      </c>
      <c r="I1015" s="40">
        <f t="shared" si="17"/>
        <v>5000</v>
      </c>
    </row>
    <row r="1016" spans="1:9" hidden="1" x14ac:dyDescent="0.25">
      <c r="A1016" s="36" t="s">
        <v>76</v>
      </c>
      <c r="B1016" s="36" t="s">
        <v>1766</v>
      </c>
      <c r="C1016" s="36" t="s">
        <v>1767</v>
      </c>
      <c r="D1016" s="37">
        <f>SUMIF(RAW_File!D:D,C:C,RAW_File!F:F)</f>
        <v>4600.4911000000002</v>
      </c>
      <c r="E1016" s="38">
        <f>SUMIF(RAW_File!D:D,C:C,RAW_File!G:G)</f>
        <v>450</v>
      </c>
      <c r="F1016" s="39">
        <f>SUMIF(RAW_File!D:D,C:C,RAW_File!I:I)</f>
        <v>450</v>
      </c>
      <c r="G1016" s="40">
        <f>SUMIF(RAW_File!D:D,C:C,RAW_File!K:K)</f>
        <v>5000</v>
      </c>
      <c r="H1016" s="41">
        <f>SUMIF(RAW_File!D:D,C:C,RAW_File!M:M)</f>
        <v>0</v>
      </c>
      <c r="I1016" s="40">
        <f t="shared" si="17"/>
        <v>5000</v>
      </c>
    </row>
    <row r="1017" spans="1:9" hidden="1" x14ac:dyDescent="0.25">
      <c r="A1017" s="36" t="s">
        <v>76</v>
      </c>
      <c r="B1017" s="36" t="s">
        <v>1905</v>
      </c>
      <c r="C1017" s="36" t="s">
        <v>1906</v>
      </c>
      <c r="D1017" s="37">
        <f>SUMIF(RAW_File!D:D,C:C,RAW_File!F:F)</f>
        <v>34877.599699999999</v>
      </c>
      <c r="E1017" s="38">
        <f>SUMIF(RAW_File!D:D,C:C,RAW_File!G:G)</f>
        <v>11800</v>
      </c>
      <c r="F1017" s="39">
        <f>SUMIF(RAW_File!D:D,C:C,RAW_File!I:I)</f>
        <v>20670</v>
      </c>
      <c r="G1017" s="40">
        <f>SUMIF(RAW_File!D:D,C:C,RAW_File!K:K)</f>
        <v>0</v>
      </c>
      <c r="H1017" s="41">
        <f>SUMIF(RAW_File!D:D,C:C,RAW_File!M:M)</f>
        <v>5000</v>
      </c>
      <c r="I1017" s="40">
        <f t="shared" si="17"/>
        <v>5000</v>
      </c>
    </row>
    <row r="1018" spans="1:9" hidden="1" x14ac:dyDescent="0.25">
      <c r="A1018" s="36" t="s">
        <v>76</v>
      </c>
      <c r="B1018" s="36" t="s">
        <v>2077</v>
      </c>
      <c r="C1018" s="36" t="s">
        <v>2078</v>
      </c>
      <c r="D1018" s="37">
        <f>SUMIF(RAW_File!D:D,C:C,RAW_File!F:F)</f>
        <v>2223.3268000042999</v>
      </c>
      <c r="E1018" s="38">
        <f>SUMIF(RAW_File!D:D,C:C,RAW_File!G:G)</f>
        <v>7805</v>
      </c>
      <c r="F1018" s="39">
        <f>SUMIF(RAW_File!D:D,C:C,RAW_File!I:I)</f>
        <v>11085</v>
      </c>
      <c r="G1018" s="40">
        <f>SUMIF(RAW_File!D:D,C:C,RAW_File!K:K)</f>
        <v>5000</v>
      </c>
      <c r="H1018" s="41">
        <f>SUMIF(RAW_File!D:D,C:C,RAW_File!M:M)</f>
        <v>0</v>
      </c>
      <c r="I1018" s="40">
        <f t="shared" si="17"/>
        <v>5000</v>
      </c>
    </row>
    <row r="1019" spans="1:9" hidden="1" x14ac:dyDescent="0.25">
      <c r="A1019" s="36" t="s">
        <v>76</v>
      </c>
      <c r="B1019" s="36" t="s">
        <v>2205</v>
      </c>
      <c r="C1019" s="36" t="s">
        <v>2206</v>
      </c>
      <c r="D1019" s="37">
        <f>SUMIF(RAW_File!D:D,C:C,RAW_File!F:F)</f>
        <v>18939.072050999999</v>
      </c>
      <c r="E1019" s="38">
        <f>SUMIF(RAW_File!D:D,C:C,RAW_File!G:G)</f>
        <v>250</v>
      </c>
      <c r="F1019" s="39">
        <f>SUMIF(RAW_File!D:D,C:C,RAW_File!I:I)</f>
        <v>3450</v>
      </c>
      <c r="G1019" s="40">
        <f>SUMIF(RAW_File!D:D,C:C,RAW_File!K:K)</f>
        <v>0</v>
      </c>
      <c r="H1019" s="41">
        <f>SUMIF(RAW_File!D:D,C:C,RAW_File!M:M)</f>
        <v>25000</v>
      </c>
      <c r="I1019" s="40">
        <f t="shared" si="17"/>
        <v>25000</v>
      </c>
    </row>
    <row r="1020" spans="1:9" hidden="1" x14ac:dyDescent="0.25">
      <c r="A1020" s="36" t="s">
        <v>76</v>
      </c>
      <c r="B1020" s="36" t="s">
        <v>2252</v>
      </c>
      <c r="C1020" s="36" t="s">
        <v>2253</v>
      </c>
      <c r="D1020" s="37">
        <f>SUMIF(RAW_File!D:D,C:C,RAW_File!F:F)</f>
        <v>30226.582542515749</v>
      </c>
      <c r="E1020" s="38">
        <f>SUMIF(RAW_File!D:D,C:C,RAW_File!G:G)</f>
        <v>95440</v>
      </c>
      <c r="F1020" s="39">
        <f>SUMIF(RAW_File!D:D,C:C,RAW_File!I:I)</f>
        <v>154840</v>
      </c>
      <c r="G1020" s="40">
        <f>SUMIF(RAW_File!D:D,C:C,RAW_File!K:K)</f>
        <v>65000</v>
      </c>
      <c r="H1020" s="41">
        <f>SUMIF(RAW_File!D:D,C:C,RAW_File!M:M)</f>
        <v>0</v>
      </c>
      <c r="I1020" s="40">
        <f t="shared" si="17"/>
        <v>65000</v>
      </c>
    </row>
    <row r="1021" spans="1:9" hidden="1" x14ac:dyDescent="0.25">
      <c r="A1021" s="36" t="s">
        <v>76</v>
      </c>
      <c r="B1021" s="36" t="s">
        <v>2381</v>
      </c>
      <c r="C1021" s="36" t="s">
        <v>2382</v>
      </c>
      <c r="D1021" s="37">
        <f>SUMIF(RAW_File!D:D,C:C,RAW_File!F:F)</f>
        <v>25669.317261137068</v>
      </c>
      <c r="E1021" s="38">
        <f>SUMIF(RAW_File!D:D,C:C,RAW_File!G:G)</f>
        <v>3600</v>
      </c>
      <c r="F1021" s="39">
        <f>SUMIF(RAW_File!D:D,C:C,RAW_File!I:I)</f>
        <v>8300</v>
      </c>
      <c r="G1021" s="40">
        <f>SUMIF(RAW_File!D:D,C:C,RAW_File!K:K)</f>
        <v>6000</v>
      </c>
      <c r="H1021" s="41">
        <f>SUMIF(RAW_File!D:D,C:C,RAW_File!M:M)</f>
        <v>0</v>
      </c>
      <c r="I1021" s="40">
        <f t="shared" si="17"/>
        <v>6000</v>
      </c>
    </row>
    <row r="1022" spans="1:9" hidden="1" x14ac:dyDescent="0.25">
      <c r="A1022" s="36" t="s">
        <v>76</v>
      </c>
      <c r="B1022" s="36" t="s">
        <v>2390</v>
      </c>
      <c r="C1022" s="36" t="s">
        <v>2391</v>
      </c>
      <c r="D1022" s="37">
        <f>SUMIF(RAW_File!D:D,C:C,RAW_File!F:F)</f>
        <v>33492.001235173077</v>
      </c>
      <c r="E1022" s="38">
        <f>SUMIF(RAW_File!D:D,C:C,RAW_File!G:G)</f>
        <v>80465</v>
      </c>
      <c r="F1022" s="39">
        <f>SUMIF(RAW_File!D:D,C:C,RAW_File!I:I)</f>
        <v>141380</v>
      </c>
      <c r="G1022" s="40">
        <f>SUMIF(RAW_File!D:D,C:C,RAW_File!K:K)</f>
        <v>50000</v>
      </c>
      <c r="H1022" s="41">
        <f>SUMIF(RAW_File!D:D,C:C,RAW_File!M:M)</f>
        <v>40000</v>
      </c>
      <c r="I1022" s="40">
        <f t="shared" si="17"/>
        <v>10000</v>
      </c>
    </row>
    <row r="1023" spans="1:9" hidden="1" x14ac:dyDescent="0.25">
      <c r="A1023" s="36" t="s">
        <v>76</v>
      </c>
      <c r="B1023" s="36" t="s">
        <v>2409</v>
      </c>
      <c r="C1023" s="36" t="s">
        <v>2410</v>
      </c>
      <c r="D1023" s="37">
        <f>SUMIF(RAW_File!D:D,C:C,RAW_File!F:F)</f>
        <v>9027.3646724366972</v>
      </c>
      <c r="E1023" s="38">
        <f>SUMIF(RAW_File!D:D,C:C,RAW_File!G:G)</f>
        <v>13350</v>
      </c>
      <c r="F1023" s="39">
        <f>SUMIF(RAW_File!D:D,C:C,RAW_File!I:I)</f>
        <v>44440</v>
      </c>
      <c r="G1023" s="40">
        <f>SUMIF(RAW_File!D:D,C:C,RAW_File!K:K)</f>
        <v>0</v>
      </c>
      <c r="H1023" s="41">
        <f>SUMIF(RAW_File!D:D,C:C,RAW_File!M:M)</f>
        <v>30000</v>
      </c>
      <c r="I1023" s="40">
        <f t="shared" si="17"/>
        <v>30000</v>
      </c>
    </row>
    <row r="1024" spans="1:9" hidden="1" x14ac:dyDescent="0.25">
      <c r="A1024" s="36" t="s">
        <v>76</v>
      </c>
      <c r="B1024" s="36" t="s">
        <v>2447</v>
      </c>
      <c r="C1024" s="36" t="s">
        <v>2448</v>
      </c>
      <c r="D1024" s="37">
        <f>SUMIF(RAW_File!D:D,C:C,RAW_File!F:F)</f>
        <v>6643.1388999999999</v>
      </c>
      <c r="E1024" s="38">
        <f>SUMIF(RAW_File!D:D,C:C,RAW_File!G:G)</f>
        <v>2235</v>
      </c>
      <c r="F1024" s="39">
        <f>SUMIF(RAW_File!D:D,C:C,RAW_File!I:I)</f>
        <v>2705</v>
      </c>
      <c r="G1024" s="40">
        <f>SUMIF(RAW_File!D:D,C:C,RAW_File!K:K)</f>
        <v>6000</v>
      </c>
      <c r="H1024" s="41">
        <f>SUMIF(RAW_File!D:D,C:C,RAW_File!M:M)</f>
        <v>0</v>
      </c>
      <c r="I1024" s="40">
        <f t="shared" si="17"/>
        <v>6000</v>
      </c>
    </row>
    <row r="1025" spans="1:9" hidden="1" x14ac:dyDescent="0.25">
      <c r="A1025" s="36" t="s">
        <v>76</v>
      </c>
      <c r="B1025" s="36" t="s">
        <v>2449</v>
      </c>
      <c r="C1025" s="36" t="s">
        <v>2450</v>
      </c>
      <c r="D1025" s="37">
        <f>SUMIF(RAW_File!D:D,C:C,RAW_File!F:F)</f>
        <v>157.87570500000001</v>
      </c>
      <c r="E1025" s="38">
        <f>SUMIF(RAW_File!D:D,C:C,RAW_File!G:G)</f>
        <v>50</v>
      </c>
      <c r="F1025" s="39">
        <f>SUMIF(RAW_File!D:D,C:C,RAW_File!I:I)</f>
        <v>200</v>
      </c>
      <c r="G1025" s="40">
        <f>SUMIF(RAW_File!D:D,C:C,RAW_File!K:K)</f>
        <v>0</v>
      </c>
      <c r="H1025" s="41">
        <f>SUMIF(RAW_File!D:D,C:C,RAW_File!M:M)</f>
        <v>0</v>
      </c>
      <c r="I1025" s="40">
        <f t="shared" si="17"/>
        <v>0</v>
      </c>
    </row>
    <row r="1026" spans="1:9" hidden="1" x14ac:dyDescent="0.25">
      <c r="A1026" s="36" t="s">
        <v>76</v>
      </c>
      <c r="B1026" s="36" t="s">
        <v>2525</v>
      </c>
      <c r="C1026" s="36" t="s">
        <v>2526</v>
      </c>
      <c r="D1026" s="37">
        <f>SUMIF(RAW_File!D:D,C:C,RAW_File!F:F)</f>
        <v>11109.2618</v>
      </c>
      <c r="E1026" s="38">
        <f>SUMIF(RAW_File!D:D,C:C,RAW_File!G:G)</f>
        <v>3300</v>
      </c>
      <c r="F1026" s="39">
        <f>SUMIF(RAW_File!D:D,C:C,RAW_File!I:I)</f>
        <v>3300</v>
      </c>
      <c r="G1026" s="40">
        <f>SUMIF(RAW_File!D:D,C:C,RAW_File!K:K)</f>
        <v>5000</v>
      </c>
      <c r="H1026" s="41">
        <f>SUMIF(RAW_File!D:D,C:C,RAW_File!M:M)</f>
        <v>0</v>
      </c>
      <c r="I1026" s="40">
        <f t="shared" si="17"/>
        <v>5000</v>
      </c>
    </row>
    <row r="1027" spans="1:9" hidden="1" x14ac:dyDescent="0.25">
      <c r="A1027" s="36" t="s">
        <v>76</v>
      </c>
      <c r="B1027" s="36" t="s">
        <v>2539</v>
      </c>
      <c r="C1027" s="36" t="s">
        <v>2540</v>
      </c>
      <c r="D1027" s="37">
        <f>SUMIF(RAW_File!D:D,C:C,RAW_File!F:F)</f>
        <v>840.65464999999995</v>
      </c>
      <c r="E1027" s="38">
        <f>SUMIF(RAW_File!D:D,C:C,RAW_File!G:G)</f>
        <v>3710</v>
      </c>
      <c r="F1027" s="39">
        <f>SUMIF(RAW_File!D:D,C:C,RAW_File!I:I)</f>
        <v>52540</v>
      </c>
      <c r="G1027" s="40">
        <f>SUMIF(RAW_File!D:D,C:C,RAW_File!K:K)</f>
        <v>5000</v>
      </c>
      <c r="H1027" s="41">
        <f>SUMIF(RAW_File!D:D,C:C,RAW_File!M:M)</f>
        <v>50000</v>
      </c>
      <c r="I1027" s="40">
        <f t="shared" ref="I1027:I1090" si="18">ABS(G1027-H1027)</f>
        <v>45000</v>
      </c>
    </row>
    <row r="1028" spans="1:9" hidden="1" x14ac:dyDescent="0.25">
      <c r="A1028" s="36" t="s">
        <v>76</v>
      </c>
      <c r="B1028" s="36" t="s">
        <v>2663</v>
      </c>
      <c r="C1028" s="36" t="s">
        <v>2664</v>
      </c>
      <c r="D1028" s="37">
        <f>SUMIF(RAW_File!D:D,C:C,RAW_File!F:F)</f>
        <v>5519.8597000005002</v>
      </c>
      <c r="E1028" s="38">
        <f>SUMIF(RAW_File!D:D,C:C,RAW_File!G:G)</f>
        <v>510</v>
      </c>
      <c r="F1028" s="39">
        <f>SUMIF(RAW_File!D:D,C:C,RAW_File!I:I)</f>
        <v>510</v>
      </c>
      <c r="G1028" s="40">
        <f>SUMIF(RAW_File!D:D,C:C,RAW_File!K:K)</f>
        <v>5000</v>
      </c>
      <c r="H1028" s="41">
        <f>SUMIF(RAW_File!D:D,C:C,RAW_File!M:M)</f>
        <v>0</v>
      </c>
      <c r="I1028" s="40">
        <f t="shared" si="18"/>
        <v>5000</v>
      </c>
    </row>
    <row r="1029" spans="1:9" hidden="1" x14ac:dyDescent="0.25">
      <c r="A1029" s="36" t="s">
        <v>76</v>
      </c>
      <c r="B1029" s="36" t="s">
        <v>2872</v>
      </c>
      <c r="C1029" s="36" t="s">
        <v>2873</v>
      </c>
      <c r="D1029" s="37">
        <f>SUMIF(RAW_File!D:D,C:C,RAW_File!F:F)</f>
        <v>6628.6966602377652</v>
      </c>
      <c r="E1029" s="38">
        <f>SUMIF(RAW_File!D:D,C:C,RAW_File!G:G)</f>
        <v>930</v>
      </c>
      <c r="F1029" s="39">
        <f>SUMIF(RAW_File!D:D,C:C,RAW_File!I:I)</f>
        <v>2480</v>
      </c>
      <c r="G1029" s="40">
        <f>SUMIF(RAW_File!D:D,C:C,RAW_File!K:K)</f>
        <v>5000</v>
      </c>
      <c r="H1029" s="41">
        <f>SUMIF(RAW_File!D:D,C:C,RAW_File!M:M)</f>
        <v>0</v>
      </c>
      <c r="I1029" s="40">
        <f t="shared" si="18"/>
        <v>5000</v>
      </c>
    </row>
    <row r="1030" spans="1:9" hidden="1" x14ac:dyDescent="0.25">
      <c r="A1030" s="36" t="s">
        <v>76</v>
      </c>
      <c r="B1030" s="36" t="s">
        <v>2880</v>
      </c>
      <c r="C1030" s="36" t="s">
        <v>2881</v>
      </c>
      <c r="D1030" s="37">
        <f>SUMIF(RAW_File!D:D,C:C,RAW_File!F:F)</f>
        <v>16779.326693211329</v>
      </c>
      <c r="E1030" s="38">
        <f>SUMIF(RAW_File!D:D,C:C,RAW_File!G:G)</f>
        <v>2520</v>
      </c>
      <c r="F1030" s="39">
        <f>SUMIF(RAW_File!D:D,C:C,RAW_File!I:I)</f>
        <v>52190</v>
      </c>
      <c r="G1030" s="40">
        <f>SUMIF(RAW_File!D:D,C:C,RAW_File!K:K)</f>
        <v>0</v>
      </c>
      <c r="H1030" s="41">
        <f>SUMIF(RAW_File!D:D,C:C,RAW_File!M:M)</f>
        <v>60000</v>
      </c>
      <c r="I1030" s="40">
        <f t="shared" si="18"/>
        <v>60000</v>
      </c>
    </row>
    <row r="1031" spans="1:9" hidden="1" x14ac:dyDescent="0.25">
      <c r="A1031" s="42" t="s">
        <v>76</v>
      </c>
      <c r="B1031" s="36" t="s">
        <v>2916</v>
      </c>
      <c r="C1031" s="36" t="s">
        <v>2917</v>
      </c>
      <c r="D1031" s="37">
        <f>SUMIF(RAW_File!D:D,C:C,RAW_File!F:F)</f>
        <v>3592.209717257279</v>
      </c>
      <c r="E1031" s="38">
        <f>SUMIF(RAW_File!D:D,C:C,RAW_File!G:G)</f>
        <v>1350</v>
      </c>
      <c r="F1031" s="39">
        <f>SUMIF(RAW_File!D:D,C:C,RAW_File!I:I)</f>
        <v>36800</v>
      </c>
      <c r="G1031" s="40">
        <f>SUMIF(RAW_File!D:D,C:C,RAW_File!K:K)</f>
        <v>0</v>
      </c>
      <c r="H1031" s="41">
        <f>SUMIF(RAW_File!D:D,C:C,RAW_File!M:M)</f>
        <v>45000</v>
      </c>
      <c r="I1031" s="40">
        <f t="shared" si="18"/>
        <v>45000</v>
      </c>
    </row>
    <row r="1032" spans="1:9" hidden="1" x14ac:dyDescent="0.25">
      <c r="A1032" s="36" t="s">
        <v>76</v>
      </c>
      <c r="B1032" s="36" t="s">
        <v>881</v>
      </c>
      <c r="C1032" s="36" t="s">
        <v>2953</v>
      </c>
      <c r="D1032" s="37">
        <f>SUMIF(RAW_File!D:D,C:C,RAW_File!F:F)</f>
        <v>4631.1225000000004</v>
      </c>
      <c r="E1032" s="38">
        <f>SUMIF(RAW_File!D:D,C:C,RAW_File!G:G)</f>
        <v>8075</v>
      </c>
      <c r="F1032" s="39">
        <f>SUMIF(RAW_File!D:D,C:C,RAW_File!I:I)</f>
        <v>16375</v>
      </c>
      <c r="G1032" s="40">
        <f>SUMIF(RAW_File!D:D,C:C,RAW_File!K:K)</f>
        <v>5000</v>
      </c>
      <c r="H1032" s="41">
        <f>SUMIF(RAW_File!D:D,C:C,RAW_File!M:M)</f>
        <v>0</v>
      </c>
      <c r="I1032" s="40">
        <f t="shared" si="18"/>
        <v>5000</v>
      </c>
    </row>
    <row r="1033" spans="1:9" hidden="1" x14ac:dyDescent="0.25">
      <c r="A1033" s="36" t="s">
        <v>76</v>
      </c>
      <c r="B1033" s="36" t="s">
        <v>3105</v>
      </c>
      <c r="C1033" s="36" t="s">
        <v>3106</v>
      </c>
      <c r="D1033" s="37">
        <f>SUMIF(RAW_File!D:D,C:C,RAW_File!F:F)</f>
        <v>23961.083043746239</v>
      </c>
      <c r="E1033" s="38">
        <f>SUMIF(RAW_File!D:D,C:C,RAW_File!G:G)</f>
        <v>17830</v>
      </c>
      <c r="F1033" s="39">
        <f>SUMIF(RAW_File!D:D,C:C,RAW_File!I:I)</f>
        <v>17830</v>
      </c>
      <c r="G1033" s="40">
        <f>SUMIF(RAW_File!D:D,C:C,RAW_File!K:K)</f>
        <v>20000</v>
      </c>
      <c r="H1033" s="41">
        <f>SUMIF(RAW_File!D:D,C:C,RAW_File!M:M)</f>
        <v>0</v>
      </c>
      <c r="I1033" s="40">
        <f t="shared" si="18"/>
        <v>20000</v>
      </c>
    </row>
    <row r="1034" spans="1:9" hidden="1" x14ac:dyDescent="0.25">
      <c r="A1034" s="36" t="s">
        <v>76</v>
      </c>
      <c r="B1034" s="36" t="s">
        <v>3142</v>
      </c>
      <c r="C1034" s="36" t="s">
        <v>3143</v>
      </c>
      <c r="D1034" s="37">
        <f>SUMIF(RAW_File!D:D,C:C,RAW_File!F:F)</f>
        <v>63.014749354583778</v>
      </c>
      <c r="E1034" s="38">
        <f>SUMIF(RAW_File!D:D,C:C,RAW_File!G:G)</f>
        <v>6950</v>
      </c>
      <c r="F1034" s="39">
        <f>SUMIF(RAW_File!D:D,C:C,RAW_File!I:I)</f>
        <v>16550</v>
      </c>
      <c r="G1034" s="40">
        <f>SUMIF(RAW_File!D:D,C:C,RAW_File!K:K)</f>
        <v>0</v>
      </c>
      <c r="H1034" s="41">
        <f>SUMIF(RAW_File!D:D,C:C,RAW_File!M:M)</f>
        <v>6000</v>
      </c>
      <c r="I1034" s="40">
        <f t="shared" si="18"/>
        <v>6000</v>
      </c>
    </row>
    <row r="1035" spans="1:9" hidden="1" x14ac:dyDescent="0.25">
      <c r="A1035" s="36" t="s">
        <v>76</v>
      </c>
      <c r="B1035" s="36" t="s">
        <v>3203</v>
      </c>
      <c r="C1035" s="36" t="s">
        <v>3204</v>
      </c>
      <c r="D1035" s="37">
        <f>SUMIF(RAW_File!D:D,C:C,RAW_File!F:F)</f>
        <v>1806.7010757901239</v>
      </c>
      <c r="E1035" s="38">
        <f>SUMIF(RAW_File!D:D,C:C,RAW_File!G:G)</f>
        <v>3400</v>
      </c>
      <c r="F1035" s="39">
        <f>SUMIF(RAW_File!D:D,C:C,RAW_File!I:I)</f>
        <v>22640</v>
      </c>
      <c r="G1035" s="40">
        <f>SUMIF(RAW_File!D:D,C:C,RAW_File!K:K)</f>
        <v>5000</v>
      </c>
      <c r="H1035" s="41">
        <f>SUMIF(RAW_File!D:D,C:C,RAW_File!M:M)</f>
        <v>20000</v>
      </c>
      <c r="I1035" s="40">
        <f t="shared" si="18"/>
        <v>15000</v>
      </c>
    </row>
    <row r="1036" spans="1:9" hidden="1" x14ac:dyDescent="0.25">
      <c r="A1036" s="36" t="s">
        <v>76</v>
      </c>
      <c r="B1036" s="36" t="s">
        <v>3236</v>
      </c>
      <c r="C1036" s="36" t="s">
        <v>3237</v>
      </c>
      <c r="D1036" s="37">
        <f>SUMIF(RAW_File!D:D,C:C,RAW_File!F:F)</f>
        <v>8940.2620110000007</v>
      </c>
      <c r="E1036" s="38">
        <f>SUMIF(RAW_File!D:D,C:C,RAW_File!G:G)</f>
        <v>7605</v>
      </c>
      <c r="F1036" s="39">
        <f>SUMIF(RAW_File!D:D,C:C,RAW_File!I:I)</f>
        <v>17840</v>
      </c>
      <c r="G1036" s="40">
        <f>SUMIF(RAW_File!D:D,C:C,RAW_File!K:K)</f>
        <v>5000</v>
      </c>
      <c r="H1036" s="41">
        <f>SUMIF(RAW_File!D:D,C:C,RAW_File!M:M)</f>
        <v>12000</v>
      </c>
      <c r="I1036" s="40">
        <f t="shared" si="18"/>
        <v>7000</v>
      </c>
    </row>
    <row r="1037" spans="1:9" hidden="1" x14ac:dyDescent="0.25">
      <c r="A1037" s="36" t="s">
        <v>76</v>
      </c>
      <c r="B1037" s="36" t="s">
        <v>3250</v>
      </c>
      <c r="C1037" s="36" t="s">
        <v>3251</v>
      </c>
      <c r="D1037" s="37">
        <f>SUMIF(RAW_File!D:D,C:C,RAW_File!F:F)</f>
        <v>1689.009063821926</v>
      </c>
      <c r="E1037" s="38">
        <f>SUMIF(RAW_File!D:D,C:C,RAW_File!G:G)</f>
        <v>3410</v>
      </c>
      <c r="F1037" s="39">
        <f>SUMIF(RAW_File!D:D,C:C,RAW_File!I:I)</f>
        <v>3910</v>
      </c>
      <c r="G1037" s="40">
        <f>SUMIF(RAW_File!D:D,C:C,RAW_File!K:K)</f>
        <v>5000</v>
      </c>
      <c r="H1037" s="41">
        <f>SUMIF(RAW_File!D:D,C:C,RAW_File!M:M)</f>
        <v>0</v>
      </c>
      <c r="I1037" s="40">
        <f t="shared" si="18"/>
        <v>5000</v>
      </c>
    </row>
    <row r="1038" spans="1:9" hidden="1" x14ac:dyDescent="0.25">
      <c r="A1038" s="36" t="s">
        <v>76</v>
      </c>
      <c r="B1038" s="36" t="s">
        <v>3264</v>
      </c>
      <c r="C1038" s="36" t="s">
        <v>3265</v>
      </c>
      <c r="D1038" s="37">
        <f>SUMIF(RAW_File!D:D,C:C,RAW_File!F:F)</f>
        <v>16638.242559367409</v>
      </c>
      <c r="E1038" s="38">
        <f>SUMIF(RAW_File!D:D,C:C,RAW_File!G:G)</f>
        <v>4670</v>
      </c>
      <c r="F1038" s="39">
        <f>SUMIF(RAW_File!D:D,C:C,RAW_File!I:I)</f>
        <v>8160</v>
      </c>
      <c r="G1038" s="40">
        <f>SUMIF(RAW_File!D:D,C:C,RAW_File!K:K)</f>
        <v>0</v>
      </c>
      <c r="H1038" s="41">
        <f>SUMIF(RAW_File!D:D,C:C,RAW_File!M:M)</f>
        <v>20000</v>
      </c>
      <c r="I1038" s="40">
        <f t="shared" si="18"/>
        <v>20000</v>
      </c>
    </row>
    <row r="1039" spans="1:9" hidden="1" x14ac:dyDescent="0.25">
      <c r="A1039" s="36" t="s">
        <v>76</v>
      </c>
      <c r="B1039" s="36" t="s">
        <v>3346</v>
      </c>
      <c r="C1039" s="36" t="s">
        <v>3347</v>
      </c>
      <c r="D1039" s="37">
        <f>SUMIF(RAW_File!D:D,C:C,RAW_File!F:F)</f>
        <v>22191.097549999999</v>
      </c>
      <c r="E1039" s="38">
        <f>SUMIF(RAW_File!D:D,C:C,RAW_File!G:G)</f>
        <v>0</v>
      </c>
      <c r="F1039" s="39">
        <f>SUMIF(RAW_File!D:D,C:C,RAW_File!I:I)</f>
        <v>5120</v>
      </c>
      <c r="G1039" s="40">
        <f>SUMIF(RAW_File!D:D,C:C,RAW_File!K:K)</f>
        <v>5000</v>
      </c>
      <c r="H1039" s="41">
        <f>SUMIF(RAW_File!D:D,C:C,RAW_File!M:M)</f>
        <v>0</v>
      </c>
      <c r="I1039" s="40">
        <f t="shared" si="18"/>
        <v>5000</v>
      </c>
    </row>
    <row r="1040" spans="1:9" hidden="1" x14ac:dyDescent="0.25">
      <c r="A1040" s="36" t="s">
        <v>76</v>
      </c>
      <c r="B1040" s="36" t="s">
        <v>3385</v>
      </c>
      <c r="C1040" s="36" t="s">
        <v>3386</v>
      </c>
      <c r="D1040" s="37">
        <f>SUMIF(RAW_File!D:D,C:C,RAW_File!F:F)</f>
        <v>623.4170731253929</v>
      </c>
      <c r="E1040" s="38">
        <f>SUMIF(RAW_File!D:D,C:C,RAW_File!G:G)</f>
        <v>0</v>
      </c>
      <c r="F1040" s="39">
        <f>SUMIF(RAW_File!D:D,C:C,RAW_File!I:I)</f>
        <v>0</v>
      </c>
      <c r="G1040" s="40">
        <f>SUMIF(RAW_File!D:D,C:C,RAW_File!K:K)</f>
        <v>0</v>
      </c>
      <c r="H1040" s="41">
        <f>SUMIF(RAW_File!D:D,C:C,RAW_File!M:M)</f>
        <v>24000</v>
      </c>
      <c r="I1040" s="40">
        <f t="shared" si="18"/>
        <v>24000</v>
      </c>
    </row>
    <row r="1041" spans="1:9" hidden="1" x14ac:dyDescent="0.25">
      <c r="A1041" s="36" t="s">
        <v>76</v>
      </c>
      <c r="B1041" s="36" t="s">
        <v>3401</v>
      </c>
      <c r="C1041" s="36" t="s">
        <v>3402</v>
      </c>
      <c r="D1041" s="37">
        <f>SUMIF(RAW_File!D:D,C:C,RAW_File!F:F)</f>
        <v>1915.205733975763</v>
      </c>
      <c r="E1041" s="38">
        <f>SUMIF(RAW_File!D:D,C:C,RAW_File!G:G)</f>
        <v>500</v>
      </c>
      <c r="F1041" s="39">
        <f>SUMIF(RAW_File!D:D,C:C,RAW_File!I:I)</f>
        <v>8320</v>
      </c>
      <c r="G1041" s="40">
        <f>SUMIF(RAW_File!D:D,C:C,RAW_File!K:K)</f>
        <v>0</v>
      </c>
      <c r="H1041" s="41">
        <f>SUMIF(RAW_File!D:D,C:C,RAW_File!M:M)</f>
        <v>15000</v>
      </c>
      <c r="I1041" s="40">
        <f t="shared" si="18"/>
        <v>15000</v>
      </c>
    </row>
    <row r="1042" spans="1:9" hidden="1" x14ac:dyDescent="0.25">
      <c r="A1042" s="36" t="s">
        <v>76</v>
      </c>
      <c r="B1042" s="36" t="s">
        <v>3506</v>
      </c>
      <c r="C1042" s="36" t="s">
        <v>3507</v>
      </c>
      <c r="D1042" s="37">
        <f>SUMIF(RAW_File!D:D,C:C,RAW_File!F:F)</f>
        <v>19655.4365</v>
      </c>
      <c r="E1042" s="38">
        <f>SUMIF(RAW_File!D:D,C:C,RAW_File!G:G)</f>
        <v>4300</v>
      </c>
      <c r="F1042" s="39">
        <f>SUMIF(RAW_File!D:D,C:C,RAW_File!I:I)</f>
        <v>4300</v>
      </c>
      <c r="G1042" s="40">
        <f>SUMIF(RAW_File!D:D,C:C,RAW_File!K:K)</f>
        <v>0</v>
      </c>
      <c r="H1042" s="41">
        <f>SUMIF(RAW_File!D:D,C:C,RAW_File!M:M)</f>
        <v>10000</v>
      </c>
      <c r="I1042" s="40">
        <f t="shared" si="18"/>
        <v>10000</v>
      </c>
    </row>
    <row r="1043" spans="1:9" hidden="1" x14ac:dyDescent="0.25">
      <c r="A1043" s="36" t="s">
        <v>76</v>
      </c>
      <c r="B1043" s="36" t="s">
        <v>3543</v>
      </c>
      <c r="C1043" s="36" t="s">
        <v>3544</v>
      </c>
      <c r="D1043" s="37">
        <f>SUMIF(RAW_File!D:D,C:C,RAW_File!F:F)</f>
        <v>3597.4207000000001</v>
      </c>
      <c r="E1043" s="38">
        <f>SUMIF(RAW_File!D:D,C:C,RAW_File!G:G)</f>
        <v>500</v>
      </c>
      <c r="F1043" s="39">
        <f>SUMIF(RAW_File!D:D,C:C,RAW_File!I:I)</f>
        <v>500</v>
      </c>
      <c r="G1043" s="40">
        <f>SUMIF(RAW_File!D:D,C:C,RAW_File!K:K)</f>
        <v>0</v>
      </c>
      <c r="H1043" s="41">
        <f>SUMIF(RAW_File!D:D,C:C,RAW_File!M:M)</f>
        <v>5000</v>
      </c>
      <c r="I1043" s="40">
        <f t="shared" si="18"/>
        <v>5000</v>
      </c>
    </row>
    <row r="1044" spans="1:9" hidden="1" x14ac:dyDescent="0.25">
      <c r="A1044" s="36" t="s">
        <v>55</v>
      </c>
      <c r="B1044" s="36" t="s">
        <v>161</v>
      </c>
      <c r="C1044" s="36" t="s">
        <v>162</v>
      </c>
      <c r="D1044" s="37">
        <f>SUMIF(RAW_File!D:D,C:C,RAW_File!F:F)</f>
        <v>215.76814999999999</v>
      </c>
      <c r="E1044" s="38">
        <f>SUMIF(RAW_File!D:D,C:C,RAW_File!G:G)</f>
        <v>1200</v>
      </c>
      <c r="F1044" s="39">
        <f>SUMIF(RAW_File!D:D,C:C,RAW_File!I:I)</f>
        <v>1200</v>
      </c>
      <c r="G1044" s="40">
        <f>SUMIF(RAW_File!D:D,C:C,RAW_File!K:K)</f>
        <v>0</v>
      </c>
      <c r="H1044" s="41">
        <f>SUMIF(RAW_File!D:D,C:C,RAW_File!M:M)</f>
        <v>6000</v>
      </c>
      <c r="I1044" s="40">
        <f t="shared" si="18"/>
        <v>6000</v>
      </c>
    </row>
    <row r="1045" spans="1:9" hidden="1" x14ac:dyDescent="0.25">
      <c r="A1045" s="36" t="s">
        <v>55</v>
      </c>
      <c r="B1045" s="36" t="s">
        <v>163</v>
      </c>
      <c r="C1045" s="36" t="s">
        <v>164</v>
      </c>
      <c r="D1045" s="37">
        <f>SUMIF(RAW_File!D:D,C:C,RAW_File!F:F)</f>
        <v>10835.148020821331</v>
      </c>
      <c r="E1045" s="38">
        <f>SUMIF(RAW_File!D:D,C:C,RAW_File!G:G)</f>
        <v>2650</v>
      </c>
      <c r="F1045" s="39">
        <f>SUMIF(RAW_File!D:D,C:C,RAW_File!I:I)</f>
        <v>5640</v>
      </c>
      <c r="G1045" s="40">
        <f>SUMIF(RAW_File!D:D,C:C,RAW_File!K:K)</f>
        <v>6000</v>
      </c>
      <c r="H1045" s="41">
        <f>SUMIF(RAW_File!D:D,C:C,RAW_File!M:M)</f>
        <v>0</v>
      </c>
      <c r="I1045" s="40">
        <f t="shared" si="18"/>
        <v>6000</v>
      </c>
    </row>
    <row r="1046" spans="1:9" hidden="1" x14ac:dyDescent="0.25">
      <c r="A1046" s="36" t="s">
        <v>55</v>
      </c>
      <c r="B1046" s="36" t="s">
        <v>171</v>
      </c>
      <c r="C1046" s="36" t="s">
        <v>172</v>
      </c>
      <c r="D1046" s="37">
        <f>SUMIF(RAW_File!D:D,C:C,RAW_File!F:F)</f>
        <v>40058.929400000001</v>
      </c>
      <c r="E1046" s="38">
        <f>SUMIF(RAW_File!D:D,C:C,RAW_File!G:G)</f>
        <v>10970</v>
      </c>
      <c r="F1046" s="39">
        <f>SUMIF(RAW_File!D:D,C:C,RAW_File!I:I)</f>
        <v>11710</v>
      </c>
      <c r="G1046" s="40">
        <f>SUMIF(RAW_File!D:D,C:C,RAW_File!K:K)</f>
        <v>5000</v>
      </c>
      <c r="H1046" s="41">
        <f>SUMIF(RAW_File!D:D,C:C,RAW_File!M:M)</f>
        <v>0</v>
      </c>
      <c r="I1046" s="40">
        <f t="shared" si="18"/>
        <v>5000</v>
      </c>
    </row>
    <row r="1047" spans="1:9" hidden="1" x14ac:dyDescent="0.25">
      <c r="A1047" s="36" t="s">
        <v>55</v>
      </c>
      <c r="B1047" s="36" t="s">
        <v>177</v>
      </c>
      <c r="C1047" s="36" t="s">
        <v>178</v>
      </c>
      <c r="D1047" s="37">
        <f>SUMIF(RAW_File!D:D,C:C,RAW_File!F:F)</f>
        <v>138.08396642759149</v>
      </c>
      <c r="E1047" s="38">
        <f>SUMIF(RAW_File!D:D,C:C,RAW_File!G:G)</f>
        <v>910</v>
      </c>
      <c r="F1047" s="39">
        <f>SUMIF(RAW_File!D:D,C:C,RAW_File!I:I)</f>
        <v>1410</v>
      </c>
      <c r="G1047" s="40">
        <f>SUMIF(RAW_File!D:D,C:C,RAW_File!K:K)</f>
        <v>0</v>
      </c>
      <c r="H1047" s="41">
        <f>SUMIF(RAW_File!D:D,C:C,RAW_File!M:M)</f>
        <v>5000</v>
      </c>
      <c r="I1047" s="40">
        <f t="shared" si="18"/>
        <v>5000</v>
      </c>
    </row>
    <row r="1048" spans="1:9" hidden="1" x14ac:dyDescent="0.25">
      <c r="A1048" s="36" t="s">
        <v>55</v>
      </c>
      <c r="B1048" s="36" t="s">
        <v>179</v>
      </c>
      <c r="C1048" s="36" t="s">
        <v>180</v>
      </c>
      <c r="D1048" s="37">
        <f>SUMIF(RAW_File!D:D,C:C,RAW_File!F:F)</f>
        <v>14888.789750211119</v>
      </c>
      <c r="E1048" s="38">
        <f>SUMIF(RAW_File!D:D,C:C,RAW_File!G:G)</f>
        <v>4830</v>
      </c>
      <c r="F1048" s="39">
        <f>SUMIF(RAW_File!D:D,C:C,RAW_File!I:I)</f>
        <v>16330</v>
      </c>
      <c r="G1048" s="40">
        <f>SUMIF(RAW_File!D:D,C:C,RAW_File!K:K)</f>
        <v>10000</v>
      </c>
      <c r="H1048" s="41">
        <f>SUMIF(RAW_File!D:D,C:C,RAW_File!M:M)</f>
        <v>50000</v>
      </c>
      <c r="I1048" s="40">
        <f t="shared" si="18"/>
        <v>40000</v>
      </c>
    </row>
    <row r="1049" spans="1:9" hidden="1" x14ac:dyDescent="0.25">
      <c r="A1049" s="36" t="s">
        <v>55</v>
      </c>
      <c r="B1049" s="36" t="s">
        <v>209</v>
      </c>
      <c r="C1049" s="36" t="s">
        <v>210</v>
      </c>
      <c r="D1049" s="37">
        <f>SUMIF(RAW_File!D:D,C:C,RAW_File!F:F)</f>
        <v>22841.338884750421</v>
      </c>
      <c r="E1049" s="38">
        <f>SUMIF(RAW_File!D:D,C:C,RAW_File!G:G)</f>
        <v>500</v>
      </c>
      <c r="F1049" s="39">
        <f>SUMIF(RAW_File!D:D,C:C,RAW_File!I:I)</f>
        <v>3091</v>
      </c>
      <c r="G1049" s="40">
        <f>SUMIF(RAW_File!D:D,C:C,RAW_File!K:K)</f>
        <v>6000</v>
      </c>
      <c r="H1049" s="41">
        <f>SUMIF(RAW_File!D:D,C:C,RAW_File!M:M)</f>
        <v>0</v>
      </c>
      <c r="I1049" s="40">
        <f t="shared" si="18"/>
        <v>6000</v>
      </c>
    </row>
    <row r="1050" spans="1:9" hidden="1" x14ac:dyDescent="0.25">
      <c r="A1050" s="42" t="s">
        <v>55</v>
      </c>
      <c r="B1050" s="36" t="s">
        <v>211</v>
      </c>
      <c r="C1050" s="42" t="s">
        <v>212</v>
      </c>
      <c r="D1050" s="37">
        <f>SUMIF(RAW_File!D:D,C:C,RAW_File!F:F)</f>
        <v>23126.659546114719</v>
      </c>
      <c r="E1050" s="38">
        <f>SUMIF(RAW_File!D:D,C:C,RAW_File!G:G)</f>
        <v>52100</v>
      </c>
      <c r="F1050" s="39">
        <f>SUMIF(RAW_File!D:D,C:C,RAW_File!I:I)</f>
        <v>70760</v>
      </c>
      <c r="G1050" s="40">
        <f>SUMIF(RAW_File!D:D,C:C,RAW_File!K:K)</f>
        <v>40000</v>
      </c>
      <c r="H1050" s="41">
        <f>SUMIF(RAW_File!D:D,C:C,RAW_File!M:M)</f>
        <v>30000</v>
      </c>
      <c r="I1050" s="40">
        <f t="shared" si="18"/>
        <v>10000</v>
      </c>
    </row>
    <row r="1051" spans="1:9" hidden="1" x14ac:dyDescent="0.25">
      <c r="A1051" s="36" t="s">
        <v>55</v>
      </c>
      <c r="B1051" s="36" t="s">
        <v>308</v>
      </c>
      <c r="C1051" s="36" t="s">
        <v>309</v>
      </c>
      <c r="D1051" s="37">
        <f>SUMIF(RAW_File!D:D,C:C,RAW_File!F:F)</f>
        <v>25001.960152173899</v>
      </c>
      <c r="E1051" s="38">
        <f>SUMIF(RAW_File!D:D,C:C,RAW_File!G:G)</f>
        <v>12400</v>
      </c>
      <c r="F1051" s="39">
        <f>SUMIF(RAW_File!D:D,C:C,RAW_File!I:I)</f>
        <v>32560</v>
      </c>
      <c r="G1051" s="40">
        <f>SUMIF(RAW_File!D:D,C:C,RAW_File!K:K)</f>
        <v>10000</v>
      </c>
      <c r="H1051" s="41">
        <f>SUMIF(RAW_File!D:D,C:C,RAW_File!M:M)</f>
        <v>0</v>
      </c>
      <c r="I1051" s="40">
        <f t="shared" si="18"/>
        <v>10000</v>
      </c>
    </row>
    <row r="1052" spans="1:9" hidden="1" x14ac:dyDescent="0.25">
      <c r="A1052" s="36" t="s">
        <v>55</v>
      </c>
      <c r="B1052" s="36" t="s">
        <v>332</v>
      </c>
      <c r="C1052" s="36" t="s">
        <v>333</v>
      </c>
      <c r="D1052" s="37">
        <f>SUMIF(RAW_File!D:D,C:C,RAW_File!F:F)</f>
        <v>8545.00667552901</v>
      </c>
      <c r="E1052" s="38">
        <f>SUMIF(RAW_File!D:D,C:C,RAW_File!G:G)</f>
        <v>0</v>
      </c>
      <c r="F1052" s="39">
        <f>SUMIF(RAW_File!D:D,C:C,RAW_File!I:I)</f>
        <v>0</v>
      </c>
      <c r="G1052" s="40">
        <f>SUMIF(RAW_File!D:D,C:C,RAW_File!K:K)</f>
        <v>0</v>
      </c>
      <c r="H1052" s="41">
        <f>SUMIF(RAW_File!D:D,C:C,RAW_File!M:M)</f>
        <v>0</v>
      </c>
      <c r="I1052" s="40">
        <f t="shared" si="18"/>
        <v>0</v>
      </c>
    </row>
    <row r="1053" spans="1:9" hidden="1" x14ac:dyDescent="0.25">
      <c r="A1053" s="36" t="s">
        <v>55</v>
      </c>
      <c r="B1053" s="36" t="s">
        <v>389</v>
      </c>
      <c r="C1053" s="36" t="s">
        <v>390</v>
      </c>
      <c r="D1053" s="37">
        <f>SUMIF(RAW_File!D:D,C:C,RAW_File!F:F)</f>
        <v>1.3261170482183999</v>
      </c>
      <c r="E1053" s="38">
        <f>SUMIF(RAW_File!D:D,C:C,RAW_File!G:G)</f>
        <v>0</v>
      </c>
      <c r="F1053" s="39">
        <f>SUMIF(RAW_File!D:D,C:C,RAW_File!I:I)</f>
        <v>0</v>
      </c>
      <c r="G1053" s="40">
        <f>SUMIF(RAW_File!D:D,C:C,RAW_File!K:K)</f>
        <v>0</v>
      </c>
      <c r="H1053" s="41">
        <f>SUMIF(RAW_File!D:D,C:C,RAW_File!M:M)</f>
        <v>0</v>
      </c>
      <c r="I1053" s="40">
        <f t="shared" si="18"/>
        <v>0</v>
      </c>
    </row>
    <row r="1054" spans="1:9" hidden="1" x14ac:dyDescent="0.25">
      <c r="A1054" s="36" t="s">
        <v>55</v>
      </c>
      <c r="B1054" s="36" t="s">
        <v>484</v>
      </c>
      <c r="C1054" s="36" t="s">
        <v>485</v>
      </c>
      <c r="D1054" s="37">
        <f>SUMIF(RAW_File!D:D,C:C,RAW_File!F:F)</f>
        <v>5122.6737144040526</v>
      </c>
      <c r="E1054" s="38">
        <f>SUMIF(RAW_File!D:D,C:C,RAW_File!G:G)</f>
        <v>0</v>
      </c>
      <c r="F1054" s="39">
        <f>SUMIF(RAW_File!D:D,C:C,RAW_File!I:I)</f>
        <v>0</v>
      </c>
      <c r="G1054" s="40">
        <f>SUMIF(RAW_File!D:D,C:C,RAW_File!K:K)</f>
        <v>5000</v>
      </c>
      <c r="H1054" s="41">
        <f>SUMIF(RAW_File!D:D,C:C,RAW_File!M:M)</f>
        <v>0</v>
      </c>
      <c r="I1054" s="40">
        <f t="shared" si="18"/>
        <v>5000</v>
      </c>
    </row>
    <row r="1055" spans="1:9" hidden="1" x14ac:dyDescent="0.25">
      <c r="A1055" s="36" t="s">
        <v>55</v>
      </c>
      <c r="B1055" s="36" t="s">
        <v>507</v>
      </c>
      <c r="C1055" s="36" t="s">
        <v>508</v>
      </c>
      <c r="D1055" s="37">
        <f>SUMIF(RAW_File!D:D,C:C,RAW_File!F:F)</f>
        <v>6141.3197608695</v>
      </c>
      <c r="E1055" s="38">
        <f>SUMIF(RAW_File!D:D,C:C,RAW_File!G:G)</f>
        <v>3100</v>
      </c>
      <c r="F1055" s="39">
        <f>SUMIF(RAW_File!D:D,C:C,RAW_File!I:I)</f>
        <v>3100</v>
      </c>
      <c r="G1055" s="40">
        <f>SUMIF(RAW_File!D:D,C:C,RAW_File!K:K)</f>
        <v>5000</v>
      </c>
      <c r="H1055" s="41">
        <f>SUMIF(RAW_File!D:D,C:C,RAW_File!M:M)</f>
        <v>0</v>
      </c>
      <c r="I1055" s="40">
        <f t="shared" si="18"/>
        <v>5000</v>
      </c>
    </row>
    <row r="1056" spans="1:9" hidden="1" x14ac:dyDescent="0.25">
      <c r="A1056" s="36" t="s">
        <v>55</v>
      </c>
      <c r="B1056" s="36" t="s">
        <v>531</v>
      </c>
      <c r="C1056" s="36" t="s">
        <v>532</v>
      </c>
      <c r="D1056" s="37">
        <f>SUMIF(RAW_File!D:D,C:C,RAW_File!F:F)</f>
        <v>27087.970300000201</v>
      </c>
      <c r="E1056" s="38">
        <f>SUMIF(RAW_File!D:D,C:C,RAW_File!G:G)</f>
        <v>2050</v>
      </c>
      <c r="F1056" s="39">
        <f>SUMIF(RAW_File!D:D,C:C,RAW_File!I:I)</f>
        <v>3050</v>
      </c>
      <c r="G1056" s="40">
        <f>SUMIF(RAW_File!D:D,C:C,RAW_File!K:K)</f>
        <v>5000</v>
      </c>
      <c r="H1056" s="41">
        <f>SUMIF(RAW_File!D:D,C:C,RAW_File!M:M)</f>
        <v>0</v>
      </c>
      <c r="I1056" s="40">
        <f t="shared" si="18"/>
        <v>5000</v>
      </c>
    </row>
    <row r="1057" spans="1:9" hidden="1" x14ac:dyDescent="0.25">
      <c r="A1057" s="36" t="s">
        <v>55</v>
      </c>
      <c r="B1057" s="36" t="s">
        <v>543</v>
      </c>
      <c r="C1057" s="36" t="s">
        <v>544</v>
      </c>
      <c r="D1057" s="37">
        <f>SUMIF(RAW_File!D:D,C:C,RAW_File!F:F)</f>
        <v>4141.1457824757381</v>
      </c>
      <c r="E1057" s="38">
        <f>SUMIF(RAW_File!D:D,C:C,RAW_File!G:G)</f>
        <v>800</v>
      </c>
      <c r="F1057" s="39">
        <f>SUMIF(RAW_File!D:D,C:C,RAW_File!I:I)</f>
        <v>3350</v>
      </c>
      <c r="G1057" s="40">
        <f>SUMIF(RAW_File!D:D,C:C,RAW_File!K:K)</f>
        <v>0</v>
      </c>
      <c r="H1057" s="41">
        <f>SUMIF(RAW_File!D:D,C:C,RAW_File!M:M)</f>
        <v>9000</v>
      </c>
      <c r="I1057" s="40">
        <f t="shared" si="18"/>
        <v>9000</v>
      </c>
    </row>
    <row r="1058" spans="1:9" hidden="1" x14ac:dyDescent="0.25">
      <c r="A1058" s="36" t="s">
        <v>55</v>
      </c>
      <c r="B1058" s="36" t="s">
        <v>574</v>
      </c>
      <c r="C1058" s="36" t="s">
        <v>575</v>
      </c>
      <c r="D1058" s="37">
        <f>SUMIF(RAW_File!D:D,C:C,RAW_File!F:F)</f>
        <v>37581.4094646167</v>
      </c>
      <c r="E1058" s="38">
        <f>SUMIF(RAW_File!D:D,C:C,RAW_File!G:G)</f>
        <v>0</v>
      </c>
      <c r="F1058" s="39">
        <f>SUMIF(RAW_File!D:D,C:C,RAW_File!I:I)</f>
        <v>4190</v>
      </c>
      <c r="G1058" s="40">
        <f>SUMIF(RAW_File!D:D,C:C,RAW_File!K:K)</f>
        <v>5000</v>
      </c>
      <c r="H1058" s="41">
        <f>SUMIF(RAW_File!D:D,C:C,RAW_File!M:M)</f>
        <v>10000</v>
      </c>
      <c r="I1058" s="40">
        <f t="shared" si="18"/>
        <v>5000</v>
      </c>
    </row>
    <row r="1059" spans="1:9" hidden="1" x14ac:dyDescent="0.25">
      <c r="A1059" s="36" t="s">
        <v>55</v>
      </c>
      <c r="B1059" s="36" t="s">
        <v>586</v>
      </c>
      <c r="C1059" s="36" t="s">
        <v>587</v>
      </c>
      <c r="D1059" s="37">
        <f>SUMIF(RAW_File!D:D,C:C,RAW_File!F:F)</f>
        <v>2561.6563999999998</v>
      </c>
      <c r="E1059" s="38">
        <f>SUMIF(RAW_File!D:D,C:C,RAW_File!G:G)</f>
        <v>6150</v>
      </c>
      <c r="F1059" s="39">
        <f>SUMIF(RAW_File!D:D,C:C,RAW_File!I:I)</f>
        <v>36385</v>
      </c>
      <c r="G1059" s="40">
        <f>SUMIF(RAW_File!D:D,C:C,RAW_File!K:K)</f>
        <v>0</v>
      </c>
      <c r="H1059" s="41">
        <f>SUMIF(RAW_File!D:D,C:C,RAW_File!M:M)</f>
        <v>25000</v>
      </c>
      <c r="I1059" s="40">
        <f t="shared" si="18"/>
        <v>25000</v>
      </c>
    </row>
    <row r="1060" spans="1:9" hidden="1" x14ac:dyDescent="0.25">
      <c r="A1060" s="36" t="s">
        <v>55</v>
      </c>
      <c r="B1060" s="36" t="s">
        <v>893</v>
      </c>
      <c r="C1060" s="36" t="s">
        <v>894</v>
      </c>
      <c r="D1060" s="37">
        <f>SUMIF(RAW_File!D:D,C:C,RAW_File!F:F)</f>
        <v>7541.6420608694998</v>
      </c>
      <c r="E1060" s="38">
        <f>SUMIF(RAW_File!D:D,C:C,RAW_File!G:G)</f>
        <v>7060</v>
      </c>
      <c r="F1060" s="39">
        <f>SUMIF(RAW_File!D:D,C:C,RAW_File!I:I)</f>
        <v>8940</v>
      </c>
      <c r="G1060" s="40">
        <f>SUMIF(RAW_File!D:D,C:C,RAW_File!K:K)</f>
        <v>5000</v>
      </c>
      <c r="H1060" s="41">
        <f>SUMIF(RAW_File!D:D,C:C,RAW_File!M:M)</f>
        <v>13000</v>
      </c>
      <c r="I1060" s="40">
        <f t="shared" si="18"/>
        <v>8000</v>
      </c>
    </row>
    <row r="1061" spans="1:9" hidden="1" x14ac:dyDescent="0.25">
      <c r="A1061" s="36" t="s">
        <v>55</v>
      </c>
      <c r="B1061" s="36" t="s">
        <v>1001</v>
      </c>
      <c r="C1061" s="36" t="s">
        <v>1002</v>
      </c>
      <c r="D1061" s="37">
        <f>SUMIF(RAW_File!D:D,C:C,RAW_File!F:F)</f>
        <v>3850.45908218155</v>
      </c>
      <c r="E1061" s="38">
        <f>SUMIF(RAW_File!D:D,C:C,RAW_File!G:G)</f>
        <v>15525</v>
      </c>
      <c r="F1061" s="39">
        <f>SUMIF(RAW_File!D:D,C:C,RAW_File!I:I)</f>
        <v>75515</v>
      </c>
      <c r="G1061" s="40">
        <f>SUMIF(RAW_File!D:D,C:C,RAW_File!K:K)</f>
        <v>0</v>
      </c>
      <c r="H1061" s="41">
        <f>SUMIF(RAW_File!D:D,C:C,RAW_File!M:M)</f>
        <v>55000</v>
      </c>
      <c r="I1061" s="40">
        <f t="shared" si="18"/>
        <v>55000</v>
      </c>
    </row>
    <row r="1062" spans="1:9" hidden="1" x14ac:dyDescent="0.25">
      <c r="A1062" s="36" t="s">
        <v>55</v>
      </c>
      <c r="B1062" s="36" t="s">
        <v>1172</v>
      </c>
      <c r="C1062" s="36" t="s">
        <v>1173</v>
      </c>
      <c r="D1062" s="37">
        <f>SUMIF(RAW_File!D:D,C:C,RAW_File!F:F)</f>
        <v>0.62790000000000001</v>
      </c>
      <c r="E1062" s="38">
        <f>SUMIF(RAW_File!D:D,C:C,RAW_File!G:G)</f>
        <v>0</v>
      </c>
      <c r="F1062" s="39">
        <f>SUMIF(RAW_File!D:D,C:C,RAW_File!I:I)</f>
        <v>0</v>
      </c>
      <c r="G1062" s="40">
        <f>SUMIF(RAW_File!D:D,C:C,RAW_File!K:K)</f>
        <v>0</v>
      </c>
      <c r="H1062" s="41">
        <f>SUMIF(RAW_File!D:D,C:C,RAW_File!M:M)</f>
        <v>0</v>
      </c>
      <c r="I1062" s="40">
        <f t="shared" si="18"/>
        <v>0</v>
      </c>
    </row>
    <row r="1063" spans="1:9" hidden="1" x14ac:dyDescent="0.25">
      <c r="A1063" s="36" t="s">
        <v>55</v>
      </c>
      <c r="B1063" s="36" t="s">
        <v>1348</v>
      </c>
      <c r="C1063" s="36" t="s">
        <v>1349</v>
      </c>
      <c r="D1063" s="37">
        <f>SUMIF(RAW_File!D:D,C:C,RAW_File!F:F)</f>
        <v>25212.896179854099</v>
      </c>
      <c r="E1063" s="38">
        <f>SUMIF(RAW_File!D:D,C:C,RAW_File!G:G)</f>
        <v>2830</v>
      </c>
      <c r="F1063" s="39">
        <f>SUMIF(RAW_File!D:D,C:C,RAW_File!I:I)</f>
        <v>37630</v>
      </c>
      <c r="G1063" s="40">
        <f>SUMIF(RAW_File!D:D,C:C,RAW_File!K:K)</f>
        <v>0</v>
      </c>
      <c r="H1063" s="41">
        <f>SUMIF(RAW_File!D:D,C:C,RAW_File!M:M)</f>
        <v>50000</v>
      </c>
      <c r="I1063" s="40">
        <f t="shared" si="18"/>
        <v>50000</v>
      </c>
    </row>
    <row r="1064" spans="1:9" hidden="1" x14ac:dyDescent="0.25">
      <c r="A1064" s="36" t="s">
        <v>55</v>
      </c>
      <c r="B1064" s="36" t="s">
        <v>1472</v>
      </c>
      <c r="C1064" s="36" t="s">
        <v>1473</v>
      </c>
      <c r="D1064" s="37">
        <f>SUMIF(RAW_File!D:D,C:C,RAW_File!F:F)</f>
        <v>3495.6165499222002</v>
      </c>
      <c r="E1064" s="38">
        <f>SUMIF(RAW_File!D:D,C:C,RAW_File!G:G)</f>
        <v>52000</v>
      </c>
      <c r="F1064" s="39">
        <f>SUMIF(RAW_File!D:D,C:C,RAW_File!I:I)</f>
        <v>111258</v>
      </c>
      <c r="G1064" s="40">
        <f>SUMIF(RAW_File!D:D,C:C,RAW_File!K:K)</f>
        <v>45000</v>
      </c>
      <c r="H1064" s="41">
        <f>SUMIF(RAW_File!D:D,C:C,RAW_File!M:M)</f>
        <v>50000</v>
      </c>
      <c r="I1064" s="40">
        <f t="shared" si="18"/>
        <v>5000</v>
      </c>
    </row>
    <row r="1065" spans="1:9" hidden="1" x14ac:dyDescent="0.25">
      <c r="A1065" s="36" t="s">
        <v>55</v>
      </c>
      <c r="B1065" s="36" t="s">
        <v>1607</v>
      </c>
      <c r="C1065" s="36" t="s">
        <v>1608</v>
      </c>
      <c r="D1065" s="37">
        <f>SUMIF(RAW_File!D:D,C:C,RAW_File!F:F)</f>
        <v>37.193488334134152</v>
      </c>
      <c r="E1065" s="38">
        <f>SUMIF(RAW_File!D:D,C:C,RAW_File!G:G)</f>
        <v>12630</v>
      </c>
      <c r="F1065" s="39">
        <f>SUMIF(RAW_File!D:D,C:C,RAW_File!I:I)</f>
        <v>32105</v>
      </c>
      <c r="G1065" s="40">
        <f>SUMIF(RAW_File!D:D,C:C,RAW_File!K:K)</f>
        <v>0</v>
      </c>
      <c r="H1065" s="41">
        <f>SUMIF(RAW_File!D:D,C:C,RAW_File!M:M)</f>
        <v>13000</v>
      </c>
      <c r="I1065" s="40">
        <f t="shared" si="18"/>
        <v>13000</v>
      </c>
    </row>
    <row r="1066" spans="1:9" hidden="1" x14ac:dyDescent="0.25">
      <c r="A1066" s="36" t="s">
        <v>55</v>
      </c>
      <c r="B1066" s="36" t="s">
        <v>1656</v>
      </c>
      <c r="C1066" s="36" t="s">
        <v>1657</v>
      </c>
      <c r="D1066" s="37">
        <f>SUMIF(RAW_File!D:D,C:C,RAW_File!F:F)</f>
        <v>7844.9187727017616</v>
      </c>
      <c r="E1066" s="38">
        <f>SUMIF(RAW_File!D:D,C:C,RAW_File!G:G)</f>
        <v>6275</v>
      </c>
      <c r="F1066" s="39">
        <f>SUMIF(RAW_File!D:D,C:C,RAW_File!I:I)</f>
        <v>34010</v>
      </c>
      <c r="G1066" s="40">
        <f>SUMIF(RAW_File!D:D,C:C,RAW_File!K:K)</f>
        <v>5000</v>
      </c>
      <c r="H1066" s="41">
        <f>SUMIF(RAW_File!D:D,C:C,RAW_File!M:M)</f>
        <v>20000</v>
      </c>
      <c r="I1066" s="40">
        <f t="shared" si="18"/>
        <v>15000</v>
      </c>
    </row>
    <row r="1067" spans="1:9" hidden="1" x14ac:dyDescent="0.25">
      <c r="A1067" s="36" t="s">
        <v>55</v>
      </c>
      <c r="B1067" s="36" t="s">
        <v>1772</v>
      </c>
      <c r="C1067" s="36" t="s">
        <v>1773</v>
      </c>
      <c r="D1067" s="37">
        <f>SUMIF(RAW_File!D:D,C:C,RAW_File!F:F)</f>
        <v>885.19370000000004</v>
      </c>
      <c r="E1067" s="38">
        <f>SUMIF(RAW_File!D:D,C:C,RAW_File!G:G)</f>
        <v>4250</v>
      </c>
      <c r="F1067" s="39">
        <f>SUMIF(RAW_File!D:D,C:C,RAW_File!I:I)</f>
        <v>6250</v>
      </c>
      <c r="G1067" s="40">
        <f>SUMIF(RAW_File!D:D,C:C,RAW_File!K:K)</f>
        <v>5000</v>
      </c>
      <c r="H1067" s="41">
        <f>SUMIF(RAW_File!D:D,C:C,RAW_File!M:M)</f>
        <v>0</v>
      </c>
      <c r="I1067" s="40">
        <f t="shared" si="18"/>
        <v>5000</v>
      </c>
    </row>
    <row r="1068" spans="1:9" hidden="1" x14ac:dyDescent="0.25">
      <c r="A1068" s="36" t="s">
        <v>55</v>
      </c>
      <c r="B1068" s="36" t="s">
        <v>1941</v>
      </c>
      <c r="C1068" s="36" t="s">
        <v>1942</v>
      </c>
      <c r="D1068" s="37">
        <f>SUMIF(RAW_File!D:D,C:C,RAW_File!F:F)</f>
        <v>111.6954864969517</v>
      </c>
      <c r="E1068" s="38">
        <f>SUMIF(RAW_File!D:D,C:C,RAW_File!G:G)</f>
        <v>3800</v>
      </c>
      <c r="F1068" s="39">
        <f>SUMIF(RAW_File!D:D,C:C,RAW_File!I:I)</f>
        <v>11320</v>
      </c>
      <c r="G1068" s="40">
        <f>SUMIF(RAW_File!D:D,C:C,RAW_File!K:K)</f>
        <v>0</v>
      </c>
      <c r="H1068" s="41">
        <f>SUMIF(RAW_File!D:D,C:C,RAW_File!M:M)</f>
        <v>5000</v>
      </c>
      <c r="I1068" s="40">
        <f t="shared" si="18"/>
        <v>5000</v>
      </c>
    </row>
    <row r="1069" spans="1:9" hidden="1" x14ac:dyDescent="0.25">
      <c r="A1069" s="36" t="s">
        <v>55</v>
      </c>
      <c r="B1069" s="36" t="s">
        <v>1974</v>
      </c>
      <c r="C1069" s="36" t="s">
        <v>1975</v>
      </c>
      <c r="D1069" s="37">
        <f>SUMIF(RAW_File!D:D,C:C,RAW_File!F:F)</f>
        <v>11673.577000216999</v>
      </c>
      <c r="E1069" s="38">
        <f>SUMIF(RAW_File!D:D,C:C,RAW_File!G:G)</f>
        <v>1370</v>
      </c>
      <c r="F1069" s="39">
        <f>SUMIF(RAW_File!D:D,C:C,RAW_File!I:I)</f>
        <v>2670</v>
      </c>
      <c r="G1069" s="40">
        <f>SUMIF(RAW_File!D:D,C:C,RAW_File!K:K)</f>
        <v>5000</v>
      </c>
      <c r="H1069" s="41">
        <f>SUMIF(RAW_File!D:D,C:C,RAW_File!M:M)</f>
        <v>0</v>
      </c>
      <c r="I1069" s="40">
        <f t="shared" si="18"/>
        <v>5000</v>
      </c>
    </row>
    <row r="1070" spans="1:9" hidden="1" x14ac:dyDescent="0.25">
      <c r="A1070" s="36" t="s">
        <v>55</v>
      </c>
      <c r="B1070" s="36" t="s">
        <v>2079</v>
      </c>
      <c r="C1070" s="36" t="s">
        <v>2080</v>
      </c>
      <c r="D1070" s="37">
        <f>SUMIF(RAW_File!D:D,C:C,RAW_File!F:F)</f>
        <v>22377.186688999998</v>
      </c>
      <c r="E1070" s="38">
        <f>SUMIF(RAW_File!D:D,C:C,RAW_File!G:G)</f>
        <v>15300</v>
      </c>
      <c r="F1070" s="39">
        <f>SUMIF(RAW_File!D:D,C:C,RAW_File!I:I)</f>
        <v>32200</v>
      </c>
      <c r="G1070" s="40">
        <f>SUMIF(RAW_File!D:D,C:C,RAW_File!K:K)</f>
        <v>0</v>
      </c>
      <c r="H1070" s="41">
        <f>SUMIF(RAW_File!D:D,C:C,RAW_File!M:M)</f>
        <v>20000</v>
      </c>
      <c r="I1070" s="40">
        <f t="shared" si="18"/>
        <v>20000</v>
      </c>
    </row>
    <row r="1071" spans="1:9" hidden="1" x14ac:dyDescent="0.25">
      <c r="A1071" s="36" t="s">
        <v>55</v>
      </c>
      <c r="B1071" s="36" t="s">
        <v>2153</v>
      </c>
      <c r="C1071" s="36" t="s">
        <v>2154</v>
      </c>
      <c r="D1071" s="37">
        <f>SUMIF(RAW_File!D:D,C:C,RAW_File!F:F)</f>
        <v>13.44589294701222</v>
      </c>
      <c r="E1071" s="38">
        <f>SUMIF(RAW_File!D:D,C:C,RAW_File!G:G)</f>
        <v>7290</v>
      </c>
      <c r="F1071" s="39">
        <f>SUMIF(RAW_File!D:D,C:C,RAW_File!I:I)</f>
        <v>8560</v>
      </c>
      <c r="G1071" s="40">
        <f>SUMIF(RAW_File!D:D,C:C,RAW_File!K:K)</f>
        <v>5000</v>
      </c>
      <c r="H1071" s="41">
        <f>SUMIF(RAW_File!D:D,C:C,RAW_File!M:M)</f>
        <v>0</v>
      </c>
      <c r="I1071" s="40">
        <f t="shared" si="18"/>
        <v>5000</v>
      </c>
    </row>
    <row r="1072" spans="1:9" hidden="1" x14ac:dyDescent="0.25">
      <c r="A1072" s="36" t="s">
        <v>55</v>
      </c>
      <c r="B1072" s="36" t="s">
        <v>2213</v>
      </c>
      <c r="C1072" s="36" t="s">
        <v>2214</v>
      </c>
      <c r="D1072" s="37">
        <f>SUMIF(RAW_File!D:D,C:C,RAW_File!F:F)</f>
        <v>14823.4507086956</v>
      </c>
      <c r="E1072" s="38">
        <f>SUMIF(RAW_File!D:D,C:C,RAW_File!G:G)</f>
        <v>0</v>
      </c>
      <c r="F1072" s="39">
        <f>SUMIF(RAW_File!D:D,C:C,RAW_File!I:I)</f>
        <v>15100</v>
      </c>
      <c r="G1072" s="40">
        <f>SUMIF(RAW_File!D:D,C:C,RAW_File!K:K)</f>
        <v>0</v>
      </c>
      <c r="H1072" s="41">
        <f>SUMIF(RAW_File!D:D,C:C,RAW_File!M:M)</f>
        <v>10000</v>
      </c>
      <c r="I1072" s="40">
        <f t="shared" si="18"/>
        <v>10000</v>
      </c>
    </row>
    <row r="1073" spans="1:9" hidden="1" x14ac:dyDescent="0.25">
      <c r="A1073" s="36" t="s">
        <v>55</v>
      </c>
      <c r="B1073" s="36" t="s">
        <v>312</v>
      </c>
      <c r="C1073" s="36" t="s">
        <v>2280</v>
      </c>
      <c r="D1073" s="37">
        <f>SUMIF(RAW_File!D:D,C:C,RAW_File!F:F)</f>
        <v>3189.6994</v>
      </c>
      <c r="E1073" s="38">
        <f>SUMIF(RAW_File!D:D,C:C,RAW_File!G:G)</f>
        <v>0</v>
      </c>
      <c r="F1073" s="39">
        <f>SUMIF(RAW_File!D:D,C:C,RAW_File!I:I)</f>
        <v>0</v>
      </c>
      <c r="G1073" s="40">
        <f>SUMIF(RAW_File!D:D,C:C,RAW_File!K:K)</f>
        <v>0</v>
      </c>
      <c r="H1073" s="41">
        <f>SUMIF(RAW_File!D:D,C:C,RAW_File!M:M)</f>
        <v>5000</v>
      </c>
      <c r="I1073" s="40">
        <f t="shared" si="18"/>
        <v>5000</v>
      </c>
    </row>
    <row r="1074" spans="1:9" hidden="1" x14ac:dyDescent="0.25">
      <c r="A1074" s="36" t="s">
        <v>55</v>
      </c>
      <c r="B1074" s="36" t="s">
        <v>2294</v>
      </c>
      <c r="C1074" s="36" t="s">
        <v>2295</v>
      </c>
      <c r="D1074" s="37">
        <f>SUMIF(RAW_File!D:D,C:C,RAW_File!F:F)</f>
        <v>321.09619800000002</v>
      </c>
      <c r="E1074" s="38">
        <f>SUMIF(RAW_File!D:D,C:C,RAW_File!G:G)</f>
        <v>21245</v>
      </c>
      <c r="F1074" s="39">
        <f>SUMIF(RAW_File!D:D,C:C,RAW_File!I:I)</f>
        <v>27585</v>
      </c>
      <c r="G1074" s="40">
        <f>SUMIF(RAW_File!D:D,C:C,RAW_File!K:K)</f>
        <v>10000</v>
      </c>
      <c r="H1074" s="41">
        <f>SUMIF(RAW_File!D:D,C:C,RAW_File!M:M)</f>
        <v>1000</v>
      </c>
      <c r="I1074" s="40">
        <f t="shared" si="18"/>
        <v>9000</v>
      </c>
    </row>
    <row r="1075" spans="1:9" hidden="1" x14ac:dyDescent="0.25">
      <c r="A1075" s="36" t="s">
        <v>55</v>
      </c>
      <c r="B1075" s="36" t="s">
        <v>2303</v>
      </c>
      <c r="C1075" s="36" t="s">
        <v>2304</v>
      </c>
      <c r="D1075" s="37">
        <f>SUMIF(RAW_File!D:D,C:C,RAW_File!F:F)</f>
        <v>12132.190997676011</v>
      </c>
      <c r="E1075" s="38">
        <f>SUMIF(RAW_File!D:D,C:C,RAW_File!G:G)</f>
        <v>4010</v>
      </c>
      <c r="F1075" s="39">
        <f>SUMIF(RAW_File!D:D,C:C,RAW_File!I:I)</f>
        <v>25275</v>
      </c>
      <c r="G1075" s="40">
        <f>SUMIF(RAW_File!D:D,C:C,RAW_File!K:K)</f>
        <v>0</v>
      </c>
      <c r="H1075" s="41">
        <f>SUMIF(RAW_File!D:D,C:C,RAW_File!M:M)</f>
        <v>24000</v>
      </c>
      <c r="I1075" s="40">
        <f t="shared" si="18"/>
        <v>24000</v>
      </c>
    </row>
    <row r="1076" spans="1:9" hidden="1" x14ac:dyDescent="0.25">
      <c r="A1076" s="36" t="s">
        <v>55</v>
      </c>
      <c r="B1076" s="36" t="s">
        <v>2403</v>
      </c>
      <c r="C1076" s="36" t="s">
        <v>2404</v>
      </c>
      <c r="D1076" s="37">
        <f>SUMIF(RAW_File!D:D,C:C,RAW_File!F:F)</f>
        <v>81.311469987448433</v>
      </c>
      <c r="E1076" s="38">
        <f>SUMIF(RAW_File!D:D,C:C,RAW_File!G:G)</f>
        <v>0</v>
      </c>
      <c r="F1076" s="39">
        <f>SUMIF(RAW_File!D:D,C:C,RAW_File!I:I)</f>
        <v>0</v>
      </c>
      <c r="G1076" s="40">
        <f>SUMIF(RAW_File!D:D,C:C,RAW_File!K:K)</f>
        <v>0</v>
      </c>
      <c r="H1076" s="41">
        <f>SUMIF(RAW_File!D:D,C:C,RAW_File!M:M)</f>
        <v>0</v>
      </c>
      <c r="I1076" s="40">
        <f t="shared" si="18"/>
        <v>0</v>
      </c>
    </row>
    <row r="1077" spans="1:9" hidden="1" x14ac:dyDescent="0.25">
      <c r="A1077" s="36" t="s">
        <v>55</v>
      </c>
      <c r="B1077" s="36" t="s">
        <v>2413</v>
      </c>
      <c r="C1077" s="36" t="s">
        <v>2414</v>
      </c>
      <c r="D1077" s="37">
        <f>SUMIF(RAW_File!D:D,C:C,RAW_File!F:F)</f>
        <v>5694.9705000000004</v>
      </c>
      <c r="E1077" s="38">
        <f>SUMIF(RAW_File!D:D,C:C,RAW_File!G:G)</f>
        <v>0</v>
      </c>
      <c r="F1077" s="39">
        <f>SUMIF(RAW_File!D:D,C:C,RAW_File!I:I)</f>
        <v>530</v>
      </c>
      <c r="G1077" s="40">
        <f>SUMIF(RAW_File!D:D,C:C,RAW_File!K:K)</f>
        <v>5000</v>
      </c>
      <c r="H1077" s="41">
        <f>SUMIF(RAW_File!D:D,C:C,RAW_File!M:M)</f>
        <v>0</v>
      </c>
      <c r="I1077" s="40">
        <f t="shared" si="18"/>
        <v>5000</v>
      </c>
    </row>
    <row r="1078" spans="1:9" hidden="1" x14ac:dyDescent="0.25">
      <c r="A1078" s="36" t="s">
        <v>55</v>
      </c>
      <c r="B1078" s="36" t="s">
        <v>2491</v>
      </c>
      <c r="C1078" s="36" t="s">
        <v>2492</v>
      </c>
      <c r="D1078" s="37">
        <f>SUMIF(RAW_File!D:D,C:C,RAW_File!F:F)</f>
        <v>7523.6800999999996</v>
      </c>
      <c r="E1078" s="38">
        <f>SUMIF(RAW_File!D:D,C:C,RAW_File!G:G)</f>
        <v>600</v>
      </c>
      <c r="F1078" s="39">
        <f>SUMIF(RAW_File!D:D,C:C,RAW_File!I:I)</f>
        <v>3000</v>
      </c>
      <c r="G1078" s="40">
        <f>SUMIF(RAW_File!D:D,C:C,RAW_File!K:K)</f>
        <v>5000</v>
      </c>
      <c r="H1078" s="41">
        <f>SUMIF(RAW_File!D:D,C:C,RAW_File!M:M)</f>
        <v>0</v>
      </c>
      <c r="I1078" s="40">
        <f t="shared" si="18"/>
        <v>5000</v>
      </c>
    </row>
    <row r="1079" spans="1:9" hidden="1" x14ac:dyDescent="0.25">
      <c r="A1079" s="36" t="s">
        <v>55</v>
      </c>
      <c r="B1079" s="36" t="s">
        <v>2513</v>
      </c>
      <c r="C1079" s="36" t="s">
        <v>2514</v>
      </c>
      <c r="D1079" s="37">
        <f>SUMIF(RAW_File!D:D,C:C,RAW_File!F:F)</f>
        <v>46251.404300000002</v>
      </c>
      <c r="E1079" s="38">
        <f>SUMIF(RAW_File!D:D,C:C,RAW_File!G:G)</f>
        <v>0</v>
      </c>
      <c r="F1079" s="39">
        <f>SUMIF(RAW_File!D:D,C:C,RAW_File!I:I)</f>
        <v>0</v>
      </c>
      <c r="G1079" s="40">
        <f>SUMIF(RAW_File!D:D,C:C,RAW_File!K:K)</f>
        <v>0</v>
      </c>
      <c r="H1079" s="41">
        <f>SUMIF(RAW_File!D:D,C:C,RAW_File!M:M)</f>
        <v>0</v>
      </c>
      <c r="I1079" s="40">
        <f t="shared" si="18"/>
        <v>0</v>
      </c>
    </row>
    <row r="1080" spans="1:9" hidden="1" x14ac:dyDescent="0.25">
      <c r="A1080" s="36" t="s">
        <v>55</v>
      </c>
      <c r="B1080" s="36" t="s">
        <v>2533</v>
      </c>
      <c r="C1080" s="36" t="s">
        <v>2534</v>
      </c>
      <c r="D1080" s="37">
        <f>SUMIF(RAW_File!D:D,C:C,RAW_File!F:F)</f>
        <v>4227.6373434783</v>
      </c>
      <c r="E1080" s="38">
        <f>SUMIF(RAW_File!D:D,C:C,RAW_File!G:G)</f>
        <v>27800</v>
      </c>
      <c r="F1080" s="39">
        <f>SUMIF(RAW_File!D:D,C:C,RAW_File!I:I)</f>
        <v>44500</v>
      </c>
      <c r="G1080" s="40">
        <f>SUMIF(RAW_File!D:D,C:C,RAW_File!K:K)</f>
        <v>5000</v>
      </c>
      <c r="H1080" s="41">
        <f>SUMIF(RAW_File!D:D,C:C,RAW_File!M:M)</f>
        <v>0</v>
      </c>
      <c r="I1080" s="40">
        <f t="shared" si="18"/>
        <v>5000</v>
      </c>
    </row>
    <row r="1081" spans="1:9" hidden="1" x14ac:dyDescent="0.25">
      <c r="A1081" s="36" t="s">
        <v>55</v>
      </c>
      <c r="B1081" s="36" t="s">
        <v>2878</v>
      </c>
      <c r="C1081" s="36" t="s">
        <v>2879</v>
      </c>
      <c r="D1081" s="37">
        <f>SUMIF(RAW_File!D:D,C:C,RAW_File!F:F)</f>
        <v>7146.4712889230505</v>
      </c>
      <c r="E1081" s="38">
        <f>SUMIF(RAW_File!D:D,C:C,RAW_File!G:G)</f>
        <v>11620</v>
      </c>
      <c r="F1081" s="39">
        <f>SUMIF(RAW_File!D:D,C:C,RAW_File!I:I)</f>
        <v>39230</v>
      </c>
      <c r="G1081" s="40">
        <f>SUMIF(RAW_File!D:D,C:C,RAW_File!K:K)</f>
        <v>0</v>
      </c>
      <c r="H1081" s="41">
        <f>SUMIF(RAW_File!D:D,C:C,RAW_File!M:M)</f>
        <v>75000</v>
      </c>
      <c r="I1081" s="40">
        <f t="shared" si="18"/>
        <v>75000</v>
      </c>
    </row>
    <row r="1082" spans="1:9" hidden="1" x14ac:dyDescent="0.25">
      <c r="A1082" s="36" t="s">
        <v>55</v>
      </c>
      <c r="B1082" s="36" t="s">
        <v>2914</v>
      </c>
      <c r="C1082" s="36" t="s">
        <v>2915</v>
      </c>
      <c r="D1082" s="37">
        <f>SUMIF(RAW_File!D:D,C:C,RAW_File!F:F)</f>
        <v>46580.569000000003</v>
      </c>
      <c r="E1082" s="38">
        <f>SUMIF(RAW_File!D:D,C:C,RAW_File!G:G)</f>
        <v>0</v>
      </c>
      <c r="F1082" s="39">
        <f>SUMIF(RAW_File!D:D,C:C,RAW_File!I:I)</f>
        <v>1115</v>
      </c>
      <c r="G1082" s="40">
        <f>SUMIF(RAW_File!D:D,C:C,RAW_File!K:K)</f>
        <v>40000</v>
      </c>
      <c r="H1082" s="41">
        <f>SUMIF(RAW_File!D:D,C:C,RAW_File!M:M)</f>
        <v>0</v>
      </c>
      <c r="I1082" s="40">
        <f t="shared" si="18"/>
        <v>40000</v>
      </c>
    </row>
    <row r="1083" spans="1:9" hidden="1" x14ac:dyDescent="0.25">
      <c r="A1083" s="36" t="s">
        <v>55</v>
      </c>
      <c r="B1083" s="36" t="s">
        <v>2983</v>
      </c>
      <c r="C1083" s="36" t="s">
        <v>2984</v>
      </c>
      <c r="D1083" s="37">
        <f>SUMIF(RAW_File!D:D,C:C,RAW_File!F:F)</f>
        <v>1021.625837859943</v>
      </c>
      <c r="E1083" s="38">
        <f>SUMIF(RAW_File!D:D,C:C,RAW_File!G:G)</f>
        <v>0</v>
      </c>
      <c r="F1083" s="39">
        <f>SUMIF(RAW_File!D:D,C:C,RAW_File!I:I)</f>
        <v>19000</v>
      </c>
      <c r="G1083" s="40">
        <f>SUMIF(RAW_File!D:D,C:C,RAW_File!K:K)</f>
        <v>0</v>
      </c>
      <c r="H1083" s="41">
        <f>SUMIF(RAW_File!D:D,C:C,RAW_File!M:M)</f>
        <v>19000</v>
      </c>
      <c r="I1083" s="40">
        <f t="shared" si="18"/>
        <v>19000</v>
      </c>
    </row>
    <row r="1084" spans="1:9" hidden="1" x14ac:dyDescent="0.25">
      <c r="A1084" s="36" t="s">
        <v>55</v>
      </c>
      <c r="B1084" s="36" t="s">
        <v>3138</v>
      </c>
      <c r="C1084" s="36" t="s">
        <v>3139</v>
      </c>
      <c r="D1084" s="37">
        <f>SUMIF(RAW_File!D:D,C:C,RAW_File!F:F)</f>
        <v>1605.5513320422599</v>
      </c>
      <c r="E1084" s="38">
        <f>SUMIF(RAW_File!D:D,C:C,RAW_File!G:G)</f>
        <v>0</v>
      </c>
      <c r="F1084" s="39">
        <f>SUMIF(RAW_File!D:D,C:C,RAW_File!I:I)</f>
        <v>0</v>
      </c>
      <c r="G1084" s="40">
        <f>SUMIF(RAW_File!D:D,C:C,RAW_File!K:K)</f>
        <v>0</v>
      </c>
      <c r="H1084" s="41">
        <f>SUMIF(RAW_File!D:D,C:C,RAW_File!M:M)</f>
        <v>0</v>
      </c>
      <c r="I1084" s="40">
        <f t="shared" si="18"/>
        <v>0</v>
      </c>
    </row>
    <row r="1085" spans="1:9" hidden="1" x14ac:dyDescent="0.25">
      <c r="A1085" s="36" t="s">
        <v>55</v>
      </c>
      <c r="B1085" s="36" t="s">
        <v>3171</v>
      </c>
      <c r="C1085" s="36" t="s">
        <v>3172</v>
      </c>
      <c r="D1085" s="37">
        <f>SUMIF(RAW_File!D:D,C:C,RAW_File!F:F)</f>
        <v>2.6304177779580198</v>
      </c>
      <c r="E1085" s="38">
        <f>SUMIF(RAW_File!D:D,C:C,RAW_File!G:G)</f>
        <v>12594</v>
      </c>
      <c r="F1085" s="39">
        <f>SUMIF(RAW_File!D:D,C:C,RAW_File!I:I)</f>
        <v>18058</v>
      </c>
      <c r="G1085" s="40">
        <f>SUMIF(RAW_File!D:D,C:C,RAW_File!K:K)</f>
        <v>5000</v>
      </c>
      <c r="H1085" s="41">
        <f>SUMIF(RAW_File!D:D,C:C,RAW_File!M:M)</f>
        <v>0</v>
      </c>
      <c r="I1085" s="40">
        <f t="shared" si="18"/>
        <v>5000</v>
      </c>
    </row>
    <row r="1086" spans="1:9" hidden="1" x14ac:dyDescent="0.25">
      <c r="A1086" s="36" t="s">
        <v>55</v>
      </c>
      <c r="B1086" s="36" t="s">
        <v>3541</v>
      </c>
      <c r="C1086" s="36" t="s">
        <v>3542</v>
      </c>
      <c r="D1086" s="37">
        <f>SUMIF(RAW_File!D:D,C:C,RAW_File!F:F)</f>
        <v>32099.301599999999</v>
      </c>
      <c r="E1086" s="38">
        <f>SUMIF(RAW_File!D:D,C:C,RAW_File!G:G)</f>
        <v>3420</v>
      </c>
      <c r="F1086" s="39">
        <f>SUMIF(RAW_File!D:D,C:C,RAW_File!I:I)</f>
        <v>10640</v>
      </c>
      <c r="G1086" s="40">
        <f>SUMIF(RAW_File!D:D,C:C,RAW_File!K:K)</f>
        <v>15000</v>
      </c>
      <c r="H1086" s="41">
        <f>SUMIF(RAW_File!D:D,C:C,RAW_File!M:M)</f>
        <v>0</v>
      </c>
      <c r="I1086" s="40">
        <f t="shared" si="18"/>
        <v>15000</v>
      </c>
    </row>
    <row r="1087" spans="1:9" hidden="1" x14ac:dyDescent="0.25">
      <c r="A1087" s="36" t="s">
        <v>83</v>
      </c>
      <c r="B1087" s="36" t="s">
        <v>382</v>
      </c>
      <c r="C1087" s="36" t="s">
        <v>383</v>
      </c>
      <c r="D1087" s="37">
        <f>SUMIF(RAW_File!D:D,C:C,RAW_File!F:F)</f>
        <v>1.9850000000000001</v>
      </c>
      <c r="E1087" s="38">
        <f>SUMIF(RAW_File!D:D,C:C,RAW_File!G:G)</f>
        <v>0</v>
      </c>
      <c r="F1087" s="39">
        <f>SUMIF(RAW_File!D:D,C:C,RAW_File!I:I)</f>
        <v>0</v>
      </c>
      <c r="G1087" s="40">
        <f>SUMIF(RAW_File!D:D,C:C,RAW_File!K:K)</f>
        <v>0</v>
      </c>
      <c r="H1087" s="41">
        <f>SUMIF(RAW_File!D:D,C:C,RAW_File!M:M)</f>
        <v>0</v>
      </c>
      <c r="I1087" s="40">
        <f t="shared" si="18"/>
        <v>0</v>
      </c>
    </row>
    <row r="1088" spans="1:9" hidden="1" x14ac:dyDescent="0.25">
      <c r="A1088" s="36" t="s">
        <v>83</v>
      </c>
      <c r="B1088" s="36" t="s">
        <v>509</v>
      </c>
      <c r="C1088" s="36" t="s">
        <v>510</v>
      </c>
      <c r="D1088" s="37">
        <f>SUMIF(RAW_File!D:D,C:C,RAW_File!F:F)</f>
        <v>1894.1959000065001</v>
      </c>
      <c r="E1088" s="38">
        <f>SUMIF(RAW_File!D:D,C:C,RAW_File!G:G)</f>
        <v>2500</v>
      </c>
      <c r="F1088" s="39">
        <f>SUMIF(RAW_File!D:D,C:C,RAW_File!I:I)</f>
        <v>5000</v>
      </c>
      <c r="G1088" s="40">
        <f>SUMIF(RAW_File!D:D,C:C,RAW_File!K:K)</f>
        <v>10000</v>
      </c>
      <c r="H1088" s="41">
        <f>SUMIF(RAW_File!D:D,C:C,RAW_File!M:M)</f>
        <v>0</v>
      </c>
      <c r="I1088" s="40">
        <f t="shared" si="18"/>
        <v>10000</v>
      </c>
    </row>
    <row r="1089" spans="1:9" hidden="1" x14ac:dyDescent="0.25">
      <c r="A1089" s="36" t="s">
        <v>83</v>
      </c>
      <c r="B1089" s="36" t="s">
        <v>517</v>
      </c>
      <c r="C1089" s="36" t="s">
        <v>518</v>
      </c>
      <c r="D1089" s="37">
        <f>SUMIF(RAW_File!D:D,C:C,RAW_File!F:F)</f>
        <v>4015.1565000047999</v>
      </c>
      <c r="E1089" s="38">
        <f>SUMIF(RAW_File!D:D,C:C,RAW_File!G:G)</f>
        <v>5435</v>
      </c>
      <c r="F1089" s="39">
        <f>SUMIF(RAW_File!D:D,C:C,RAW_File!I:I)</f>
        <v>12325</v>
      </c>
      <c r="G1089" s="40">
        <f>SUMIF(RAW_File!D:D,C:C,RAW_File!K:K)</f>
        <v>0</v>
      </c>
      <c r="H1089" s="41">
        <f>SUMIF(RAW_File!D:D,C:C,RAW_File!M:M)</f>
        <v>15000</v>
      </c>
      <c r="I1089" s="40">
        <f t="shared" si="18"/>
        <v>15000</v>
      </c>
    </row>
    <row r="1090" spans="1:9" hidden="1" x14ac:dyDescent="0.25">
      <c r="A1090" s="36" t="s">
        <v>83</v>
      </c>
      <c r="B1090" s="36" t="s">
        <v>765</v>
      </c>
      <c r="C1090" s="36" t="s">
        <v>766</v>
      </c>
      <c r="D1090" s="37">
        <f>SUMIF(RAW_File!D:D,C:C,RAW_File!F:F)</f>
        <v>1250.3110725594511</v>
      </c>
      <c r="E1090" s="38">
        <f>SUMIF(RAW_File!D:D,C:C,RAW_File!G:G)</f>
        <v>19200</v>
      </c>
      <c r="F1090" s="39">
        <f>SUMIF(RAW_File!D:D,C:C,RAW_File!I:I)</f>
        <v>40290</v>
      </c>
      <c r="G1090" s="40">
        <f>SUMIF(RAW_File!D:D,C:C,RAW_File!K:K)</f>
        <v>12000</v>
      </c>
      <c r="H1090" s="41">
        <f>SUMIF(RAW_File!D:D,C:C,RAW_File!M:M)</f>
        <v>18000</v>
      </c>
      <c r="I1090" s="40">
        <f t="shared" si="18"/>
        <v>6000</v>
      </c>
    </row>
    <row r="1091" spans="1:9" hidden="1" x14ac:dyDescent="0.25">
      <c r="A1091" s="36" t="s">
        <v>83</v>
      </c>
      <c r="B1091" s="36" t="s">
        <v>858</v>
      </c>
      <c r="C1091" s="36" t="s">
        <v>859</v>
      </c>
      <c r="D1091" s="37">
        <f>SUMIF(RAW_File!D:D,C:C,RAW_File!F:F)</f>
        <v>1096.904436617672</v>
      </c>
      <c r="E1091" s="38">
        <f>SUMIF(RAW_File!D:D,C:C,RAW_File!G:G)</f>
        <v>2805</v>
      </c>
      <c r="F1091" s="39">
        <f>SUMIF(RAW_File!D:D,C:C,RAW_File!I:I)</f>
        <v>15685</v>
      </c>
      <c r="G1091" s="40">
        <f>SUMIF(RAW_File!D:D,C:C,RAW_File!K:K)</f>
        <v>7000</v>
      </c>
      <c r="H1091" s="41">
        <f>SUMIF(RAW_File!D:D,C:C,RAW_File!M:M)</f>
        <v>16000</v>
      </c>
      <c r="I1091" s="40">
        <f t="shared" ref="I1091:I1154" si="19">ABS(G1091-H1091)</f>
        <v>9000</v>
      </c>
    </row>
    <row r="1092" spans="1:9" hidden="1" x14ac:dyDescent="0.25">
      <c r="A1092" s="36" t="s">
        <v>83</v>
      </c>
      <c r="B1092" s="36" t="s">
        <v>917</v>
      </c>
      <c r="C1092" s="36" t="s">
        <v>918</v>
      </c>
      <c r="D1092" s="37">
        <f>SUMIF(RAW_File!D:D,C:C,RAW_File!F:F)</f>
        <v>2277.3326511051291</v>
      </c>
      <c r="E1092" s="38">
        <f>SUMIF(RAW_File!D:D,C:C,RAW_File!G:G)</f>
        <v>1015</v>
      </c>
      <c r="F1092" s="39">
        <f>SUMIF(RAW_File!D:D,C:C,RAW_File!I:I)</f>
        <v>1525</v>
      </c>
      <c r="G1092" s="40">
        <f>SUMIF(RAW_File!D:D,C:C,RAW_File!K:K)</f>
        <v>0</v>
      </c>
      <c r="H1092" s="41">
        <f>SUMIF(RAW_File!D:D,C:C,RAW_File!M:M)</f>
        <v>5000</v>
      </c>
      <c r="I1092" s="40">
        <f t="shared" si="19"/>
        <v>5000</v>
      </c>
    </row>
    <row r="1093" spans="1:9" hidden="1" x14ac:dyDescent="0.25">
      <c r="A1093" s="36" t="s">
        <v>83</v>
      </c>
      <c r="B1093" s="36" t="s">
        <v>955</v>
      </c>
      <c r="C1093" s="36" t="s">
        <v>956</v>
      </c>
      <c r="D1093" s="37">
        <f>SUMIF(RAW_File!D:D,C:C,RAW_File!F:F)</f>
        <v>6115.2212</v>
      </c>
      <c r="E1093" s="38">
        <f>SUMIF(RAW_File!D:D,C:C,RAW_File!G:G)</f>
        <v>1350</v>
      </c>
      <c r="F1093" s="39">
        <f>SUMIF(RAW_File!D:D,C:C,RAW_File!I:I)</f>
        <v>6050</v>
      </c>
      <c r="G1093" s="40">
        <f>SUMIF(RAW_File!D:D,C:C,RAW_File!K:K)</f>
        <v>5000</v>
      </c>
      <c r="H1093" s="41">
        <f>SUMIF(RAW_File!D:D,C:C,RAW_File!M:M)</f>
        <v>0</v>
      </c>
      <c r="I1093" s="40">
        <f t="shared" si="19"/>
        <v>5000</v>
      </c>
    </row>
    <row r="1094" spans="1:9" hidden="1" x14ac:dyDescent="0.25">
      <c r="A1094" s="36" t="s">
        <v>83</v>
      </c>
      <c r="B1094" s="36" t="s">
        <v>963</v>
      </c>
      <c r="C1094" s="36" t="s">
        <v>964</v>
      </c>
      <c r="D1094" s="37">
        <f>SUMIF(RAW_File!D:D,C:C,RAW_File!F:F)</f>
        <v>2792.9034000000001</v>
      </c>
      <c r="E1094" s="38">
        <f>SUMIF(RAW_File!D:D,C:C,RAW_File!G:G)</f>
        <v>3920</v>
      </c>
      <c r="F1094" s="39">
        <f>SUMIF(RAW_File!D:D,C:C,RAW_File!I:I)</f>
        <v>5420</v>
      </c>
      <c r="G1094" s="40">
        <f>SUMIF(RAW_File!D:D,C:C,RAW_File!K:K)</f>
        <v>5000</v>
      </c>
      <c r="H1094" s="41">
        <f>SUMIF(RAW_File!D:D,C:C,RAW_File!M:M)</f>
        <v>0</v>
      </c>
      <c r="I1094" s="40">
        <f t="shared" si="19"/>
        <v>5000</v>
      </c>
    </row>
    <row r="1095" spans="1:9" hidden="1" x14ac:dyDescent="0.25">
      <c r="A1095" s="36" t="s">
        <v>83</v>
      </c>
      <c r="B1095" s="36" t="s">
        <v>1071</v>
      </c>
      <c r="C1095" s="36" t="s">
        <v>1072</v>
      </c>
      <c r="D1095" s="37">
        <f>SUMIF(RAW_File!D:D,C:C,RAW_File!F:F)</f>
        <v>9217.4452999999994</v>
      </c>
      <c r="E1095" s="38">
        <f>SUMIF(RAW_File!D:D,C:C,RAW_File!G:G)</f>
        <v>150</v>
      </c>
      <c r="F1095" s="39">
        <f>SUMIF(RAW_File!D:D,C:C,RAW_File!I:I)</f>
        <v>150</v>
      </c>
      <c r="G1095" s="40">
        <f>SUMIF(RAW_File!D:D,C:C,RAW_File!K:K)</f>
        <v>5000</v>
      </c>
      <c r="H1095" s="41">
        <f>SUMIF(RAW_File!D:D,C:C,RAW_File!M:M)</f>
        <v>0</v>
      </c>
      <c r="I1095" s="40">
        <f t="shared" si="19"/>
        <v>5000</v>
      </c>
    </row>
    <row r="1096" spans="1:9" hidden="1" x14ac:dyDescent="0.25">
      <c r="A1096" s="36" t="s">
        <v>83</v>
      </c>
      <c r="B1096" s="36" t="s">
        <v>1139</v>
      </c>
      <c r="C1096" s="36" t="s">
        <v>1140</v>
      </c>
      <c r="D1096" s="37">
        <f>SUMIF(RAW_File!D:D,C:C,RAW_File!F:F)</f>
        <v>9462.7250195810611</v>
      </c>
      <c r="E1096" s="38">
        <f>SUMIF(RAW_File!D:D,C:C,RAW_File!G:G)</f>
        <v>0</v>
      </c>
      <c r="F1096" s="39">
        <f>SUMIF(RAW_File!D:D,C:C,RAW_File!I:I)</f>
        <v>0</v>
      </c>
      <c r="G1096" s="40">
        <f>SUMIF(RAW_File!D:D,C:C,RAW_File!K:K)</f>
        <v>6000</v>
      </c>
      <c r="H1096" s="41">
        <f>SUMIF(RAW_File!D:D,C:C,RAW_File!M:M)</f>
        <v>0</v>
      </c>
      <c r="I1096" s="40">
        <f t="shared" si="19"/>
        <v>6000</v>
      </c>
    </row>
    <row r="1097" spans="1:9" hidden="1" x14ac:dyDescent="0.25">
      <c r="A1097" s="36" t="s">
        <v>83</v>
      </c>
      <c r="B1097" s="36" t="s">
        <v>1367</v>
      </c>
      <c r="C1097" s="36" t="s">
        <v>1368</v>
      </c>
      <c r="D1097" s="37">
        <f>SUMIF(RAW_File!D:D,C:C,RAW_File!F:F)</f>
        <v>4684.2133999999996</v>
      </c>
      <c r="E1097" s="38">
        <f>SUMIF(RAW_File!D:D,C:C,RAW_File!G:G)</f>
        <v>0</v>
      </c>
      <c r="F1097" s="39">
        <f>SUMIF(RAW_File!D:D,C:C,RAW_File!I:I)</f>
        <v>0</v>
      </c>
      <c r="G1097" s="40">
        <f>SUMIF(RAW_File!D:D,C:C,RAW_File!K:K)</f>
        <v>4500</v>
      </c>
      <c r="H1097" s="41">
        <f>SUMIF(RAW_File!D:D,C:C,RAW_File!M:M)</f>
        <v>0</v>
      </c>
      <c r="I1097" s="40">
        <f t="shared" si="19"/>
        <v>4500</v>
      </c>
    </row>
    <row r="1098" spans="1:9" hidden="1" x14ac:dyDescent="0.25">
      <c r="A1098" s="36" t="s">
        <v>83</v>
      </c>
      <c r="B1098" s="36" t="s">
        <v>1396</v>
      </c>
      <c r="C1098" s="36" t="s">
        <v>1397</v>
      </c>
      <c r="D1098" s="37">
        <f>SUMIF(RAW_File!D:D,C:C,RAW_File!F:F)</f>
        <v>1239.2055</v>
      </c>
      <c r="E1098" s="38">
        <f>SUMIF(RAW_File!D:D,C:C,RAW_File!G:G)</f>
        <v>4300</v>
      </c>
      <c r="F1098" s="39">
        <f>SUMIF(RAW_File!D:D,C:C,RAW_File!I:I)</f>
        <v>24530</v>
      </c>
      <c r="G1098" s="40">
        <f>SUMIF(RAW_File!D:D,C:C,RAW_File!K:K)</f>
        <v>5000</v>
      </c>
      <c r="H1098" s="41">
        <f>SUMIF(RAW_File!D:D,C:C,RAW_File!M:M)</f>
        <v>35000</v>
      </c>
      <c r="I1098" s="40">
        <f t="shared" si="19"/>
        <v>30000</v>
      </c>
    </row>
    <row r="1099" spans="1:9" hidden="1" x14ac:dyDescent="0.25">
      <c r="A1099" s="36" t="s">
        <v>83</v>
      </c>
      <c r="B1099" s="36" t="s">
        <v>1405</v>
      </c>
      <c r="C1099" s="36" t="s">
        <v>1406</v>
      </c>
      <c r="D1099" s="37">
        <f>SUMIF(RAW_File!D:D,C:C,RAW_File!F:F)</f>
        <v>5423.311505810726</v>
      </c>
      <c r="E1099" s="38">
        <f>SUMIF(RAW_File!D:D,C:C,RAW_File!G:G)</f>
        <v>200</v>
      </c>
      <c r="F1099" s="39">
        <f>SUMIF(RAW_File!D:D,C:C,RAW_File!I:I)</f>
        <v>5200</v>
      </c>
      <c r="G1099" s="40">
        <f>SUMIF(RAW_File!D:D,C:C,RAW_File!K:K)</f>
        <v>0</v>
      </c>
      <c r="H1099" s="41">
        <f>SUMIF(RAW_File!D:D,C:C,RAW_File!M:M)</f>
        <v>6000</v>
      </c>
      <c r="I1099" s="40">
        <f t="shared" si="19"/>
        <v>6000</v>
      </c>
    </row>
    <row r="1100" spans="1:9" hidden="1" x14ac:dyDescent="0.25">
      <c r="A1100" s="36" t="s">
        <v>83</v>
      </c>
      <c r="B1100" s="36" t="s">
        <v>1540</v>
      </c>
      <c r="C1100" s="36" t="s">
        <v>1541</v>
      </c>
      <c r="D1100" s="37">
        <f>SUMIF(RAW_File!D:D,C:C,RAW_File!F:F)</f>
        <v>5661.225804076852</v>
      </c>
      <c r="E1100" s="38">
        <f>SUMIF(RAW_File!D:D,C:C,RAW_File!G:G)</f>
        <v>1400</v>
      </c>
      <c r="F1100" s="39">
        <f>SUMIF(RAW_File!D:D,C:C,RAW_File!I:I)</f>
        <v>2400</v>
      </c>
      <c r="G1100" s="40">
        <f>SUMIF(RAW_File!D:D,C:C,RAW_File!K:K)</f>
        <v>5000</v>
      </c>
      <c r="H1100" s="41">
        <f>SUMIF(RAW_File!D:D,C:C,RAW_File!M:M)</f>
        <v>0</v>
      </c>
      <c r="I1100" s="40">
        <f t="shared" si="19"/>
        <v>5000</v>
      </c>
    </row>
    <row r="1101" spans="1:9" hidden="1" x14ac:dyDescent="0.25">
      <c r="A1101" s="36" t="s">
        <v>83</v>
      </c>
      <c r="B1101" s="36" t="s">
        <v>1774</v>
      </c>
      <c r="C1101" s="36" t="s">
        <v>1775</v>
      </c>
      <c r="D1101" s="37">
        <f>SUMIF(RAW_File!D:D,C:C,RAW_File!F:F)</f>
        <v>3321.204801289749</v>
      </c>
      <c r="E1101" s="38">
        <f>SUMIF(RAW_File!D:D,C:C,RAW_File!G:G)</f>
        <v>0</v>
      </c>
      <c r="F1101" s="39">
        <f>SUMIF(RAW_File!D:D,C:C,RAW_File!I:I)</f>
        <v>980</v>
      </c>
      <c r="G1101" s="40">
        <f>SUMIF(RAW_File!D:D,C:C,RAW_File!K:K)</f>
        <v>0</v>
      </c>
      <c r="H1101" s="41">
        <f>SUMIF(RAW_File!D:D,C:C,RAW_File!M:M)</f>
        <v>5000</v>
      </c>
      <c r="I1101" s="40">
        <f t="shared" si="19"/>
        <v>5000</v>
      </c>
    </row>
    <row r="1102" spans="1:9" hidden="1" x14ac:dyDescent="0.25">
      <c r="A1102" s="36" t="s">
        <v>83</v>
      </c>
      <c r="B1102" s="36" t="s">
        <v>1796</v>
      </c>
      <c r="C1102" s="36" t="s">
        <v>1797</v>
      </c>
      <c r="D1102" s="37">
        <f>SUMIF(RAW_File!D:D,C:C,RAW_File!F:F)</f>
        <v>1721.9458500000001</v>
      </c>
      <c r="E1102" s="38">
        <f>SUMIF(RAW_File!D:D,C:C,RAW_File!G:G)</f>
        <v>0</v>
      </c>
      <c r="F1102" s="39">
        <f>SUMIF(RAW_File!D:D,C:C,RAW_File!I:I)</f>
        <v>0</v>
      </c>
      <c r="G1102" s="40">
        <f>SUMIF(RAW_File!D:D,C:C,RAW_File!K:K)</f>
        <v>0</v>
      </c>
      <c r="H1102" s="41">
        <f>SUMIF(RAW_File!D:D,C:C,RAW_File!M:M)</f>
        <v>5000</v>
      </c>
      <c r="I1102" s="40">
        <f t="shared" si="19"/>
        <v>5000</v>
      </c>
    </row>
    <row r="1103" spans="1:9" hidden="1" x14ac:dyDescent="0.25">
      <c r="A1103" s="36" t="s">
        <v>83</v>
      </c>
      <c r="B1103" s="36" t="s">
        <v>1899</v>
      </c>
      <c r="C1103" s="36" t="s">
        <v>1900</v>
      </c>
      <c r="D1103" s="37">
        <f>SUMIF(RAW_File!D:D,C:C,RAW_File!F:F)</f>
        <v>2082.9051576378779</v>
      </c>
      <c r="E1103" s="38">
        <f>SUMIF(RAW_File!D:D,C:C,RAW_File!G:G)</f>
        <v>200</v>
      </c>
      <c r="F1103" s="39">
        <f>SUMIF(RAW_File!D:D,C:C,RAW_File!I:I)</f>
        <v>890</v>
      </c>
      <c r="G1103" s="40">
        <f>SUMIF(RAW_File!D:D,C:C,RAW_File!K:K)</f>
        <v>0</v>
      </c>
      <c r="H1103" s="41">
        <f>SUMIF(RAW_File!D:D,C:C,RAW_File!M:M)</f>
        <v>12000</v>
      </c>
      <c r="I1103" s="40">
        <f t="shared" si="19"/>
        <v>12000</v>
      </c>
    </row>
    <row r="1104" spans="1:9" hidden="1" x14ac:dyDescent="0.25">
      <c r="A1104" s="36" t="s">
        <v>83</v>
      </c>
      <c r="B1104" s="36" t="s">
        <v>1913</v>
      </c>
      <c r="C1104" s="36" t="s">
        <v>1914</v>
      </c>
      <c r="D1104" s="37">
        <f>SUMIF(RAW_File!D:D,C:C,RAW_File!F:F)</f>
        <v>467.62843543075422</v>
      </c>
      <c r="E1104" s="38">
        <f>SUMIF(RAW_File!D:D,C:C,RAW_File!G:G)</f>
        <v>1300</v>
      </c>
      <c r="F1104" s="39">
        <f>SUMIF(RAW_File!D:D,C:C,RAW_File!I:I)</f>
        <v>3890</v>
      </c>
      <c r="G1104" s="40">
        <f>SUMIF(RAW_File!D:D,C:C,RAW_File!K:K)</f>
        <v>0</v>
      </c>
      <c r="H1104" s="41">
        <f>SUMIF(RAW_File!D:D,C:C,RAW_File!M:M)</f>
        <v>6000</v>
      </c>
      <c r="I1104" s="40">
        <f t="shared" si="19"/>
        <v>6000</v>
      </c>
    </row>
    <row r="1105" spans="1:9" hidden="1" x14ac:dyDescent="0.25">
      <c r="A1105" s="36" t="s">
        <v>83</v>
      </c>
      <c r="B1105" s="36" t="s">
        <v>1990</v>
      </c>
      <c r="C1105" s="36" t="s">
        <v>1991</v>
      </c>
      <c r="D1105" s="37">
        <f>SUMIF(RAW_File!D:D,C:C,RAW_File!F:F)</f>
        <v>7084.4842034782996</v>
      </c>
      <c r="E1105" s="38">
        <f>SUMIF(RAW_File!D:D,C:C,RAW_File!G:G)</f>
        <v>4000</v>
      </c>
      <c r="F1105" s="39">
        <f>SUMIF(RAW_File!D:D,C:C,RAW_File!I:I)</f>
        <v>5500</v>
      </c>
      <c r="G1105" s="40">
        <f>SUMIF(RAW_File!D:D,C:C,RAW_File!K:K)</f>
        <v>5000</v>
      </c>
      <c r="H1105" s="41">
        <f>SUMIF(RAW_File!D:D,C:C,RAW_File!M:M)</f>
        <v>0</v>
      </c>
      <c r="I1105" s="40">
        <f t="shared" si="19"/>
        <v>5000</v>
      </c>
    </row>
    <row r="1106" spans="1:9" hidden="1" x14ac:dyDescent="0.25">
      <c r="A1106" s="36" t="s">
        <v>83</v>
      </c>
      <c r="B1106" s="36" t="s">
        <v>1992</v>
      </c>
      <c r="C1106" s="36" t="s">
        <v>1993</v>
      </c>
      <c r="D1106" s="37">
        <f>SUMIF(RAW_File!D:D,C:C,RAW_File!F:F)</f>
        <v>5315.0399500000003</v>
      </c>
      <c r="E1106" s="38">
        <f>SUMIF(RAW_File!D:D,C:C,RAW_File!G:G)</f>
        <v>0</v>
      </c>
      <c r="F1106" s="39">
        <f>SUMIF(RAW_File!D:D,C:C,RAW_File!I:I)</f>
        <v>0</v>
      </c>
      <c r="G1106" s="40">
        <f>SUMIF(RAW_File!D:D,C:C,RAW_File!K:K)</f>
        <v>5000</v>
      </c>
      <c r="H1106" s="41">
        <f>SUMIF(RAW_File!D:D,C:C,RAW_File!M:M)</f>
        <v>0</v>
      </c>
      <c r="I1106" s="40">
        <f t="shared" si="19"/>
        <v>5000</v>
      </c>
    </row>
    <row r="1107" spans="1:9" hidden="1" x14ac:dyDescent="0.25">
      <c r="A1107" s="36" t="s">
        <v>83</v>
      </c>
      <c r="B1107" s="36" t="s">
        <v>2004</v>
      </c>
      <c r="C1107" s="36" t="s">
        <v>2005</v>
      </c>
      <c r="D1107" s="37">
        <f>SUMIF(RAW_File!D:D,C:C,RAW_File!F:F)</f>
        <v>213.72235288289471</v>
      </c>
      <c r="E1107" s="38">
        <f>SUMIF(RAW_File!D:D,C:C,RAW_File!G:G)</f>
        <v>600</v>
      </c>
      <c r="F1107" s="39">
        <f>SUMIF(RAW_File!D:D,C:C,RAW_File!I:I)</f>
        <v>8500</v>
      </c>
      <c r="G1107" s="40">
        <f>SUMIF(RAW_File!D:D,C:C,RAW_File!K:K)</f>
        <v>0</v>
      </c>
      <c r="H1107" s="41">
        <f>SUMIF(RAW_File!D:D,C:C,RAW_File!M:M)</f>
        <v>57000</v>
      </c>
      <c r="I1107" s="40">
        <f t="shared" si="19"/>
        <v>57000</v>
      </c>
    </row>
    <row r="1108" spans="1:9" hidden="1" x14ac:dyDescent="0.25">
      <c r="A1108" s="36" t="s">
        <v>83</v>
      </c>
      <c r="B1108" s="36" t="s">
        <v>797</v>
      </c>
      <c r="C1108" s="36" t="s">
        <v>2022</v>
      </c>
      <c r="D1108" s="37">
        <f>SUMIF(RAW_File!D:D,C:C,RAW_File!F:F)</f>
        <v>2218.307946828189</v>
      </c>
      <c r="E1108" s="38">
        <f>SUMIF(RAW_File!D:D,C:C,RAW_File!G:G)</f>
        <v>5600</v>
      </c>
      <c r="F1108" s="39">
        <f>SUMIF(RAW_File!D:D,C:C,RAW_File!I:I)</f>
        <v>27980</v>
      </c>
      <c r="G1108" s="40">
        <f>SUMIF(RAW_File!D:D,C:C,RAW_File!K:K)</f>
        <v>5000</v>
      </c>
      <c r="H1108" s="41">
        <f>SUMIF(RAW_File!D:D,C:C,RAW_File!M:M)</f>
        <v>25000</v>
      </c>
      <c r="I1108" s="40">
        <f t="shared" si="19"/>
        <v>20000</v>
      </c>
    </row>
    <row r="1109" spans="1:9" hidden="1" x14ac:dyDescent="0.25">
      <c r="A1109" s="36" t="s">
        <v>83</v>
      </c>
      <c r="B1109" s="36" t="s">
        <v>2149</v>
      </c>
      <c r="C1109" s="36" t="s">
        <v>2150</v>
      </c>
      <c r="D1109" s="37">
        <f>SUMIF(RAW_File!D:D,C:C,RAW_File!F:F)</f>
        <v>875.06635891705434</v>
      </c>
      <c r="E1109" s="38">
        <f>SUMIF(RAW_File!D:D,C:C,RAW_File!G:G)</f>
        <v>6640</v>
      </c>
      <c r="F1109" s="39">
        <f>SUMIF(RAW_File!D:D,C:C,RAW_File!I:I)</f>
        <v>52460</v>
      </c>
      <c r="G1109" s="40">
        <f>SUMIF(RAW_File!D:D,C:C,RAW_File!K:K)</f>
        <v>5000</v>
      </c>
      <c r="H1109" s="41">
        <f>SUMIF(RAW_File!D:D,C:C,RAW_File!M:M)</f>
        <v>45000</v>
      </c>
      <c r="I1109" s="40">
        <f t="shared" si="19"/>
        <v>40000</v>
      </c>
    </row>
    <row r="1110" spans="1:9" hidden="1" x14ac:dyDescent="0.25">
      <c r="A1110" s="36" t="s">
        <v>83</v>
      </c>
      <c r="B1110" s="36" t="s">
        <v>2155</v>
      </c>
      <c r="C1110" s="36" t="s">
        <v>2156</v>
      </c>
      <c r="D1110" s="37">
        <f>SUMIF(RAW_File!D:D,C:C,RAW_File!F:F)</f>
        <v>643.39124995240002</v>
      </c>
      <c r="E1110" s="38">
        <f>SUMIF(RAW_File!D:D,C:C,RAW_File!G:G)</f>
        <v>0</v>
      </c>
      <c r="F1110" s="39">
        <f>SUMIF(RAW_File!D:D,C:C,RAW_File!I:I)</f>
        <v>3170</v>
      </c>
      <c r="G1110" s="40">
        <f>SUMIF(RAW_File!D:D,C:C,RAW_File!K:K)</f>
        <v>0</v>
      </c>
      <c r="H1110" s="41">
        <f>SUMIF(RAW_File!D:D,C:C,RAW_File!M:M)</f>
        <v>6000</v>
      </c>
      <c r="I1110" s="40">
        <f t="shared" si="19"/>
        <v>6000</v>
      </c>
    </row>
    <row r="1111" spans="1:9" hidden="1" x14ac:dyDescent="0.25">
      <c r="A1111" s="36" t="s">
        <v>83</v>
      </c>
      <c r="B1111" s="36" t="s">
        <v>2174</v>
      </c>
      <c r="C1111" s="36" t="s">
        <v>2175</v>
      </c>
      <c r="D1111" s="37">
        <f>SUMIF(RAW_File!D:D,C:C,RAW_File!F:F)</f>
        <v>20363.42598769064</v>
      </c>
      <c r="E1111" s="38">
        <f>SUMIF(RAW_File!D:D,C:C,RAW_File!G:G)</f>
        <v>6305</v>
      </c>
      <c r="F1111" s="39">
        <f>SUMIF(RAW_File!D:D,C:C,RAW_File!I:I)</f>
        <v>36060</v>
      </c>
      <c r="G1111" s="40">
        <f>SUMIF(RAW_File!D:D,C:C,RAW_File!K:K)</f>
        <v>0</v>
      </c>
      <c r="H1111" s="41">
        <f>SUMIF(RAW_File!D:D,C:C,RAW_File!M:M)</f>
        <v>35000</v>
      </c>
      <c r="I1111" s="40">
        <f t="shared" si="19"/>
        <v>35000</v>
      </c>
    </row>
    <row r="1112" spans="1:9" hidden="1" x14ac:dyDescent="0.25">
      <c r="A1112" s="36" t="s">
        <v>83</v>
      </c>
      <c r="B1112" s="36" t="s">
        <v>2183</v>
      </c>
      <c r="C1112" s="36" t="s">
        <v>2184</v>
      </c>
      <c r="D1112" s="37">
        <f>SUMIF(RAW_File!D:D,C:C,RAW_File!F:F)</f>
        <v>12656.045273215819</v>
      </c>
      <c r="E1112" s="38">
        <f>SUMIF(RAW_File!D:D,C:C,RAW_File!G:G)</f>
        <v>0</v>
      </c>
      <c r="F1112" s="39">
        <f>SUMIF(RAW_File!D:D,C:C,RAW_File!I:I)</f>
        <v>4000</v>
      </c>
      <c r="G1112" s="40">
        <f>SUMIF(RAW_File!D:D,C:C,RAW_File!K:K)</f>
        <v>0</v>
      </c>
      <c r="H1112" s="41">
        <f>SUMIF(RAW_File!D:D,C:C,RAW_File!M:M)</f>
        <v>20000</v>
      </c>
      <c r="I1112" s="40">
        <f t="shared" si="19"/>
        <v>20000</v>
      </c>
    </row>
    <row r="1113" spans="1:9" hidden="1" x14ac:dyDescent="0.25">
      <c r="A1113" s="36" t="s">
        <v>83</v>
      </c>
      <c r="B1113" s="36" t="s">
        <v>2237</v>
      </c>
      <c r="C1113" s="36" t="s">
        <v>2238</v>
      </c>
      <c r="D1113" s="37">
        <f>SUMIF(RAW_File!D:D,C:C,RAW_File!F:F)</f>
        <v>5344.5672500000001</v>
      </c>
      <c r="E1113" s="38">
        <f>SUMIF(RAW_File!D:D,C:C,RAW_File!G:G)</f>
        <v>7277</v>
      </c>
      <c r="F1113" s="39">
        <f>SUMIF(RAW_File!D:D,C:C,RAW_File!I:I)</f>
        <v>9577</v>
      </c>
      <c r="G1113" s="40">
        <f>SUMIF(RAW_File!D:D,C:C,RAW_File!K:K)</f>
        <v>10000</v>
      </c>
      <c r="H1113" s="41">
        <f>SUMIF(RAW_File!D:D,C:C,RAW_File!M:M)</f>
        <v>0</v>
      </c>
      <c r="I1113" s="40">
        <f t="shared" si="19"/>
        <v>10000</v>
      </c>
    </row>
    <row r="1114" spans="1:9" hidden="1" x14ac:dyDescent="0.25">
      <c r="A1114" s="36" t="s">
        <v>83</v>
      </c>
      <c r="B1114" s="36" t="s">
        <v>2349</v>
      </c>
      <c r="C1114" s="36" t="s">
        <v>2350</v>
      </c>
      <c r="D1114" s="37">
        <f>SUMIF(RAW_File!D:D,C:C,RAW_File!F:F)</f>
        <v>1995.3287536125149</v>
      </c>
      <c r="E1114" s="38">
        <f>SUMIF(RAW_File!D:D,C:C,RAW_File!G:G)</f>
        <v>0</v>
      </c>
      <c r="F1114" s="39">
        <f>SUMIF(RAW_File!D:D,C:C,RAW_File!I:I)</f>
        <v>0</v>
      </c>
      <c r="G1114" s="40">
        <f>SUMIF(RAW_File!D:D,C:C,RAW_File!K:K)</f>
        <v>0</v>
      </c>
      <c r="H1114" s="41">
        <f>SUMIF(RAW_File!D:D,C:C,RAW_File!M:M)</f>
        <v>0</v>
      </c>
      <c r="I1114" s="40">
        <f t="shared" si="19"/>
        <v>0</v>
      </c>
    </row>
    <row r="1115" spans="1:9" hidden="1" x14ac:dyDescent="0.25">
      <c r="A1115" s="36" t="s">
        <v>83</v>
      </c>
      <c r="B1115" s="36" t="s">
        <v>2369</v>
      </c>
      <c r="C1115" s="36" t="s">
        <v>2370</v>
      </c>
      <c r="D1115" s="37">
        <f>SUMIF(RAW_File!D:D,C:C,RAW_File!F:F)</f>
        <v>8150.4463184895149</v>
      </c>
      <c r="E1115" s="38">
        <f>SUMIF(RAW_File!D:D,C:C,RAW_File!G:G)</f>
        <v>7500</v>
      </c>
      <c r="F1115" s="39">
        <f>SUMIF(RAW_File!D:D,C:C,RAW_File!I:I)</f>
        <v>31785</v>
      </c>
      <c r="G1115" s="40">
        <f>SUMIF(RAW_File!D:D,C:C,RAW_File!K:K)</f>
        <v>0</v>
      </c>
      <c r="H1115" s="41">
        <f>SUMIF(RAW_File!D:D,C:C,RAW_File!M:M)</f>
        <v>20000</v>
      </c>
      <c r="I1115" s="40">
        <f t="shared" si="19"/>
        <v>20000</v>
      </c>
    </row>
    <row r="1116" spans="1:9" hidden="1" x14ac:dyDescent="0.25">
      <c r="A1116" s="36" t="s">
        <v>83</v>
      </c>
      <c r="B1116" s="36" t="s">
        <v>2465</v>
      </c>
      <c r="C1116" s="36" t="s">
        <v>2466</v>
      </c>
      <c r="D1116" s="37">
        <f>SUMIF(RAW_File!D:D,C:C,RAW_File!F:F)</f>
        <v>70203.088011478307</v>
      </c>
      <c r="E1116" s="38">
        <f>SUMIF(RAW_File!D:D,C:C,RAW_File!G:G)</f>
        <v>19440</v>
      </c>
      <c r="F1116" s="39">
        <f>SUMIF(RAW_File!D:D,C:C,RAW_File!I:I)</f>
        <v>68330</v>
      </c>
      <c r="G1116" s="40">
        <f>SUMIF(RAW_File!D:D,C:C,RAW_File!K:K)</f>
        <v>5000</v>
      </c>
      <c r="H1116" s="41">
        <f>SUMIF(RAW_File!D:D,C:C,RAW_File!M:M)</f>
        <v>0</v>
      </c>
      <c r="I1116" s="40">
        <f t="shared" si="19"/>
        <v>5000</v>
      </c>
    </row>
    <row r="1117" spans="1:9" hidden="1" x14ac:dyDescent="0.25">
      <c r="A1117" s="36" t="s">
        <v>83</v>
      </c>
      <c r="B1117" s="36" t="s">
        <v>2495</v>
      </c>
      <c r="C1117" s="36" t="s">
        <v>2496</v>
      </c>
      <c r="D1117" s="37">
        <f>SUMIF(RAW_File!D:D,C:C,RAW_File!F:F)</f>
        <v>9957.257217249351</v>
      </c>
      <c r="E1117" s="38">
        <f>SUMIF(RAW_File!D:D,C:C,RAW_File!G:G)</f>
        <v>6700</v>
      </c>
      <c r="F1117" s="39">
        <f>SUMIF(RAW_File!D:D,C:C,RAW_File!I:I)</f>
        <v>6700</v>
      </c>
      <c r="G1117" s="40">
        <f>SUMIF(RAW_File!D:D,C:C,RAW_File!K:K)</f>
        <v>5000</v>
      </c>
      <c r="H1117" s="41">
        <f>SUMIF(RAW_File!D:D,C:C,RAW_File!M:M)</f>
        <v>0</v>
      </c>
      <c r="I1117" s="40">
        <f t="shared" si="19"/>
        <v>5000</v>
      </c>
    </row>
    <row r="1118" spans="1:9" hidden="1" x14ac:dyDescent="0.25">
      <c r="A1118" s="36" t="s">
        <v>83</v>
      </c>
      <c r="B1118" s="36" t="s">
        <v>2517</v>
      </c>
      <c r="C1118" s="36" t="s">
        <v>2518</v>
      </c>
      <c r="D1118" s="37">
        <f>SUMIF(RAW_File!D:D,C:C,RAW_File!F:F)</f>
        <v>14.7094</v>
      </c>
      <c r="E1118" s="38">
        <f>SUMIF(RAW_File!D:D,C:C,RAW_File!G:G)</f>
        <v>0</v>
      </c>
      <c r="F1118" s="39">
        <f>SUMIF(RAW_File!D:D,C:C,RAW_File!I:I)</f>
        <v>0</v>
      </c>
      <c r="G1118" s="40">
        <f>SUMIF(RAW_File!D:D,C:C,RAW_File!K:K)</f>
        <v>0</v>
      </c>
      <c r="H1118" s="41">
        <f>SUMIF(RAW_File!D:D,C:C,RAW_File!M:M)</f>
        <v>0</v>
      </c>
      <c r="I1118" s="40">
        <f t="shared" si="19"/>
        <v>0</v>
      </c>
    </row>
    <row r="1119" spans="1:9" hidden="1" x14ac:dyDescent="0.25">
      <c r="A1119" s="36" t="s">
        <v>83</v>
      </c>
      <c r="B1119" s="36" t="s">
        <v>490</v>
      </c>
      <c r="C1119" s="36" t="s">
        <v>2554</v>
      </c>
      <c r="D1119" s="37">
        <f>SUMIF(RAW_File!D:D,C:C,RAW_File!F:F)</f>
        <v>1771.3904826083001</v>
      </c>
      <c r="E1119" s="38">
        <f>SUMIF(RAW_File!D:D,C:C,RAW_File!G:G)</f>
        <v>9080</v>
      </c>
      <c r="F1119" s="39">
        <f>SUMIF(RAW_File!D:D,C:C,RAW_File!I:I)</f>
        <v>23750</v>
      </c>
      <c r="G1119" s="40">
        <f>SUMIF(RAW_File!D:D,C:C,RAW_File!K:K)</f>
        <v>0</v>
      </c>
      <c r="H1119" s="41">
        <f>SUMIF(RAW_File!D:D,C:C,RAW_File!M:M)</f>
        <v>42000</v>
      </c>
      <c r="I1119" s="40">
        <f t="shared" si="19"/>
        <v>42000</v>
      </c>
    </row>
    <row r="1120" spans="1:9" hidden="1" x14ac:dyDescent="0.25">
      <c r="A1120" s="36" t="s">
        <v>83</v>
      </c>
      <c r="B1120" s="36" t="s">
        <v>2631</v>
      </c>
      <c r="C1120" s="36" t="s">
        <v>2632</v>
      </c>
      <c r="D1120" s="37">
        <f>SUMIF(RAW_File!D:D,C:C,RAW_File!F:F)</f>
        <v>9827.4292000000005</v>
      </c>
      <c r="E1120" s="38">
        <f>SUMIF(RAW_File!D:D,C:C,RAW_File!G:G)</f>
        <v>4160</v>
      </c>
      <c r="F1120" s="39">
        <f>SUMIF(RAW_File!D:D,C:C,RAW_File!I:I)</f>
        <v>29220</v>
      </c>
      <c r="G1120" s="40">
        <f>SUMIF(RAW_File!D:D,C:C,RAW_File!K:K)</f>
        <v>5000</v>
      </c>
      <c r="H1120" s="41">
        <f>SUMIF(RAW_File!D:D,C:C,RAW_File!M:M)</f>
        <v>60000</v>
      </c>
      <c r="I1120" s="40">
        <f t="shared" si="19"/>
        <v>55000</v>
      </c>
    </row>
    <row r="1121" spans="1:9" hidden="1" x14ac:dyDescent="0.25">
      <c r="A1121" s="36" t="s">
        <v>83</v>
      </c>
      <c r="B1121" s="36" t="s">
        <v>2667</v>
      </c>
      <c r="C1121" s="36" t="s">
        <v>2668</v>
      </c>
      <c r="D1121" s="37">
        <f>SUMIF(RAW_File!D:D,C:C,RAW_File!F:F)</f>
        <v>8104.4675999999999</v>
      </c>
      <c r="E1121" s="38">
        <f>SUMIF(RAW_File!D:D,C:C,RAW_File!G:G)</f>
        <v>6500</v>
      </c>
      <c r="F1121" s="39">
        <f>SUMIF(RAW_File!D:D,C:C,RAW_File!I:I)</f>
        <v>17100</v>
      </c>
      <c r="G1121" s="40">
        <f>SUMIF(RAW_File!D:D,C:C,RAW_File!K:K)</f>
        <v>0</v>
      </c>
      <c r="H1121" s="41">
        <f>SUMIF(RAW_File!D:D,C:C,RAW_File!M:M)</f>
        <v>6000</v>
      </c>
      <c r="I1121" s="40">
        <f t="shared" si="19"/>
        <v>6000</v>
      </c>
    </row>
    <row r="1122" spans="1:9" hidden="1" x14ac:dyDescent="0.25">
      <c r="A1122" s="36" t="s">
        <v>83</v>
      </c>
      <c r="B1122" s="36" t="s">
        <v>2669</v>
      </c>
      <c r="C1122" s="36" t="s">
        <v>2670</v>
      </c>
      <c r="D1122" s="37">
        <f>SUMIF(RAW_File!D:D,C:C,RAW_File!F:F)</f>
        <v>22504.082299999998</v>
      </c>
      <c r="E1122" s="38">
        <f>SUMIF(RAW_File!D:D,C:C,RAW_File!G:G)</f>
        <v>2115</v>
      </c>
      <c r="F1122" s="39">
        <f>SUMIF(RAW_File!D:D,C:C,RAW_File!I:I)</f>
        <v>2115</v>
      </c>
      <c r="G1122" s="40">
        <f>SUMIF(RAW_File!D:D,C:C,RAW_File!K:K)</f>
        <v>5000</v>
      </c>
      <c r="H1122" s="41">
        <f>SUMIF(RAW_File!D:D,C:C,RAW_File!M:M)</f>
        <v>0</v>
      </c>
      <c r="I1122" s="40">
        <f t="shared" si="19"/>
        <v>5000</v>
      </c>
    </row>
    <row r="1123" spans="1:9" hidden="1" x14ac:dyDescent="0.25">
      <c r="A1123" s="36" t="s">
        <v>83</v>
      </c>
      <c r="B1123" s="36" t="s">
        <v>2776</v>
      </c>
      <c r="C1123" s="36" t="s">
        <v>2777</v>
      </c>
      <c r="D1123" s="37">
        <f>SUMIF(RAW_File!D:D,C:C,RAW_File!F:F)</f>
        <v>5453.5691062086244</v>
      </c>
      <c r="E1123" s="38">
        <f>SUMIF(RAW_File!D:D,C:C,RAW_File!G:G)</f>
        <v>0</v>
      </c>
      <c r="F1123" s="39">
        <f>SUMIF(RAW_File!D:D,C:C,RAW_File!I:I)</f>
        <v>0</v>
      </c>
      <c r="G1123" s="40">
        <f>SUMIF(RAW_File!D:D,C:C,RAW_File!K:K)</f>
        <v>5000</v>
      </c>
      <c r="H1123" s="41">
        <f>SUMIF(RAW_File!D:D,C:C,RAW_File!M:M)</f>
        <v>0</v>
      </c>
      <c r="I1123" s="40">
        <f t="shared" si="19"/>
        <v>5000</v>
      </c>
    </row>
    <row r="1124" spans="1:9" hidden="1" x14ac:dyDescent="0.25">
      <c r="A1124" s="36" t="s">
        <v>83</v>
      </c>
      <c r="B1124" s="36" t="s">
        <v>2802</v>
      </c>
      <c r="C1124" s="36" t="s">
        <v>2803</v>
      </c>
      <c r="D1124" s="37">
        <f>SUMIF(RAW_File!D:D,C:C,RAW_File!F:F)</f>
        <v>0.53424678247141855</v>
      </c>
      <c r="E1124" s="38">
        <f>SUMIF(RAW_File!D:D,C:C,RAW_File!G:G)</f>
        <v>50</v>
      </c>
      <c r="F1124" s="39">
        <f>SUMIF(RAW_File!D:D,C:C,RAW_File!I:I)</f>
        <v>302</v>
      </c>
      <c r="G1124" s="40">
        <f>SUMIF(RAW_File!D:D,C:C,RAW_File!K:K)</f>
        <v>5000</v>
      </c>
      <c r="H1124" s="41">
        <f>SUMIF(RAW_File!D:D,C:C,RAW_File!M:M)</f>
        <v>9999</v>
      </c>
      <c r="I1124" s="40">
        <f t="shared" si="19"/>
        <v>4999</v>
      </c>
    </row>
    <row r="1125" spans="1:9" hidden="1" x14ac:dyDescent="0.25">
      <c r="A1125" s="36" t="s">
        <v>83</v>
      </c>
      <c r="B1125" s="36" t="s">
        <v>2908</v>
      </c>
      <c r="C1125" s="36" t="s">
        <v>2909</v>
      </c>
      <c r="D1125" s="37">
        <f>SUMIF(RAW_File!D:D,C:C,RAW_File!F:F)</f>
        <v>25687.676437139831</v>
      </c>
      <c r="E1125" s="38">
        <f>SUMIF(RAW_File!D:D,C:C,RAW_File!G:G)</f>
        <v>15350</v>
      </c>
      <c r="F1125" s="39">
        <f>SUMIF(RAW_File!D:D,C:C,RAW_File!I:I)</f>
        <v>18450</v>
      </c>
      <c r="G1125" s="40">
        <f>SUMIF(RAW_File!D:D,C:C,RAW_File!K:K)</f>
        <v>5000</v>
      </c>
      <c r="H1125" s="41">
        <f>SUMIF(RAW_File!D:D,C:C,RAW_File!M:M)</f>
        <v>0</v>
      </c>
      <c r="I1125" s="40">
        <f t="shared" si="19"/>
        <v>5000</v>
      </c>
    </row>
    <row r="1126" spans="1:9" hidden="1" x14ac:dyDescent="0.25">
      <c r="A1126" s="36" t="s">
        <v>83</v>
      </c>
      <c r="B1126" s="36" t="s">
        <v>2937</v>
      </c>
      <c r="C1126" s="36" t="s">
        <v>2938</v>
      </c>
      <c r="D1126" s="37">
        <f>SUMIF(RAW_File!D:D,C:C,RAW_File!F:F)</f>
        <v>1743.34030594316</v>
      </c>
      <c r="E1126" s="38">
        <f>SUMIF(RAW_File!D:D,C:C,RAW_File!G:G)</f>
        <v>0</v>
      </c>
      <c r="F1126" s="39">
        <f>SUMIF(RAW_File!D:D,C:C,RAW_File!I:I)</f>
        <v>5000</v>
      </c>
      <c r="G1126" s="40">
        <f>SUMIF(RAW_File!D:D,C:C,RAW_File!K:K)</f>
        <v>0</v>
      </c>
      <c r="H1126" s="41">
        <f>SUMIF(RAW_File!D:D,C:C,RAW_File!M:M)</f>
        <v>5000</v>
      </c>
      <c r="I1126" s="40">
        <f t="shared" si="19"/>
        <v>5000</v>
      </c>
    </row>
    <row r="1127" spans="1:9" hidden="1" x14ac:dyDescent="0.25">
      <c r="A1127" s="36" t="s">
        <v>83</v>
      </c>
      <c r="B1127" s="36" t="s">
        <v>3116</v>
      </c>
      <c r="C1127" s="36" t="s">
        <v>3117</v>
      </c>
      <c r="D1127" s="37">
        <f>SUMIF(RAW_File!D:D,C:C,RAW_File!F:F)</f>
        <v>34064.395986064468</v>
      </c>
      <c r="E1127" s="38">
        <f>SUMIF(RAW_File!D:D,C:C,RAW_File!G:G)</f>
        <v>1700</v>
      </c>
      <c r="F1127" s="39">
        <f>SUMIF(RAW_File!D:D,C:C,RAW_File!I:I)</f>
        <v>52535</v>
      </c>
      <c r="G1127" s="40">
        <f>SUMIF(RAW_File!D:D,C:C,RAW_File!K:K)</f>
        <v>0</v>
      </c>
      <c r="H1127" s="41">
        <f>SUMIF(RAW_File!D:D,C:C,RAW_File!M:M)</f>
        <v>60000</v>
      </c>
      <c r="I1127" s="40">
        <f t="shared" si="19"/>
        <v>60000</v>
      </c>
    </row>
    <row r="1128" spans="1:9" hidden="1" x14ac:dyDescent="0.25">
      <c r="A1128" s="36" t="s">
        <v>83</v>
      </c>
      <c r="B1128" s="36" t="s">
        <v>3307</v>
      </c>
      <c r="C1128" s="36" t="s">
        <v>3308</v>
      </c>
      <c r="D1128" s="37">
        <f>SUMIF(RAW_File!D:D,C:C,RAW_File!F:F)</f>
        <v>1284.5070000000001</v>
      </c>
      <c r="E1128" s="38">
        <f>SUMIF(RAW_File!D:D,C:C,RAW_File!G:G)</f>
        <v>0</v>
      </c>
      <c r="F1128" s="39">
        <f>SUMIF(RAW_File!D:D,C:C,RAW_File!I:I)</f>
        <v>0</v>
      </c>
      <c r="G1128" s="40">
        <f>SUMIF(RAW_File!D:D,C:C,RAW_File!K:K)</f>
        <v>0</v>
      </c>
      <c r="H1128" s="41">
        <f>SUMIF(RAW_File!D:D,C:C,RAW_File!M:M)</f>
        <v>6000</v>
      </c>
      <c r="I1128" s="40">
        <f t="shared" si="19"/>
        <v>6000</v>
      </c>
    </row>
    <row r="1129" spans="1:9" hidden="1" x14ac:dyDescent="0.25">
      <c r="A1129" s="36" t="s">
        <v>83</v>
      </c>
      <c r="B1129" s="36" t="s">
        <v>3330</v>
      </c>
      <c r="C1129" s="36" t="s">
        <v>3331</v>
      </c>
      <c r="D1129" s="37">
        <f>SUMIF(RAW_File!D:D,C:C,RAW_File!F:F)</f>
        <v>472.11576687729109</v>
      </c>
      <c r="E1129" s="38">
        <f>SUMIF(RAW_File!D:D,C:C,RAW_File!G:G)</f>
        <v>500</v>
      </c>
      <c r="F1129" s="39">
        <f>SUMIF(RAW_File!D:D,C:C,RAW_File!I:I)</f>
        <v>3000</v>
      </c>
      <c r="G1129" s="40">
        <f>SUMIF(RAW_File!D:D,C:C,RAW_File!K:K)</f>
        <v>0</v>
      </c>
      <c r="H1129" s="41">
        <f>SUMIF(RAW_File!D:D,C:C,RAW_File!M:M)</f>
        <v>5000</v>
      </c>
      <c r="I1129" s="40">
        <f t="shared" si="19"/>
        <v>5000</v>
      </c>
    </row>
    <row r="1130" spans="1:9" hidden="1" x14ac:dyDescent="0.25">
      <c r="A1130" s="36" t="s">
        <v>83</v>
      </c>
      <c r="B1130" s="36" t="s">
        <v>3342</v>
      </c>
      <c r="C1130" s="36" t="s">
        <v>3343</v>
      </c>
      <c r="D1130" s="37">
        <f>SUMIF(RAW_File!D:D,C:C,RAW_File!F:F)</f>
        <v>1357.315016062078</v>
      </c>
      <c r="E1130" s="38">
        <f>SUMIF(RAW_File!D:D,C:C,RAW_File!G:G)</f>
        <v>200</v>
      </c>
      <c r="F1130" s="39">
        <f>SUMIF(RAW_File!D:D,C:C,RAW_File!I:I)</f>
        <v>5720</v>
      </c>
      <c r="G1130" s="40">
        <f>SUMIF(RAW_File!D:D,C:C,RAW_File!K:K)</f>
        <v>0</v>
      </c>
      <c r="H1130" s="41">
        <f>SUMIF(RAW_File!D:D,C:C,RAW_File!M:M)</f>
        <v>5000</v>
      </c>
      <c r="I1130" s="40">
        <f t="shared" si="19"/>
        <v>5000</v>
      </c>
    </row>
    <row r="1131" spans="1:9" hidden="1" x14ac:dyDescent="0.25">
      <c r="A1131" s="36" t="s">
        <v>83</v>
      </c>
      <c r="B1131" s="36" t="s">
        <v>3352</v>
      </c>
      <c r="C1131" s="36" t="s">
        <v>3353</v>
      </c>
      <c r="D1131" s="37">
        <f>SUMIF(RAW_File!D:D,C:C,RAW_File!F:F)</f>
        <v>273.19698862797821</v>
      </c>
      <c r="E1131" s="38">
        <f>SUMIF(RAW_File!D:D,C:C,RAW_File!G:G)</f>
        <v>7420</v>
      </c>
      <c r="F1131" s="39">
        <f>SUMIF(RAW_File!D:D,C:C,RAW_File!I:I)</f>
        <v>21090</v>
      </c>
      <c r="G1131" s="40">
        <f>SUMIF(RAW_File!D:D,C:C,RAW_File!K:K)</f>
        <v>5000</v>
      </c>
      <c r="H1131" s="41">
        <f>SUMIF(RAW_File!D:D,C:C,RAW_File!M:M)</f>
        <v>10000</v>
      </c>
      <c r="I1131" s="40">
        <f t="shared" si="19"/>
        <v>5000</v>
      </c>
    </row>
    <row r="1132" spans="1:9" hidden="1" x14ac:dyDescent="0.25">
      <c r="A1132" s="36" t="s">
        <v>83</v>
      </c>
      <c r="B1132" s="36" t="s">
        <v>3342</v>
      </c>
      <c r="C1132" s="36" t="s">
        <v>3403</v>
      </c>
      <c r="D1132" s="37">
        <f>SUMIF(RAW_File!D:D,C:C,RAW_File!F:F)</f>
        <v>0.72235830172599003</v>
      </c>
      <c r="E1132" s="38">
        <f>SUMIF(RAW_File!D:D,C:C,RAW_File!G:G)</f>
        <v>0</v>
      </c>
      <c r="F1132" s="39">
        <f>SUMIF(RAW_File!D:D,C:C,RAW_File!I:I)</f>
        <v>0</v>
      </c>
      <c r="G1132" s="40">
        <f>SUMIF(RAW_File!D:D,C:C,RAW_File!K:K)</f>
        <v>0</v>
      </c>
      <c r="H1132" s="41">
        <f>SUMIF(RAW_File!D:D,C:C,RAW_File!M:M)</f>
        <v>0</v>
      </c>
      <c r="I1132" s="40">
        <f t="shared" si="19"/>
        <v>0</v>
      </c>
    </row>
    <row r="1133" spans="1:9" hidden="1" x14ac:dyDescent="0.25">
      <c r="A1133" s="36" t="s">
        <v>83</v>
      </c>
      <c r="B1133" s="36" t="s">
        <v>3532</v>
      </c>
      <c r="C1133" s="36" t="s">
        <v>3533</v>
      </c>
      <c r="D1133" s="37">
        <f>SUMIF(RAW_File!D:D,C:C,RAW_File!F:F)</f>
        <v>5087.491</v>
      </c>
      <c r="E1133" s="38">
        <f>SUMIF(RAW_File!D:D,C:C,RAW_File!G:G)</f>
        <v>0</v>
      </c>
      <c r="F1133" s="39">
        <f>SUMIF(RAW_File!D:D,C:C,RAW_File!I:I)</f>
        <v>0</v>
      </c>
      <c r="G1133" s="40">
        <f>SUMIF(RAW_File!D:D,C:C,RAW_File!K:K)</f>
        <v>0</v>
      </c>
      <c r="H1133" s="41">
        <f>SUMIF(RAW_File!D:D,C:C,RAW_File!M:M)</f>
        <v>0</v>
      </c>
      <c r="I1133" s="40">
        <f t="shared" si="19"/>
        <v>0</v>
      </c>
    </row>
    <row r="1134" spans="1:9" hidden="1" x14ac:dyDescent="0.25">
      <c r="A1134" s="36" t="s">
        <v>79</v>
      </c>
      <c r="B1134" s="36" t="s">
        <v>215</v>
      </c>
      <c r="C1134" s="36" t="s">
        <v>216</v>
      </c>
      <c r="D1134" s="37">
        <f>SUMIF(RAW_File!D:D,C:C,RAW_File!F:F)</f>
        <v>32.378599999999999</v>
      </c>
      <c r="E1134" s="38">
        <f>SUMIF(RAW_File!D:D,C:C,RAW_File!G:G)</f>
        <v>0</v>
      </c>
      <c r="F1134" s="39">
        <f>SUMIF(RAW_File!D:D,C:C,RAW_File!I:I)</f>
        <v>0</v>
      </c>
      <c r="G1134" s="40">
        <f>SUMIF(RAW_File!D:D,C:C,RAW_File!K:K)</f>
        <v>0</v>
      </c>
      <c r="H1134" s="41">
        <f>SUMIF(RAW_File!D:D,C:C,RAW_File!M:M)</f>
        <v>0</v>
      </c>
      <c r="I1134" s="40">
        <f t="shared" si="19"/>
        <v>0</v>
      </c>
    </row>
    <row r="1135" spans="1:9" hidden="1" x14ac:dyDescent="0.25">
      <c r="A1135" s="36" t="s">
        <v>79</v>
      </c>
      <c r="B1135" s="36" t="s">
        <v>235</v>
      </c>
      <c r="C1135" s="36" t="s">
        <v>236</v>
      </c>
      <c r="D1135" s="37">
        <f>SUMIF(RAW_File!D:D,C:C,RAW_File!F:F)</f>
        <v>2.5983999999999998</v>
      </c>
      <c r="E1135" s="38">
        <f>SUMIF(RAW_File!D:D,C:C,RAW_File!G:G)</f>
        <v>0</v>
      </c>
      <c r="F1135" s="39">
        <f>SUMIF(RAW_File!D:D,C:C,RAW_File!I:I)</f>
        <v>0</v>
      </c>
      <c r="G1135" s="40">
        <f>SUMIF(RAW_File!D:D,C:C,RAW_File!K:K)</f>
        <v>0</v>
      </c>
      <c r="H1135" s="41">
        <f>SUMIF(RAW_File!D:D,C:C,RAW_File!M:M)</f>
        <v>0</v>
      </c>
      <c r="I1135" s="40">
        <f t="shared" si="19"/>
        <v>0</v>
      </c>
    </row>
    <row r="1136" spans="1:9" hidden="1" x14ac:dyDescent="0.25">
      <c r="A1136" s="36" t="s">
        <v>79</v>
      </c>
      <c r="B1136" s="36" t="s">
        <v>258</v>
      </c>
      <c r="C1136" s="36" t="s">
        <v>259</v>
      </c>
      <c r="D1136" s="37">
        <f>SUMIF(RAW_File!D:D,C:C,RAW_File!F:F)</f>
        <v>2.8199670000000001</v>
      </c>
      <c r="E1136" s="38">
        <f>SUMIF(RAW_File!D:D,C:C,RAW_File!G:G)</f>
        <v>0</v>
      </c>
      <c r="F1136" s="39">
        <f>SUMIF(RAW_File!D:D,C:C,RAW_File!I:I)</f>
        <v>0</v>
      </c>
      <c r="G1136" s="40">
        <f>SUMIF(RAW_File!D:D,C:C,RAW_File!K:K)</f>
        <v>0</v>
      </c>
      <c r="H1136" s="41">
        <f>SUMIF(RAW_File!D:D,C:C,RAW_File!M:M)</f>
        <v>0</v>
      </c>
      <c r="I1136" s="40">
        <f t="shared" si="19"/>
        <v>0</v>
      </c>
    </row>
    <row r="1137" spans="1:9" hidden="1" x14ac:dyDescent="0.25">
      <c r="A1137" s="36" t="s">
        <v>79</v>
      </c>
      <c r="B1137" s="36" t="s">
        <v>326</v>
      </c>
      <c r="C1137" s="36" t="s">
        <v>327</v>
      </c>
      <c r="D1137" s="37">
        <f>SUMIF(RAW_File!D:D,C:C,RAW_File!F:F)</f>
        <v>3771.8328706744819</v>
      </c>
      <c r="E1137" s="38">
        <f>SUMIF(RAW_File!D:D,C:C,RAW_File!G:G)</f>
        <v>8080</v>
      </c>
      <c r="F1137" s="39">
        <f>SUMIF(RAW_File!D:D,C:C,RAW_File!I:I)</f>
        <v>21740</v>
      </c>
      <c r="G1137" s="40">
        <f>SUMIF(RAW_File!D:D,C:C,RAW_File!K:K)</f>
        <v>0</v>
      </c>
      <c r="H1137" s="41">
        <f>SUMIF(RAW_File!D:D,C:C,RAW_File!M:M)</f>
        <v>21000</v>
      </c>
      <c r="I1137" s="40">
        <f t="shared" si="19"/>
        <v>21000</v>
      </c>
    </row>
    <row r="1138" spans="1:9" hidden="1" x14ac:dyDescent="0.25">
      <c r="A1138" s="36" t="s">
        <v>79</v>
      </c>
      <c r="B1138" s="36" t="s">
        <v>330</v>
      </c>
      <c r="C1138" s="36" t="s">
        <v>331</v>
      </c>
      <c r="D1138" s="37">
        <f>SUMIF(RAW_File!D:D,C:C,RAW_File!F:F)</f>
        <v>12895.46573998366</v>
      </c>
      <c r="E1138" s="38">
        <f>SUMIF(RAW_File!D:D,C:C,RAW_File!G:G)</f>
        <v>0</v>
      </c>
      <c r="F1138" s="39">
        <f>SUMIF(RAW_File!D:D,C:C,RAW_File!I:I)</f>
        <v>1400</v>
      </c>
      <c r="G1138" s="40">
        <f>SUMIF(RAW_File!D:D,C:C,RAW_File!K:K)</f>
        <v>5000</v>
      </c>
      <c r="H1138" s="41">
        <f>SUMIF(RAW_File!D:D,C:C,RAW_File!M:M)</f>
        <v>0</v>
      </c>
      <c r="I1138" s="40">
        <f t="shared" si="19"/>
        <v>5000</v>
      </c>
    </row>
    <row r="1139" spans="1:9" hidden="1" x14ac:dyDescent="0.25">
      <c r="A1139" s="36" t="s">
        <v>79</v>
      </c>
      <c r="B1139" s="36" t="s">
        <v>590</v>
      </c>
      <c r="C1139" s="36" t="s">
        <v>591</v>
      </c>
      <c r="D1139" s="37">
        <f>SUMIF(RAW_File!D:D,C:C,RAW_File!F:F)</f>
        <v>1986.3770401394729</v>
      </c>
      <c r="E1139" s="38">
        <f>SUMIF(RAW_File!D:D,C:C,RAW_File!G:G)</f>
        <v>0</v>
      </c>
      <c r="F1139" s="39">
        <f>SUMIF(RAW_File!D:D,C:C,RAW_File!I:I)</f>
        <v>1400</v>
      </c>
      <c r="G1139" s="40">
        <f>SUMIF(RAW_File!D:D,C:C,RAW_File!K:K)</f>
        <v>0</v>
      </c>
      <c r="H1139" s="41">
        <f>SUMIF(RAW_File!D:D,C:C,RAW_File!M:M)</f>
        <v>6000</v>
      </c>
      <c r="I1139" s="40">
        <f t="shared" si="19"/>
        <v>6000</v>
      </c>
    </row>
    <row r="1140" spans="1:9" hidden="1" x14ac:dyDescent="0.25">
      <c r="A1140" s="36" t="s">
        <v>79</v>
      </c>
      <c r="B1140" s="36" t="s">
        <v>608</v>
      </c>
      <c r="C1140" s="36" t="s">
        <v>609</v>
      </c>
      <c r="D1140" s="37">
        <f>SUMIF(RAW_File!D:D,C:C,RAW_File!F:F)</f>
        <v>8443.7207999999991</v>
      </c>
      <c r="E1140" s="38">
        <f>SUMIF(RAW_File!D:D,C:C,RAW_File!G:G)</f>
        <v>8450</v>
      </c>
      <c r="F1140" s="39">
        <f>SUMIF(RAW_File!D:D,C:C,RAW_File!I:I)</f>
        <v>15040</v>
      </c>
      <c r="G1140" s="40">
        <f>SUMIF(RAW_File!D:D,C:C,RAW_File!K:K)</f>
        <v>10000</v>
      </c>
      <c r="H1140" s="41">
        <f>SUMIF(RAW_File!D:D,C:C,RAW_File!M:M)</f>
        <v>0</v>
      </c>
      <c r="I1140" s="40">
        <f t="shared" si="19"/>
        <v>10000</v>
      </c>
    </row>
    <row r="1141" spans="1:9" hidden="1" x14ac:dyDescent="0.25">
      <c r="A1141" s="36" t="s">
        <v>79</v>
      </c>
      <c r="B1141" s="36" t="s">
        <v>675</v>
      </c>
      <c r="C1141" s="36" t="s">
        <v>676</v>
      </c>
      <c r="D1141" s="37">
        <f>SUMIF(RAW_File!D:D,C:C,RAW_File!F:F)</f>
        <v>7183.4445500000002</v>
      </c>
      <c r="E1141" s="38">
        <f>SUMIF(RAW_File!D:D,C:C,RAW_File!G:G)</f>
        <v>3130</v>
      </c>
      <c r="F1141" s="39">
        <f>SUMIF(RAW_File!D:D,C:C,RAW_File!I:I)</f>
        <v>3530</v>
      </c>
      <c r="G1141" s="40">
        <f>SUMIF(RAW_File!D:D,C:C,RAW_File!K:K)</f>
        <v>5000</v>
      </c>
      <c r="H1141" s="41">
        <f>SUMIF(RAW_File!D:D,C:C,RAW_File!M:M)</f>
        <v>0</v>
      </c>
      <c r="I1141" s="40">
        <f t="shared" si="19"/>
        <v>5000</v>
      </c>
    </row>
    <row r="1142" spans="1:9" hidden="1" x14ac:dyDescent="0.25">
      <c r="A1142" s="36" t="s">
        <v>79</v>
      </c>
      <c r="B1142" s="36" t="s">
        <v>797</v>
      </c>
      <c r="C1142" s="36" t="s">
        <v>798</v>
      </c>
      <c r="D1142" s="37">
        <f>SUMIF(RAW_File!D:D,C:C,RAW_File!F:F)</f>
        <v>17390.19766583708</v>
      </c>
      <c r="E1142" s="38">
        <f>SUMIF(RAW_File!D:D,C:C,RAW_File!G:G)</f>
        <v>2605</v>
      </c>
      <c r="F1142" s="39">
        <f>SUMIF(RAW_File!D:D,C:C,RAW_File!I:I)</f>
        <v>20055</v>
      </c>
      <c r="G1142" s="40">
        <f>SUMIF(RAW_File!D:D,C:C,RAW_File!K:K)</f>
        <v>0</v>
      </c>
      <c r="H1142" s="41">
        <f>SUMIF(RAW_File!D:D,C:C,RAW_File!M:M)</f>
        <v>5000</v>
      </c>
      <c r="I1142" s="40">
        <f t="shared" si="19"/>
        <v>5000</v>
      </c>
    </row>
    <row r="1143" spans="1:9" hidden="1" x14ac:dyDescent="0.25">
      <c r="A1143" s="36" t="s">
        <v>79</v>
      </c>
      <c r="B1143" s="36" t="s">
        <v>834</v>
      </c>
      <c r="C1143" s="36" t="s">
        <v>835</v>
      </c>
      <c r="D1143" s="37">
        <f>SUMIF(RAW_File!D:D,C:C,RAW_File!F:F)</f>
        <v>3594.5303596117928</v>
      </c>
      <c r="E1143" s="38">
        <f>SUMIF(RAW_File!D:D,C:C,RAW_File!G:G)</f>
        <v>0</v>
      </c>
      <c r="F1143" s="39">
        <f>SUMIF(RAW_File!D:D,C:C,RAW_File!I:I)</f>
        <v>0</v>
      </c>
      <c r="G1143" s="40">
        <f>SUMIF(RAW_File!D:D,C:C,RAW_File!K:K)</f>
        <v>0</v>
      </c>
      <c r="H1143" s="41">
        <f>SUMIF(RAW_File!D:D,C:C,RAW_File!M:M)</f>
        <v>10000</v>
      </c>
      <c r="I1143" s="40">
        <f t="shared" si="19"/>
        <v>10000</v>
      </c>
    </row>
    <row r="1144" spans="1:9" hidden="1" x14ac:dyDescent="0.25">
      <c r="A1144" s="36" t="s">
        <v>79</v>
      </c>
      <c r="B1144" s="36" t="s">
        <v>977</v>
      </c>
      <c r="C1144" s="36" t="s">
        <v>978</v>
      </c>
      <c r="D1144" s="37">
        <f>SUMIF(RAW_File!D:D,C:C,RAW_File!F:F)</f>
        <v>13109.102500000001</v>
      </c>
      <c r="E1144" s="38">
        <f>SUMIF(RAW_File!D:D,C:C,RAW_File!G:G)</f>
        <v>30700</v>
      </c>
      <c r="F1144" s="39">
        <f>SUMIF(RAW_File!D:D,C:C,RAW_File!I:I)</f>
        <v>40800</v>
      </c>
      <c r="G1144" s="40">
        <f>SUMIF(RAW_File!D:D,C:C,RAW_File!K:K)</f>
        <v>6000</v>
      </c>
      <c r="H1144" s="41">
        <f>SUMIF(RAW_File!D:D,C:C,RAW_File!M:M)</f>
        <v>0</v>
      </c>
      <c r="I1144" s="40">
        <f t="shared" si="19"/>
        <v>6000</v>
      </c>
    </row>
    <row r="1145" spans="1:9" hidden="1" x14ac:dyDescent="0.25">
      <c r="A1145" s="36" t="s">
        <v>79</v>
      </c>
      <c r="B1145" s="36" t="s">
        <v>1079</v>
      </c>
      <c r="C1145" s="36" t="s">
        <v>1080</v>
      </c>
      <c r="D1145" s="37">
        <f>SUMIF(RAW_File!D:D,C:C,RAW_File!F:F)</f>
        <v>2094.3155573669392</v>
      </c>
      <c r="E1145" s="38">
        <f>SUMIF(RAW_File!D:D,C:C,RAW_File!G:G)</f>
        <v>9630</v>
      </c>
      <c r="F1145" s="39">
        <f>SUMIF(RAW_File!D:D,C:C,RAW_File!I:I)</f>
        <v>15620</v>
      </c>
      <c r="G1145" s="40">
        <f>SUMIF(RAW_File!D:D,C:C,RAW_File!K:K)</f>
        <v>5000</v>
      </c>
      <c r="H1145" s="41">
        <f>SUMIF(RAW_File!D:D,C:C,RAW_File!M:M)</f>
        <v>0</v>
      </c>
      <c r="I1145" s="40">
        <f t="shared" si="19"/>
        <v>5000</v>
      </c>
    </row>
    <row r="1146" spans="1:9" hidden="1" x14ac:dyDescent="0.25">
      <c r="A1146" s="36" t="s">
        <v>79</v>
      </c>
      <c r="B1146" s="36" t="s">
        <v>1160</v>
      </c>
      <c r="C1146" s="36" t="s">
        <v>1161</v>
      </c>
      <c r="D1146" s="37">
        <f>SUMIF(RAW_File!D:D,C:C,RAW_File!F:F)</f>
        <v>6212.8580568150956</v>
      </c>
      <c r="E1146" s="38">
        <f>SUMIF(RAW_File!D:D,C:C,RAW_File!G:G)</f>
        <v>24300</v>
      </c>
      <c r="F1146" s="39">
        <f>SUMIF(RAW_File!D:D,C:C,RAW_File!I:I)</f>
        <v>30050</v>
      </c>
      <c r="G1146" s="40">
        <f>SUMIF(RAW_File!D:D,C:C,RAW_File!K:K)</f>
        <v>5000</v>
      </c>
      <c r="H1146" s="41">
        <f>SUMIF(RAW_File!D:D,C:C,RAW_File!M:M)</f>
        <v>0</v>
      </c>
      <c r="I1146" s="40">
        <f t="shared" si="19"/>
        <v>5000</v>
      </c>
    </row>
    <row r="1147" spans="1:9" hidden="1" x14ac:dyDescent="0.25">
      <c r="A1147" s="36" t="s">
        <v>79</v>
      </c>
      <c r="B1147" s="36" t="s">
        <v>1211</v>
      </c>
      <c r="C1147" s="36" t="s">
        <v>1212</v>
      </c>
      <c r="D1147" s="37">
        <f>SUMIF(RAW_File!D:D,C:C,RAW_File!F:F)</f>
        <v>3973.7808500000001</v>
      </c>
      <c r="E1147" s="38">
        <f>SUMIF(RAW_File!D:D,C:C,RAW_File!G:G)</f>
        <v>20700</v>
      </c>
      <c r="F1147" s="39">
        <f>SUMIF(RAW_File!D:D,C:C,RAW_File!I:I)</f>
        <v>29100</v>
      </c>
      <c r="G1147" s="40">
        <f>SUMIF(RAW_File!D:D,C:C,RAW_File!K:K)</f>
        <v>0</v>
      </c>
      <c r="H1147" s="41">
        <f>SUMIF(RAW_File!D:D,C:C,RAW_File!M:M)</f>
        <v>0</v>
      </c>
      <c r="I1147" s="40">
        <f t="shared" si="19"/>
        <v>0</v>
      </c>
    </row>
    <row r="1148" spans="1:9" hidden="1" x14ac:dyDescent="0.25">
      <c r="A1148" s="36" t="s">
        <v>79</v>
      </c>
      <c r="B1148" s="36" t="s">
        <v>1226</v>
      </c>
      <c r="C1148" s="36" t="s">
        <v>1227</v>
      </c>
      <c r="D1148" s="37">
        <f>SUMIF(RAW_File!D:D,C:C,RAW_File!F:F)</f>
        <v>8780.3523126100517</v>
      </c>
      <c r="E1148" s="38">
        <f>SUMIF(RAW_File!D:D,C:C,RAW_File!G:G)</f>
        <v>6000</v>
      </c>
      <c r="F1148" s="39">
        <f>SUMIF(RAW_File!D:D,C:C,RAW_File!I:I)</f>
        <v>15130</v>
      </c>
      <c r="G1148" s="40">
        <f>SUMIF(RAW_File!D:D,C:C,RAW_File!K:K)</f>
        <v>0</v>
      </c>
      <c r="H1148" s="41">
        <f>SUMIF(RAW_File!D:D,C:C,RAW_File!M:M)</f>
        <v>10000</v>
      </c>
      <c r="I1148" s="40">
        <f t="shared" si="19"/>
        <v>10000</v>
      </c>
    </row>
    <row r="1149" spans="1:9" hidden="1" x14ac:dyDescent="0.25">
      <c r="A1149" s="36" t="s">
        <v>79</v>
      </c>
      <c r="B1149" s="36" t="s">
        <v>1253</v>
      </c>
      <c r="C1149" s="36" t="s">
        <v>1254</v>
      </c>
      <c r="D1149" s="37">
        <f>SUMIF(RAW_File!D:D,C:C,RAW_File!F:F)</f>
        <v>23418.507977622001</v>
      </c>
      <c r="E1149" s="38">
        <f>SUMIF(RAW_File!D:D,C:C,RAW_File!G:G)</f>
        <v>3500</v>
      </c>
      <c r="F1149" s="39">
        <f>SUMIF(RAW_File!D:D,C:C,RAW_File!I:I)</f>
        <v>3500</v>
      </c>
      <c r="G1149" s="40">
        <f>SUMIF(RAW_File!D:D,C:C,RAW_File!K:K)</f>
        <v>15000</v>
      </c>
      <c r="H1149" s="41">
        <f>SUMIF(RAW_File!D:D,C:C,RAW_File!M:M)</f>
        <v>0</v>
      </c>
      <c r="I1149" s="40">
        <f t="shared" si="19"/>
        <v>15000</v>
      </c>
    </row>
    <row r="1150" spans="1:9" hidden="1" x14ac:dyDescent="0.25">
      <c r="A1150" s="36" t="s">
        <v>79</v>
      </c>
      <c r="B1150" s="36" t="s">
        <v>1263</v>
      </c>
      <c r="C1150" s="36" t="s">
        <v>1264</v>
      </c>
      <c r="D1150" s="37">
        <f>SUMIF(RAW_File!D:D,C:C,RAW_File!F:F)</f>
        <v>12852.380660869499</v>
      </c>
      <c r="E1150" s="38">
        <f>SUMIF(RAW_File!D:D,C:C,RAW_File!G:G)</f>
        <v>3000</v>
      </c>
      <c r="F1150" s="39">
        <f>SUMIF(RAW_File!D:D,C:C,RAW_File!I:I)</f>
        <v>3000</v>
      </c>
      <c r="G1150" s="40">
        <f>SUMIF(RAW_File!D:D,C:C,RAW_File!K:K)</f>
        <v>10000</v>
      </c>
      <c r="H1150" s="41">
        <f>SUMIF(RAW_File!D:D,C:C,RAW_File!M:M)</f>
        <v>0</v>
      </c>
      <c r="I1150" s="40">
        <f t="shared" si="19"/>
        <v>10000</v>
      </c>
    </row>
    <row r="1151" spans="1:9" hidden="1" x14ac:dyDescent="0.25">
      <c r="A1151" s="36" t="s">
        <v>79</v>
      </c>
      <c r="B1151" s="36" t="s">
        <v>1516</v>
      </c>
      <c r="C1151" s="36" t="s">
        <v>1517</v>
      </c>
      <c r="D1151" s="37">
        <f>SUMIF(RAW_File!D:D,C:C,RAW_File!F:F)</f>
        <v>1401.0907793225231</v>
      </c>
      <c r="E1151" s="38">
        <f>SUMIF(RAW_File!D:D,C:C,RAW_File!G:G)</f>
        <v>15600</v>
      </c>
      <c r="F1151" s="39">
        <f>SUMIF(RAW_File!D:D,C:C,RAW_File!I:I)</f>
        <v>26600</v>
      </c>
      <c r="G1151" s="40">
        <f>SUMIF(RAW_File!D:D,C:C,RAW_File!K:K)</f>
        <v>0</v>
      </c>
      <c r="H1151" s="41">
        <f>SUMIF(RAW_File!D:D,C:C,RAW_File!M:M)</f>
        <v>40000</v>
      </c>
      <c r="I1151" s="40">
        <f t="shared" si="19"/>
        <v>40000</v>
      </c>
    </row>
    <row r="1152" spans="1:9" hidden="1" x14ac:dyDescent="0.25">
      <c r="A1152" s="36" t="s">
        <v>79</v>
      </c>
      <c r="B1152" s="36" t="s">
        <v>1542</v>
      </c>
      <c r="C1152" s="36" t="s">
        <v>1543</v>
      </c>
      <c r="D1152" s="37">
        <f>SUMIF(RAW_File!D:D,C:C,RAW_File!F:F)</f>
        <v>9787.1679000000004</v>
      </c>
      <c r="E1152" s="38">
        <f>SUMIF(RAW_File!D:D,C:C,RAW_File!G:G)</f>
        <v>10000</v>
      </c>
      <c r="F1152" s="39">
        <f>SUMIF(RAW_File!D:D,C:C,RAW_File!I:I)</f>
        <v>16750</v>
      </c>
      <c r="G1152" s="40">
        <f>SUMIF(RAW_File!D:D,C:C,RAW_File!K:K)</f>
        <v>10000</v>
      </c>
      <c r="H1152" s="41">
        <f>SUMIF(RAW_File!D:D,C:C,RAW_File!M:M)</f>
        <v>0</v>
      </c>
      <c r="I1152" s="40">
        <f t="shared" si="19"/>
        <v>10000</v>
      </c>
    </row>
    <row r="1153" spans="1:9" hidden="1" x14ac:dyDescent="0.25">
      <c r="A1153" s="36" t="s">
        <v>79</v>
      </c>
      <c r="B1153" s="36" t="s">
        <v>1566</v>
      </c>
      <c r="C1153" s="36" t="s">
        <v>1567</v>
      </c>
      <c r="D1153" s="37">
        <f>SUMIF(RAW_File!D:D,C:C,RAW_File!F:F)</f>
        <v>50706.284274020501</v>
      </c>
      <c r="E1153" s="38">
        <f>SUMIF(RAW_File!D:D,C:C,RAW_File!G:G)</f>
        <v>3460</v>
      </c>
      <c r="F1153" s="39">
        <f>SUMIF(RAW_File!D:D,C:C,RAW_File!I:I)</f>
        <v>21560</v>
      </c>
      <c r="G1153" s="40">
        <f>SUMIF(RAW_File!D:D,C:C,RAW_File!K:K)</f>
        <v>5000</v>
      </c>
      <c r="H1153" s="41">
        <f>SUMIF(RAW_File!D:D,C:C,RAW_File!M:M)</f>
        <v>0</v>
      </c>
      <c r="I1153" s="40">
        <f t="shared" si="19"/>
        <v>5000</v>
      </c>
    </row>
    <row r="1154" spans="1:9" hidden="1" x14ac:dyDescent="0.25">
      <c r="A1154" s="36" t="s">
        <v>79</v>
      </c>
      <c r="B1154" s="36" t="s">
        <v>1609</v>
      </c>
      <c r="C1154" s="36" t="s">
        <v>1610</v>
      </c>
      <c r="D1154" s="37">
        <f>SUMIF(RAW_File!D:D,C:C,RAW_File!F:F)</f>
        <v>1247.6999000000001</v>
      </c>
      <c r="E1154" s="38">
        <f>SUMIF(RAW_File!D:D,C:C,RAW_File!G:G)</f>
        <v>3900</v>
      </c>
      <c r="F1154" s="39">
        <f>SUMIF(RAW_File!D:D,C:C,RAW_File!I:I)</f>
        <v>3900</v>
      </c>
      <c r="G1154" s="40">
        <f>SUMIF(RAW_File!D:D,C:C,RAW_File!K:K)</f>
        <v>5000</v>
      </c>
      <c r="H1154" s="41">
        <f>SUMIF(RAW_File!D:D,C:C,RAW_File!M:M)</f>
        <v>0</v>
      </c>
      <c r="I1154" s="40">
        <f t="shared" si="19"/>
        <v>5000</v>
      </c>
    </row>
    <row r="1155" spans="1:9" hidden="1" x14ac:dyDescent="0.25">
      <c r="A1155" s="36" t="s">
        <v>79</v>
      </c>
      <c r="B1155" s="36" t="s">
        <v>314</v>
      </c>
      <c r="C1155" s="36" t="s">
        <v>1647</v>
      </c>
      <c r="D1155" s="37">
        <f>SUMIF(RAW_File!D:D,C:C,RAW_File!F:F)</f>
        <v>9.9242000000000008</v>
      </c>
      <c r="E1155" s="38">
        <f>SUMIF(RAW_File!D:D,C:C,RAW_File!G:G)</f>
        <v>0</v>
      </c>
      <c r="F1155" s="39">
        <f>SUMIF(RAW_File!D:D,C:C,RAW_File!I:I)</f>
        <v>0</v>
      </c>
      <c r="G1155" s="40">
        <f>SUMIF(RAW_File!D:D,C:C,RAW_File!K:K)</f>
        <v>0</v>
      </c>
      <c r="H1155" s="41">
        <f>SUMIF(RAW_File!D:D,C:C,RAW_File!M:M)</f>
        <v>0</v>
      </c>
      <c r="I1155" s="40">
        <f t="shared" ref="I1155:I1218" si="20">ABS(G1155-H1155)</f>
        <v>0</v>
      </c>
    </row>
    <row r="1156" spans="1:9" hidden="1" x14ac:dyDescent="0.25">
      <c r="A1156" s="36" t="s">
        <v>79</v>
      </c>
      <c r="B1156" s="36" t="s">
        <v>1762</v>
      </c>
      <c r="C1156" s="36" t="s">
        <v>1763</v>
      </c>
      <c r="D1156" s="37">
        <f>SUMIF(RAW_File!D:D,C:C,RAW_File!F:F)</f>
        <v>5520.8080998108226</v>
      </c>
      <c r="E1156" s="38">
        <f>SUMIF(RAW_File!D:D,C:C,RAW_File!G:G)</f>
        <v>500</v>
      </c>
      <c r="F1156" s="39">
        <f>SUMIF(RAW_File!D:D,C:C,RAW_File!I:I)</f>
        <v>900</v>
      </c>
      <c r="G1156" s="40">
        <f>SUMIF(RAW_File!D:D,C:C,RAW_File!K:K)</f>
        <v>5000</v>
      </c>
      <c r="H1156" s="41">
        <f>SUMIF(RAW_File!D:D,C:C,RAW_File!M:M)</f>
        <v>0</v>
      </c>
      <c r="I1156" s="40">
        <f t="shared" si="20"/>
        <v>5000</v>
      </c>
    </row>
    <row r="1157" spans="1:9" hidden="1" x14ac:dyDescent="0.25">
      <c r="A1157" s="36" t="s">
        <v>79</v>
      </c>
      <c r="B1157" s="36" t="s">
        <v>1819</v>
      </c>
      <c r="C1157" s="36" t="s">
        <v>1820</v>
      </c>
      <c r="D1157" s="37">
        <f>SUMIF(RAW_File!D:D,C:C,RAW_File!F:F)</f>
        <v>18415.0766043478</v>
      </c>
      <c r="E1157" s="38">
        <f>SUMIF(RAW_File!D:D,C:C,RAW_File!G:G)</f>
        <v>500</v>
      </c>
      <c r="F1157" s="39">
        <f>SUMIF(RAW_File!D:D,C:C,RAW_File!I:I)</f>
        <v>14660</v>
      </c>
      <c r="G1157" s="40">
        <f>SUMIF(RAW_File!D:D,C:C,RAW_File!K:K)</f>
        <v>5000</v>
      </c>
      <c r="H1157" s="41">
        <f>SUMIF(RAW_File!D:D,C:C,RAW_File!M:M)</f>
        <v>0</v>
      </c>
      <c r="I1157" s="40">
        <f t="shared" si="20"/>
        <v>5000</v>
      </c>
    </row>
    <row r="1158" spans="1:9" hidden="1" x14ac:dyDescent="0.25">
      <c r="A1158" s="36" t="s">
        <v>79</v>
      </c>
      <c r="B1158" s="36" t="s">
        <v>1829</v>
      </c>
      <c r="C1158" s="36" t="s">
        <v>1830</v>
      </c>
      <c r="D1158" s="37">
        <f>SUMIF(RAW_File!D:D,C:C,RAW_File!F:F)</f>
        <v>9517.5740251540046</v>
      </c>
      <c r="E1158" s="38">
        <f>SUMIF(RAW_File!D:D,C:C,RAW_File!G:G)</f>
        <v>41580</v>
      </c>
      <c r="F1158" s="39">
        <f>SUMIF(RAW_File!D:D,C:C,RAW_File!I:I)</f>
        <v>77690</v>
      </c>
      <c r="G1158" s="40">
        <f>SUMIF(RAW_File!D:D,C:C,RAW_File!K:K)</f>
        <v>0</v>
      </c>
      <c r="H1158" s="41">
        <f>SUMIF(RAW_File!D:D,C:C,RAW_File!M:M)</f>
        <v>5000</v>
      </c>
      <c r="I1158" s="40">
        <f t="shared" si="20"/>
        <v>5000</v>
      </c>
    </row>
    <row r="1159" spans="1:9" hidden="1" x14ac:dyDescent="0.25">
      <c r="A1159" s="36" t="s">
        <v>79</v>
      </c>
      <c r="B1159" s="36" t="s">
        <v>2018</v>
      </c>
      <c r="C1159" s="36" t="s">
        <v>2019</v>
      </c>
      <c r="D1159" s="37">
        <f>SUMIF(RAW_File!D:D,C:C,RAW_File!F:F)</f>
        <v>15402.9145043478</v>
      </c>
      <c r="E1159" s="38">
        <f>SUMIF(RAW_File!D:D,C:C,RAW_File!G:G)</f>
        <v>7885</v>
      </c>
      <c r="F1159" s="39">
        <f>SUMIF(RAW_File!D:D,C:C,RAW_File!I:I)</f>
        <v>10335</v>
      </c>
      <c r="G1159" s="40">
        <f>SUMIF(RAW_File!D:D,C:C,RAW_File!K:K)</f>
        <v>15000</v>
      </c>
      <c r="H1159" s="41">
        <f>SUMIF(RAW_File!D:D,C:C,RAW_File!M:M)</f>
        <v>0</v>
      </c>
      <c r="I1159" s="40">
        <f t="shared" si="20"/>
        <v>15000</v>
      </c>
    </row>
    <row r="1160" spans="1:9" hidden="1" x14ac:dyDescent="0.25">
      <c r="A1160" s="36" t="s">
        <v>79</v>
      </c>
      <c r="B1160" s="36" t="s">
        <v>2020</v>
      </c>
      <c r="C1160" s="36" t="s">
        <v>2021</v>
      </c>
      <c r="D1160" s="37">
        <f>SUMIF(RAW_File!D:D,C:C,RAW_File!F:F)</f>
        <v>4168.6534000000001</v>
      </c>
      <c r="E1160" s="38">
        <f>SUMIF(RAW_File!D:D,C:C,RAW_File!G:G)</f>
        <v>0</v>
      </c>
      <c r="F1160" s="39">
        <f>SUMIF(RAW_File!D:D,C:C,RAW_File!I:I)</f>
        <v>1590</v>
      </c>
      <c r="G1160" s="40">
        <f>SUMIF(RAW_File!D:D,C:C,RAW_File!K:K)</f>
        <v>0</v>
      </c>
      <c r="H1160" s="41">
        <f>SUMIF(RAW_File!D:D,C:C,RAW_File!M:M)</f>
        <v>0</v>
      </c>
      <c r="I1160" s="40">
        <f t="shared" si="20"/>
        <v>0</v>
      </c>
    </row>
    <row r="1161" spans="1:9" hidden="1" x14ac:dyDescent="0.25">
      <c r="A1161" s="36" t="s">
        <v>79</v>
      </c>
      <c r="B1161" s="36" t="s">
        <v>2023</v>
      </c>
      <c r="C1161" s="36" t="s">
        <v>2024</v>
      </c>
      <c r="D1161" s="37">
        <f>SUMIF(RAW_File!D:D,C:C,RAW_File!F:F)</f>
        <v>29909.654741305199</v>
      </c>
      <c r="E1161" s="38">
        <f>SUMIF(RAW_File!D:D,C:C,RAW_File!G:G)</f>
        <v>0</v>
      </c>
      <c r="F1161" s="39">
        <f>SUMIF(RAW_File!D:D,C:C,RAW_File!I:I)</f>
        <v>0</v>
      </c>
      <c r="G1161" s="40">
        <f>SUMIF(RAW_File!D:D,C:C,RAW_File!K:K)</f>
        <v>0</v>
      </c>
      <c r="H1161" s="41">
        <f>SUMIF(RAW_File!D:D,C:C,RAW_File!M:M)</f>
        <v>6000</v>
      </c>
      <c r="I1161" s="40">
        <f t="shared" si="20"/>
        <v>6000</v>
      </c>
    </row>
    <row r="1162" spans="1:9" hidden="1" x14ac:dyDescent="0.25">
      <c r="A1162" s="36" t="s">
        <v>79</v>
      </c>
      <c r="B1162" s="36" t="s">
        <v>2133</v>
      </c>
      <c r="C1162" s="36" t="s">
        <v>2134</v>
      </c>
      <c r="D1162" s="37">
        <f>SUMIF(RAW_File!D:D,C:C,RAW_File!F:F)</f>
        <v>59959.473599999998</v>
      </c>
      <c r="E1162" s="38">
        <f>SUMIF(RAW_File!D:D,C:C,RAW_File!G:G)</f>
        <v>7770</v>
      </c>
      <c r="F1162" s="39">
        <f>SUMIF(RAW_File!D:D,C:C,RAW_File!I:I)</f>
        <v>54140</v>
      </c>
      <c r="G1162" s="40">
        <f>SUMIF(RAW_File!D:D,C:C,RAW_File!K:K)</f>
        <v>0</v>
      </c>
      <c r="H1162" s="41">
        <f>SUMIF(RAW_File!D:D,C:C,RAW_File!M:M)</f>
        <v>20000</v>
      </c>
      <c r="I1162" s="40">
        <f t="shared" si="20"/>
        <v>20000</v>
      </c>
    </row>
    <row r="1163" spans="1:9" hidden="1" x14ac:dyDescent="0.25">
      <c r="A1163" s="36" t="s">
        <v>79</v>
      </c>
      <c r="B1163" s="36" t="s">
        <v>2529</v>
      </c>
      <c r="C1163" s="36" t="s">
        <v>2530</v>
      </c>
      <c r="D1163" s="37">
        <f>SUMIF(RAW_File!D:D,C:C,RAW_File!F:F)</f>
        <v>7079.0865954980691</v>
      </c>
      <c r="E1163" s="38">
        <f>SUMIF(RAW_File!D:D,C:C,RAW_File!G:G)</f>
        <v>2750</v>
      </c>
      <c r="F1163" s="39">
        <f>SUMIF(RAW_File!D:D,C:C,RAW_File!I:I)</f>
        <v>6050</v>
      </c>
      <c r="G1163" s="40">
        <f>SUMIF(RAW_File!D:D,C:C,RAW_File!K:K)</f>
        <v>5000</v>
      </c>
      <c r="H1163" s="41">
        <f>SUMIF(RAW_File!D:D,C:C,RAW_File!M:M)</f>
        <v>0</v>
      </c>
      <c r="I1163" s="40">
        <f t="shared" si="20"/>
        <v>5000</v>
      </c>
    </row>
    <row r="1164" spans="1:9" hidden="1" x14ac:dyDescent="0.25">
      <c r="A1164" s="36" t="s">
        <v>79</v>
      </c>
      <c r="B1164" s="36" t="s">
        <v>2602</v>
      </c>
      <c r="C1164" s="36" t="s">
        <v>2603</v>
      </c>
      <c r="D1164" s="37">
        <f>SUMIF(RAW_File!D:D,C:C,RAW_File!F:F)</f>
        <v>8673.3001999999997</v>
      </c>
      <c r="E1164" s="38">
        <f>SUMIF(RAW_File!D:D,C:C,RAW_File!G:G)</f>
        <v>10000</v>
      </c>
      <c r="F1164" s="39">
        <f>SUMIF(RAW_File!D:D,C:C,RAW_File!I:I)</f>
        <v>12520</v>
      </c>
      <c r="G1164" s="40">
        <f>SUMIF(RAW_File!D:D,C:C,RAW_File!K:K)</f>
        <v>5000</v>
      </c>
      <c r="H1164" s="41">
        <f>SUMIF(RAW_File!D:D,C:C,RAW_File!M:M)</f>
        <v>0</v>
      </c>
      <c r="I1164" s="40">
        <f t="shared" si="20"/>
        <v>5000</v>
      </c>
    </row>
    <row r="1165" spans="1:9" hidden="1" x14ac:dyDescent="0.25">
      <c r="A1165" s="36" t="s">
        <v>79</v>
      </c>
      <c r="B1165" s="36" t="s">
        <v>2605</v>
      </c>
      <c r="C1165" s="36" t="s">
        <v>2606</v>
      </c>
      <c r="D1165" s="37">
        <f>SUMIF(RAW_File!D:D,C:C,RAW_File!F:F)</f>
        <v>1706.9171434783</v>
      </c>
      <c r="E1165" s="38">
        <f>SUMIF(RAW_File!D:D,C:C,RAW_File!G:G)</f>
        <v>5000</v>
      </c>
      <c r="F1165" s="39">
        <f>SUMIF(RAW_File!D:D,C:C,RAW_File!I:I)</f>
        <v>5200</v>
      </c>
      <c r="G1165" s="40">
        <f>SUMIF(RAW_File!D:D,C:C,RAW_File!K:K)</f>
        <v>0</v>
      </c>
      <c r="H1165" s="41">
        <f>SUMIF(RAW_File!D:D,C:C,RAW_File!M:M)</f>
        <v>5000</v>
      </c>
      <c r="I1165" s="40">
        <f t="shared" si="20"/>
        <v>5000</v>
      </c>
    </row>
    <row r="1166" spans="1:9" hidden="1" x14ac:dyDescent="0.25">
      <c r="A1166" s="36" t="s">
        <v>79</v>
      </c>
      <c r="B1166" s="36" t="s">
        <v>2607</v>
      </c>
      <c r="C1166" s="36" t="s">
        <v>2608</v>
      </c>
      <c r="D1166" s="37">
        <f>SUMIF(RAW_File!D:D,C:C,RAW_File!F:F)</f>
        <v>31.134</v>
      </c>
      <c r="E1166" s="38">
        <f>SUMIF(RAW_File!D:D,C:C,RAW_File!G:G)</f>
        <v>500</v>
      </c>
      <c r="F1166" s="39">
        <f>SUMIF(RAW_File!D:D,C:C,RAW_File!I:I)</f>
        <v>500</v>
      </c>
      <c r="G1166" s="40">
        <f>SUMIF(RAW_File!D:D,C:C,RAW_File!K:K)</f>
        <v>0</v>
      </c>
      <c r="H1166" s="41">
        <f>SUMIF(RAW_File!D:D,C:C,RAW_File!M:M)</f>
        <v>0</v>
      </c>
      <c r="I1166" s="40">
        <f t="shared" si="20"/>
        <v>0</v>
      </c>
    </row>
    <row r="1167" spans="1:9" hidden="1" x14ac:dyDescent="0.25">
      <c r="A1167" s="36" t="s">
        <v>79</v>
      </c>
      <c r="B1167" s="36" t="s">
        <v>2629</v>
      </c>
      <c r="C1167" s="36" t="s">
        <v>2630</v>
      </c>
      <c r="D1167" s="37">
        <f>SUMIF(RAW_File!D:D,C:C,RAW_File!F:F)</f>
        <v>19330.969400000002</v>
      </c>
      <c r="E1167" s="38">
        <f>SUMIF(RAW_File!D:D,C:C,RAW_File!G:G)</f>
        <v>0</v>
      </c>
      <c r="F1167" s="39">
        <f>SUMIF(RAW_File!D:D,C:C,RAW_File!I:I)</f>
        <v>3000</v>
      </c>
      <c r="G1167" s="40">
        <f>SUMIF(RAW_File!D:D,C:C,RAW_File!K:K)</f>
        <v>0</v>
      </c>
      <c r="H1167" s="41">
        <f>SUMIF(RAW_File!D:D,C:C,RAW_File!M:M)</f>
        <v>0</v>
      </c>
      <c r="I1167" s="40">
        <f t="shared" si="20"/>
        <v>0</v>
      </c>
    </row>
    <row r="1168" spans="1:9" hidden="1" x14ac:dyDescent="0.25">
      <c r="A1168" s="36" t="s">
        <v>79</v>
      </c>
      <c r="B1168" s="36" t="s">
        <v>2847</v>
      </c>
      <c r="C1168" s="36" t="s">
        <v>2848</v>
      </c>
      <c r="D1168" s="37">
        <f>SUMIF(RAW_File!D:D,C:C,RAW_File!F:F)</f>
        <v>10389.33029163699</v>
      </c>
      <c r="E1168" s="38">
        <f>SUMIF(RAW_File!D:D,C:C,RAW_File!G:G)</f>
        <v>0</v>
      </c>
      <c r="F1168" s="39">
        <f>SUMIF(RAW_File!D:D,C:C,RAW_File!I:I)</f>
        <v>95</v>
      </c>
      <c r="G1168" s="40">
        <f>SUMIF(RAW_File!D:D,C:C,RAW_File!K:K)</f>
        <v>5000</v>
      </c>
      <c r="H1168" s="41">
        <f>SUMIF(RAW_File!D:D,C:C,RAW_File!M:M)</f>
        <v>0</v>
      </c>
      <c r="I1168" s="40">
        <f t="shared" si="20"/>
        <v>5000</v>
      </c>
    </row>
    <row r="1169" spans="1:9" hidden="1" x14ac:dyDescent="0.25">
      <c r="A1169" s="36" t="s">
        <v>79</v>
      </c>
      <c r="B1169" s="36" t="s">
        <v>1209</v>
      </c>
      <c r="C1169" s="36" t="s">
        <v>2867</v>
      </c>
      <c r="D1169" s="37">
        <f>SUMIF(RAW_File!D:D,C:C,RAW_File!F:F)</f>
        <v>6.752994254457545</v>
      </c>
      <c r="E1169" s="38">
        <f>SUMIF(RAW_File!D:D,C:C,RAW_File!G:G)</f>
        <v>0</v>
      </c>
      <c r="F1169" s="39">
        <f>SUMIF(RAW_File!D:D,C:C,RAW_File!I:I)</f>
        <v>0</v>
      </c>
      <c r="G1169" s="40">
        <f>SUMIF(RAW_File!D:D,C:C,RAW_File!K:K)</f>
        <v>0</v>
      </c>
      <c r="H1169" s="41">
        <f>SUMIF(RAW_File!D:D,C:C,RAW_File!M:M)</f>
        <v>0</v>
      </c>
      <c r="I1169" s="40">
        <f t="shared" si="20"/>
        <v>0</v>
      </c>
    </row>
    <row r="1170" spans="1:9" hidden="1" x14ac:dyDescent="0.25">
      <c r="A1170" s="36" t="s">
        <v>79</v>
      </c>
      <c r="B1170" s="36" t="s">
        <v>2918</v>
      </c>
      <c r="C1170" s="36" t="s">
        <v>2919</v>
      </c>
      <c r="D1170" s="37">
        <f>SUMIF(RAW_File!D:D,C:C,RAW_File!F:F)</f>
        <v>14085.514300000001</v>
      </c>
      <c r="E1170" s="38">
        <f>SUMIF(RAW_File!D:D,C:C,RAW_File!G:G)</f>
        <v>11030</v>
      </c>
      <c r="F1170" s="39">
        <f>SUMIF(RAW_File!D:D,C:C,RAW_File!I:I)</f>
        <v>17360</v>
      </c>
      <c r="G1170" s="40">
        <f>SUMIF(RAW_File!D:D,C:C,RAW_File!K:K)</f>
        <v>5000</v>
      </c>
      <c r="H1170" s="41">
        <f>SUMIF(RAW_File!D:D,C:C,RAW_File!M:M)</f>
        <v>0</v>
      </c>
      <c r="I1170" s="40">
        <f t="shared" si="20"/>
        <v>5000</v>
      </c>
    </row>
    <row r="1171" spans="1:9" hidden="1" x14ac:dyDescent="0.25">
      <c r="A1171" s="36" t="s">
        <v>79</v>
      </c>
      <c r="B1171" s="36" t="s">
        <v>2939</v>
      </c>
      <c r="C1171" s="36" t="s">
        <v>2940</v>
      </c>
      <c r="D1171" s="37">
        <f>SUMIF(RAW_File!D:D,C:C,RAW_File!F:F)</f>
        <v>8825.5984561182995</v>
      </c>
      <c r="E1171" s="38">
        <f>SUMIF(RAW_File!D:D,C:C,RAW_File!G:G)</f>
        <v>400</v>
      </c>
      <c r="F1171" s="39">
        <f>SUMIF(RAW_File!D:D,C:C,RAW_File!I:I)</f>
        <v>2375</v>
      </c>
      <c r="G1171" s="40">
        <f>SUMIF(RAW_File!D:D,C:C,RAW_File!K:K)</f>
        <v>0</v>
      </c>
      <c r="H1171" s="41">
        <f>SUMIF(RAW_File!D:D,C:C,RAW_File!M:M)</f>
        <v>5000</v>
      </c>
      <c r="I1171" s="40">
        <f t="shared" si="20"/>
        <v>5000</v>
      </c>
    </row>
    <row r="1172" spans="1:9" hidden="1" x14ac:dyDescent="0.25">
      <c r="A1172" s="36" t="s">
        <v>79</v>
      </c>
      <c r="B1172" s="36" t="s">
        <v>2963</v>
      </c>
      <c r="C1172" s="36" t="s">
        <v>2964</v>
      </c>
      <c r="D1172" s="37">
        <f>SUMIF(RAW_File!D:D,C:C,RAW_File!F:F)</f>
        <v>47.205719999999999</v>
      </c>
      <c r="E1172" s="38">
        <f>SUMIF(RAW_File!D:D,C:C,RAW_File!G:G)</f>
        <v>0</v>
      </c>
      <c r="F1172" s="39">
        <f>SUMIF(RAW_File!D:D,C:C,RAW_File!I:I)</f>
        <v>0</v>
      </c>
      <c r="G1172" s="40">
        <f>SUMIF(RAW_File!D:D,C:C,RAW_File!K:K)</f>
        <v>0</v>
      </c>
      <c r="H1172" s="41">
        <f>SUMIF(RAW_File!D:D,C:C,RAW_File!M:M)</f>
        <v>0</v>
      </c>
      <c r="I1172" s="40">
        <f t="shared" si="20"/>
        <v>0</v>
      </c>
    </row>
    <row r="1173" spans="1:9" hidden="1" x14ac:dyDescent="0.25">
      <c r="A1173" s="36" t="s">
        <v>79</v>
      </c>
      <c r="B1173" s="36" t="s">
        <v>3034</v>
      </c>
      <c r="C1173" s="36" t="s">
        <v>3035</v>
      </c>
      <c r="D1173" s="37">
        <f>SUMIF(RAW_File!D:D,C:C,RAW_File!F:F)</f>
        <v>2207.6775295138409</v>
      </c>
      <c r="E1173" s="38">
        <f>SUMIF(RAW_File!D:D,C:C,RAW_File!G:G)</f>
        <v>0</v>
      </c>
      <c r="F1173" s="39">
        <f>SUMIF(RAW_File!D:D,C:C,RAW_File!I:I)</f>
        <v>1900</v>
      </c>
      <c r="G1173" s="40">
        <f>SUMIF(RAW_File!D:D,C:C,RAW_File!K:K)</f>
        <v>0</v>
      </c>
      <c r="H1173" s="41">
        <f>SUMIF(RAW_File!D:D,C:C,RAW_File!M:M)</f>
        <v>0</v>
      </c>
      <c r="I1173" s="40">
        <f t="shared" si="20"/>
        <v>0</v>
      </c>
    </row>
    <row r="1174" spans="1:9" hidden="1" x14ac:dyDescent="0.25">
      <c r="A1174" s="36" t="s">
        <v>79</v>
      </c>
      <c r="B1174" s="36" t="s">
        <v>3074</v>
      </c>
      <c r="C1174" s="36" t="s">
        <v>3075</v>
      </c>
      <c r="D1174" s="37">
        <f>SUMIF(RAW_File!D:D,C:C,RAW_File!F:F)</f>
        <v>19.4846</v>
      </c>
      <c r="E1174" s="38">
        <f>SUMIF(RAW_File!D:D,C:C,RAW_File!G:G)</f>
        <v>0</v>
      </c>
      <c r="F1174" s="39">
        <f>SUMIF(RAW_File!D:D,C:C,RAW_File!I:I)</f>
        <v>0</v>
      </c>
      <c r="G1174" s="40">
        <f>SUMIF(RAW_File!D:D,C:C,RAW_File!K:K)</f>
        <v>0</v>
      </c>
      <c r="H1174" s="41">
        <f>SUMIF(RAW_File!D:D,C:C,RAW_File!M:M)</f>
        <v>0</v>
      </c>
      <c r="I1174" s="40">
        <f t="shared" si="20"/>
        <v>0</v>
      </c>
    </row>
    <row r="1175" spans="1:9" hidden="1" x14ac:dyDescent="0.25">
      <c r="A1175" s="36" t="s">
        <v>79</v>
      </c>
      <c r="B1175" s="36" t="s">
        <v>3165</v>
      </c>
      <c r="C1175" s="36" t="s">
        <v>3166</v>
      </c>
      <c r="D1175" s="37">
        <f>SUMIF(RAW_File!D:D,C:C,RAW_File!F:F)</f>
        <v>11140.048848382959</v>
      </c>
      <c r="E1175" s="38">
        <f>SUMIF(RAW_File!D:D,C:C,RAW_File!G:G)</f>
        <v>600</v>
      </c>
      <c r="F1175" s="39">
        <f>SUMIF(RAW_File!D:D,C:C,RAW_File!I:I)</f>
        <v>7200</v>
      </c>
      <c r="G1175" s="40">
        <f>SUMIF(RAW_File!D:D,C:C,RAW_File!K:K)</f>
        <v>5000</v>
      </c>
      <c r="H1175" s="41">
        <f>SUMIF(RAW_File!D:D,C:C,RAW_File!M:M)</f>
        <v>0</v>
      </c>
      <c r="I1175" s="40">
        <f t="shared" si="20"/>
        <v>5000</v>
      </c>
    </row>
    <row r="1176" spans="1:9" hidden="1" x14ac:dyDescent="0.25">
      <c r="A1176" s="36" t="s">
        <v>79</v>
      </c>
      <c r="B1176" s="36" t="s">
        <v>3223</v>
      </c>
      <c r="C1176" s="36" t="s">
        <v>3224</v>
      </c>
      <c r="D1176" s="37">
        <f>SUMIF(RAW_File!D:D,C:C,RAW_File!F:F)</f>
        <v>71241.991139695601</v>
      </c>
      <c r="E1176" s="38">
        <f>SUMIF(RAW_File!D:D,C:C,RAW_File!G:G)</f>
        <v>5126</v>
      </c>
      <c r="F1176" s="39">
        <f>SUMIF(RAW_File!D:D,C:C,RAW_File!I:I)</f>
        <v>55666</v>
      </c>
      <c r="G1176" s="40">
        <f>SUMIF(RAW_File!D:D,C:C,RAW_File!K:K)</f>
        <v>5000</v>
      </c>
      <c r="H1176" s="41">
        <f>SUMIF(RAW_File!D:D,C:C,RAW_File!M:M)</f>
        <v>0</v>
      </c>
      <c r="I1176" s="40">
        <f t="shared" si="20"/>
        <v>5000</v>
      </c>
    </row>
    <row r="1177" spans="1:9" hidden="1" x14ac:dyDescent="0.25">
      <c r="A1177" s="36" t="s">
        <v>79</v>
      </c>
      <c r="B1177" s="36" t="s">
        <v>3260</v>
      </c>
      <c r="C1177" s="36" t="s">
        <v>3261</v>
      </c>
      <c r="D1177" s="37">
        <f>SUMIF(RAW_File!D:D,C:C,RAW_File!F:F)</f>
        <v>4662.2028</v>
      </c>
      <c r="E1177" s="38">
        <f>SUMIF(RAW_File!D:D,C:C,RAW_File!G:G)</f>
        <v>7165</v>
      </c>
      <c r="F1177" s="39">
        <f>SUMIF(RAW_File!D:D,C:C,RAW_File!I:I)</f>
        <v>13465</v>
      </c>
      <c r="G1177" s="40">
        <f>SUMIF(RAW_File!D:D,C:C,RAW_File!K:K)</f>
        <v>5000</v>
      </c>
      <c r="H1177" s="41">
        <f>SUMIF(RAW_File!D:D,C:C,RAW_File!M:M)</f>
        <v>0</v>
      </c>
      <c r="I1177" s="40">
        <f t="shared" si="20"/>
        <v>5000</v>
      </c>
    </row>
    <row r="1178" spans="1:9" hidden="1" x14ac:dyDescent="0.25">
      <c r="A1178" s="36" t="s">
        <v>79</v>
      </c>
      <c r="B1178" s="36" t="s">
        <v>3336</v>
      </c>
      <c r="C1178" s="36" t="s">
        <v>3337</v>
      </c>
      <c r="D1178" s="37">
        <f>SUMIF(RAW_File!D:D,C:C,RAW_File!F:F)</f>
        <v>2298.91176659651</v>
      </c>
      <c r="E1178" s="38">
        <f>SUMIF(RAW_File!D:D,C:C,RAW_File!G:G)</f>
        <v>32650</v>
      </c>
      <c r="F1178" s="39">
        <f>SUMIF(RAW_File!D:D,C:C,RAW_File!I:I)</f>
        <v>66610</v>
      </c>
      <c r="G1178" s="40">
        <f>SUMIF(RAW_File!D:D,C:C,RAW_File!K:K)</f>
        <v>0</v>
      </c>
      <c r="H1178" s="41">
        <f>SUMIF(RAW_File!D:D,C:C,RAW_File!M:M)</f>
        <v>40000</v>
      </c>
      <c r="I1178" s="40">
        <f t="shared" si="20"/>
        <v>40000</v>
      </c>
    </row>
    <row r="1179" spans="1:9" hidden="1" x14ac:dyDescent="0.25">
      <c r="A1179" s="36" t="s">
        <v>79</v>
      </c>
      <c r="B1179" s="36" t="s">
        <v>3470</v>
      </c>
      <c r="C1179" s="36" t="s">
        <v>3471</v>
      </c>
      <c r="D1179" s="37">
        <f>SUMIF(RAW_File!D:D,C:C,RAW_File!F:F)</f>
        <v>37885.459600000002</v>
      </c>
      <c r="E1179" s="38">
        <f>SUMIF(RAW_File!D:D,C:C,RAW_File!G:G)</f>
        <v>3610</v>
      </c>
      <c r="F1179" s="39">
        <f>SUMIF(RAW_File!D:D,C:C,RAW_File!I:I)</f>
        <v>33260</v>
      </c>
      <c r="G1179" s="40">
        <f>SUMIF(RAW_File!D:D,C:C,RAW_File!K:K)</f>
        <v>0</v>
      </c>
      <c r="H1179" s="41">
        <f>SUMIF(RAW_File!D:D,C:C,RAW_File!M:M)</f>
        <v>0</v>
      </c>
      <c r="I1179" s="40">
        <f t="shared" si="20"/>
        <v>0</v>
      </c>
    </row>
    <row r="1180" spans="1:9" hidden="1" x14ac:dyDescent="0.25">
      <c r="A1180" s="36" t="s">
        <v>79</v>
      </c>
      <c r="B1180" s="36" t="s">
        <v>3488</v>
      </c>
      <c r="C1180" s="36" t="s">
        <v>3489</v>
      </c>
      <c r="D1180" s="37">
        <f>SUMIF(RAW_File!D:D,C:C,RAW_File!F:F)</f>
        <v>83.673000000000002</v>
      </c>
      <c r="E1180" s="38">
        <f>SUMIF(RAW_File!D:D,C:C,RAW_File!G:G)</f>
        <v>1300</v>
      </c>
      <c r="F1180" s="39">
        <f>SUMIF(RAW_File!D:D,C:C,RAW_File!I:I)</f>
        <v>1300</v>
      </c>
      <c r="G1180" s="40">
        <f>SUMIF(RAW_File!D:D,C:C,RAW_File!K:K)</f>
        <v>0</v>
      </c>
      <c r="H1180" s="41">
        <f>SUMIF(RAW_File!D:D,C:C,RAW_File!M:M)</f>
        <v>10000</v>
      </c>
      <c r="I1180" s="40">
        <f t="shared" si="20"/>
        <v>10000</v>
      </c>
    </row>
    <row r="1181" spans="1:9" hidden="1" x14ac:dyDescent="0.25">
      <c r="A1181" s="36" t="s">
        <v>78</v>
      </c>
      <c r="B1181" s="36" t="s">
        <v>227</v>
      </c>
      <c r="C1181" s="36" t="s">
        <v>228</v>
      </c>
      <c r="D1181" s="37">
        <f>SUMIF(RAW_File!D:D,C:C,RAW_File!F:F)</f>
        <v>10.5813845674675</v>
      </c>
      <c r="E1181" s="38">
        <f>SUMIF(RAW_File!D:D,C:C,RAW_File!G:G)</f>
        <v>0</v>
      </c>
      <c r="F1181" s="39">
        <f>SUMIF(RAW_File!D:D,C:C,RAW_File!I:I)</f>
        <v>0</v>
      </c>
      <c r="G1181" s="40">
        <f>SUMIF(RAW_File!D:D,C:C,RAW_File!K:K)</f>
        <v>0</v>
      </c>
      <c r="H1181" s="41">
        <f>SUMIF(RAW_File!D:D,C:C,RAW_File!M:M)</f>
        <v>0</v>
      </c>
      <c r="I1181" s="40">
        <f t="shared" si="20"/>
        <v>0</v>
      </c>
    </row>
    <row r="1182" spans="1:9" hidden="1" x14ac:dyDescent="0.25">
      <c r="A1182" s="36" t="s">
        <v>78</v>
      </c>
      <c r="B1182" s="36" t="s">
        <v>252</v>
      </c>
      <c r="C1182" s="36" t="s">
        <v>253</v>
      </c>
      <c r="D1182" s="37">
        <f>SUMIF(RAW_File!D:D,C:C,RAW_File!F:F)</f>
        <v>20.726099999999999</v>
      </c>
      <c r="E1182" s="38">
        <f>SUMIF(RAW_File!D:D,C:C,RAW_File!G:G)</f>
        <v>0</v>
      </c>
      <c r="F1182" s="39">
        <f>SUMIF(RAW_File!D:D,C:C,RAW_File!I:I)</f>
        <v>0</v>
      </c>
      <c r="G1182" s="40">
        <f>SUMIF(RAW_File!D:D,C:C,RAW_File!K:K)</f>
        <v>0</v>
      </c>
      <c r="H1182" s="41">
        <f>SUMIF(RAW_File!D:D,C:C,RAW_File!M:M)</f>
        <v>0</v>
      </c>
      <c r="I1182" s="40">
        <f t="shared" si="20"/>
        <v>0</v>
      </c>
    </row>
    <row r="1183" spans="1:9" hidden="1" x14ac:dyDescent="0.25">
      <c r="A1183" s="36" t="s">
        <v>78</v>
      </c>
      <c r="B1183" s="36" t="s">
        <v>300</v>
      </c>
      <c r="C1183" s="36" t="s">
        <v>301</v>
      </c>
      <c r="D1183" s="37">
        <f>SUMIF(RAW_File!D:D,C:C,RAW_File!F:F)</f>
        <v>1705.311533338127</v>
      </c>
      <c r="E1183" s="38">
        <f>SUMIF(RAW_File!D:D,C:C,RAW_File!G:G)</f>
        <v>0</v>
      </c>
      <c r="F1183" s="39">
        <f>SUMIF(RAW_File!D:D,C:C,RAW_File!I:I)</f>
        <v>0</v>
      </c>
      <c r="G1183" s="40">
        <f>SUMIF(RAW_File!D:D,C:C,RAW_File!K:K)</f>
        <v>0</v>
      </c>
      <c r="H1183" s="41">
        <f>SUMIF(RAW_File!D:D,C:C,RAW_File!M:M)</f>
        <v>0</v>
      </c>
      <c r="I1183" s="40">
        <f t="shared" si="20"/>
        <v>0</v>
      </c>
    </row>
    <row r="1184" spans="1:9" hidden="1" x14ac:dyDescent="0.25">
      <c r="A1184" s="36" t="s">
        <v>78</v>
      </c>
      <c r="B1184" s="36" t="s">
        <v>346</v>
      </c>
      <c r="C1184" s="36" t="s">
        <v>347</v>
      </c>
      <c r="D1184" s="37">
        <f>SUMIF(RAW_File!D:D,C:C,RAW_File!F:F)</f>
        <v>151.46320237500561</v>
      </c>
      <c r="E1184" s="38">
        <f>SUMIF(RAW_File!D:D,C:C,RAW_File!G:G)</f>
        <v>565</v>
      </c>
      <c r="F1184" s="39">
        <f>SUMIF(RAW_File!D:D,C:C,RAW_File!I:I)</f>
        <v>5265</v>
      </c>
      <c r="G1184" s="40">
        <f>SUMIF(RAW_File!D:D,C:C,RAW_File!K:K)</f>
        <v>0</v>
      </c>
      <c r="H1184" s="41">
        <f>SUMIF(RAW_File!D:D,C:C,RAW_File!M:M)</f>
        <v>5000</v>
      </c>
      <c r="I1184" s="40">
        <f t="shared" si="20"/>
        <v>5000</v>
      </c>
    </row>
    <row r="1185" spans="1:9" hidden="1" x14ac:dyDescent="0.25">
      <c r="A1185" s="36" t="s">
        <v>78</v>
      </c>
      <c r="B1185" s="36" t="s">
        <v>368</v>
      </c>
      <c r="C1185" s="36" t="s">
        <v>369</v>
      </c>
      <c r="D1185" s="37">
        <f>SUMIF(RAW_File!D:D,C:C,RAW_File!F:F)</f>
        <v>268.58122752826392</v>
      </c>
      <c r="E1185" s="38">
        <f>SUMIF(RAW_File!D:D,C:C,RAW_File!G:G)</f>
        <v>0</v>
      </c>
      <c r="F1185" s="39">
        <f>SUMIF(RAW_File!D:D,C:C,RAW_File!I:I)</f>
        <v>3700</v>
      </c>
      <c r="G1185" s="40">
        <f>SUMIF(RAW_File!D:D,C:C,RAW_File!K:K)</f>
        <v>0</v>
      </c>
      <c r="H1185" s="41">
        <f>SUMIF(RAW_File!D:D,C:C,RAW_File!M:M)</f>
        <v>4000</v>
      </c>
      <c r="I1185" s="40">
        <f t="shared" si="20"/>
        <v>4000</v>
      </c>
    </row>
    <row r="1186" spans="1:9" hidden="1" x14ac:dyDescent="0.25">
      <c r="A1186" s="36" t="s">
        <v>78</v>
      </c>
      <c r="B1186" s="36" t="s">
        <v>393</v>
      </c>
      <c r="C1186" s="36" t="s">
        <v>394</v>
      </c>
      <c r="D1186" s="37">
        <f>SUMIF(RAW_File!D:D,C:C,RAW_File!F:F)</f>
        <v>8206.3857034545726</v>
      </c>
      <c r="E1186" s="38">
        <f>SUMIF(RAW_File!D:D,C:C,RAW_File!G:G)</f>
        <v>3600</v>
      </c>
      <c r="F1186" s="39">
        <f>SUMIF(RAW_File!D:D,C:C,RAW_File!I:I)</f>
        <v>3600</v>
      </c>
      <c r="G1186" s="40">
        <f>SUMIF(RAW_File!D:D,C:C,RAW_File!K:K)</f>
        <v>5000</v>
      </c>
      <c r="H1186" s="41">
        <f>SUMIF(RAW_File!D:D,C:C,RAW_File!M:M)</f>
        <v>0</v>
      </c>
      <c r="I1186" s="40">
        <f t="shared" si="20"/>
        <v>5000</v>
      </c>
    </row>
    <row r="1187" spans="1:9" hidden="1" x14ac:dyDescent="0.25">
      <c r="A1187" s="36" t="s">
        <v>78</v>
      </c>
      <c r="B1187" s="36" t="s">
        <v>429</v>
      </c>
      <c r="C1187" s="36" t="s">
        <v>430</v>
      </c>
      <c r="D1187" s="37">
        <f>SUMIF(RAW_File!D:D,C:C,RAW_File!F:F)</f>
        <v>1266.226638264679</v>
      </c>
      <c r="E1187" s="38">
        <f>SUMIF(RAW_File!D:D,C:C,RAW_File!G:G)</f>
        <v>200</v>
      </c>
      <c r="F1187" s="39">
        <f>SUMIF(RAW_File!D:D,C:C,RAW_File!I:I)</f>
        <v>6555</v>
      </c>
      <c r="G1187" s="40">
        <f>SUMIF(RAW_File!D:D,C:C,RAW_File!K:K)</f>
        <v>5000</v>
      </c>
      <c r="H1187" s="41">
        <f>SUMIF(RAW_File!D:D,C:C,RAW_File!M:M)</f>
        <v>12000</v>
      </c>
      <c r="I1187" s="40">
        <f t="shared" si="20"/>
        <v>7000</v>
      </c>
    </row>
    <row r="1188" spans="1:9" hidden="1" x14ac:dyDescent="0.25">
      <c r="A1188" s="36" t="s">
        <v>78</v>
      </c>
      <c r="B1188" s="36" t="s">
        <v>527</v>
      </c>
      <c r="C1188" s="36" t="s">
        <v>528</v>
      </c>
      <c r="D1188" s="37">
        <f>SUMIF(RAW_File!D:D,C:C,RAW_File!F:F)</f>
        <v>356.01527571026008</v>
      </c>
      <c r="E1188" s="38">
        <f>SUMIF(RAW_File!D:D,C:C,RAW_File!G:G)</f>
        <v>500</v>
      </c>
      <c r="F1188" s="39">
        <f>SUMIF(RAW_File!D:D,C:C,RAW_File!I:I)</f>
        <v>10950</v>
      </c>
      <c r="G1188" s="40">
        <f>SUMIF(RAW_File!D:D,C:C,RAW_File!K:K)</f>
        <v>5000</v>
      </c>
      <c r="H1188" s="41">
        <f>SUMIF(RAW_File!D:D,C:C,RAW_File!M:M)</f>
        <v>20000</v>
      </c>
      <c r="I1188" s="40">
        <f t="shared" si="20"/>
        <v>15000</v>
      </c>
    </row>
    <row r="1189" spans="1:9" hidden="1" x14ac:dyDescent="0.25">
      <c r="A1189" s="36" t="s">
        <v>78</v>
      </c>
      <c r="B1189" s="36" t="s">
        <v>757</v>
      </c>
      <c r="C1189" s="36" t="s">
        <v>758</v>
      </c>
      <c r="D1189" s="37">
        <f>SUMIF(RAW_File!D:D,C:C,RAW_File!F:F)</f>
        <v>4511.9255999999996</v>
      </c>
      <c r="E1189" s="38">
        <f>SUMIF(RAW_File!D:D,C:C,RAW_File!G:G)</f>
        <v>24700</v>
      </c>
      <c r="F1189" s="39">
        <f>SUMIF(RAW_File!D:D,C:C,RAW_File!I:I)</f>
        <v>83400</v>
      </c>
      <c r="G1189" s="40">
        <f>SUMIF(RAW_File!D:D,C:C,RAW_File!K:K)</f>
        <v>0</v>
      </c>
      <c r="H1189" s="41">
        <f>SUMIF(RAW_File!D:D,C:C,RAW_File!M:M)</f>
        <v>30000</v>
      </c>
      <c r="I1189" s="40">
        <f t="shared" si="20"/>
        <v>30000</v>
      </c>
    </row>
    <row r="1190" spans="1:9" hidden="1" x14ac:dyDescent="0.25">
      <c r="A1190" s="36" t="s">
        <v>78</v>
      </c>
      <c r="B1190" s="36" t="s">
        <v>787</v>
      </c>
      <c r="C1190" s="36" t="s">
        <v>788</v>
      </c>
      <c r="D1190" s="37">
        <f>SUMIF(RAW_File!D:D,C:C,RAW_File!F:F)</f>
        <v>282.93975440322919</v>
      </c>
      <c r="E1190" s="38">
        <f>SUMIF(RAW_File!D:D,C:C,RAW_File!G:G)</f>
        <v>2400</v>
      </c>
      <c r="F1190" s="39">
        <f>SUMIF(RAW_File!D:D,C:C,RAW_File!I:I)</f>
        <v>20290</v>
      </c>
      <c r="G1190" s="40">
        <f>SUMIF(RAW_File!D:D,C:C,RAW_File!K:K)</f>
        <v>0</v>
      </c>
      <c r="H1190" s="41">
        <f>SUMIF(RAW_File!D:D,C:C,RAW_File!M:M)</f>
        <v>25000</v>
      </c>
      <c r="I1190" s="40">
        <f t="shared" si="20"/>
        <v>25000</v>
      </c>
    </row>
    <row r="1191" spans="1:9" hidden="1" x14ac:dyDescent="0.25">
      <c r="A1191" s="36" t="s">
        <v>78</v>
      </c>
      <c r="B1191" s="36" t="s">
        <v>824</v>
      </c>
      <c r="C1191" s="36" t="s">
        <v>825</v>
      </c>
      <c r="D1191" s="37">
        <f>SUMIF(RAW_File!D:D,C:C,RAW_File!F:F)</f>
        <v>1375.5074999999999</v>
      </c>
      <c r="E1191" s="38">
        <f>SUMIF(RAW_File!D:D,C:C,RAW_File!G:G)</f>
        <v>1015</v>
      </c>
      <c r="F1191" s="39">
        <f>SUMIF(RAW_File!D:D,C:C,RAW_File!I:I)</f>
        <v>1015</v>
      </c>
      <c r="G1191" s="40">
        <f>SUMIF(RAW_File!D:D,C:C,RAW_File!K:K)</f>
        <v>0</v>
      </c>
      <c r="H1191" s="41">
        <f>SUMIF(RAW_File!D:D,C:C,RAW_File!M:M)</f>
        <v>0</v>
      </c>
      <c r="I1191" s="40">
        <f t="shared" si="20"/>
        <v>0</v>
      </c>
    </row>
    <row r="1192" spans="1:9" hidden="1" x14ac:dyDescent="0.25">
      <c r="A1192" s="36" t="s">
        <v>78</v>
      </c>
      <c r="B1192" s="36" t="s">
        <v>856</v>
      </c>
      <c r="C1192" s="36" t="s">
        <v>857</v>
      </c>
      <c r="D1192" s="37">
        <f>SUMIF(RAW_File!D:D,C:C,RAW_File!F:F)</f>
        <v>7823.9254000000001</v>
      </c>
      <c r="E1192" s="38">
        <f>SUMIF(RAW_File!D:D,C:C,RAW_File!G:G)</f>
        <v>0</v>
      </c>
      <c r="F1192" s="39">
        <f>SUMIF(RAW_File!D:D,C:C,RAW_File!I:I)</f>
        <v>0</v>
      </c>
      <c r="G1192" s="40">
        <f>SUMIF(RAW_File!D:D,C:C,RAW_File!K:K)</f>
        <v>6000</v>
      </c>
      <c r="H1192" s="41">
        <f>SUMIF(RAW_File!D:D,C:C,RAW_File!M:M)</f>
        <v>0</v>
      </c>
      <c r="I1192" s="40">
        <f t="shared" si="20"/>
        <v>6000</v>
      </c>
    </row>
    <row r="1193" spans="1:9" hidden="1" x14ac:dyDescent="0.25">
      <c r="A1193" s="36" t="s">
        <v>78</v>
      </c>
      <c r="B1193" s="36" t="s">
        <v>866</v>
      </c>
      <c r="C1193" s="36" t="s">
        <v>867</v>
      </c>
      <c r="D1193" s="37">
        <f>SUMIF(RAW_File!D:D,C:C,RAW_File!F:F)</f>
        <v>1566.7150396825471</v>
      </c>
      <c r="E1193" s="38">
        <f>SUMIF(RAW_File!D:D,C:C,RAW_File!G:G)</f>
        <v>0</v>
      </c>
      <c r="F1193" s="39">
        <f>SUMIF(RAW_File!D:D,C:C,RAW_File!I:I)</f>
        <v>2250</v>
      </c>
      <c r="G1193" s="40">
        <f>SUMIF(RAW_File!D:D,C:C,RAW_File!K:K)</f>
        <v>0</v>
      </c>
      <c r="H1193" s="41">
        <f>SUMIF(RAW_File!D:D,C:C,RAW_File!M:M)</f>
        <v>6000</v>
      </c>
      <c r="I1193" s="40">
        <f t="shared" si="20"/>
        <v>6000</v>
      </c>
    </row>
    <row r="1194" spans="1:9" hidden="1" x14ac:dyDescent="0.25">
      <c r="A1194" s="36" t="s">
        <v>78</v>
      </c>
      <c r="B1194" s="36" t="s">
        <v>872</v>
      </c>
      <c r="C1194" s="36" t="s">
        <v>873</v>
      </c>
      <c r="D1194" s="37">
        <f>SUMIF(RAW_File!D:D,C:C,RAW_File!F:F)</f>
        <v>322.57340907351931</v>
      </c>
      <c r="E1194" s="38">
        <f>SUMIF(RAW_File!D:D,C:C,RAW_File!G:G)</f>
        <v>3905</v>
      </c>
      <c r="F1194" s="39">
        <f>SUMIF(RAW_File!D:D,C:C,RAW_File!I:I)</f>
        <v>20675</v>
      </c>
      <c r="G1194" s="40">
        <f>SUMIF(RAW_File!D:D,C:C,RAW_File!K:K)</f>
        <v>0</v>
      </c>
      <c r="H1194" s="41">
        <f>SUMIF(RAW_File!D:D,C:C,RAW_File!M:M)</f>
        <v>22000</v>
      </c>
      <c r="I1194" s="40">
        <f t="shared" si="20"/>
        <v>22000</v>
      </c>
    </row>
    <row r="1195" spans="1:9" hidden="1" x14ac:dyDescent="0.25">
      <c r="A1195" s="36" t="s">
        <v>78</v>
      </c>
      <c r="B1195" s="36" t="s">
        <v>923</v>
      </c>
      <c r="C1195" s="36" t="s">
        <v>924</v>
      </c>
      <c r="D1195" s="37">
        <f>SUMIF(RAW_File!D:D,C:C,RAW_File!F:F)</f>
        <v>7190.3858</v>
      </c>
      <c r="E1195" s="38">
        <f>SUMIF(RAW_File!D:D,C:C,RAW_File!G:G)</f>
        <v>0</v>
      </c>
      <c r="F1195" s="39">
        <f>SUMIF(RAW_File!D:D,C:C,RAW_File!I:I)</f>
        <v>0</v>
      </c>
      <c r="G1195" s="40">
        <f>SUMIF(RAW_File!D:D,C:C,RAW_File!K:K)</f>
        <v>5000</v>
      </c>
      <c r="H1195" s="41">
        <f>SUMIF(RAW_File!D:D,C:C,RAW_File!M:M)</f>
        <v>0</v>
      </c>
      <c r="I1195" s="40">
        <f t="shared" si="20"/>
        <v>5000</v>
      </c>
    </row>
    <row r="1196" spans="1:9" hidden="1" x14ac:dyDescent="0.25">
      <c r="A1196" s="36" t="s">
        <v>78</v>
      </c>
      <c r="B1196" s="36" t="s">
        <v>965</v>
      </c>
      <c r="C1196" s="36" t="s">
        <v>966</v>
      </c>
      <c r="D1196" s="37">
        <f>SUMIF(RAW_File!D:D,C:C,RAW_File!F:F)</f>
        <v>17610.9041</v>
      </c>
      <c r="E1196" s="38">
        <f>SUMIF(RAW_File!D:D,C:C,RAW_File!G:G)</f>
        <v>1020</v>
      </c>
      <c r="F1196" s="39">
        <f>SUMIF(RAW_File!D:D,C:C,RAW_File!I:I)</f>
        <v>4020</v>
      </c>
      <c r="G1196" s="40">
        <f>SUMIF(RAW_File!D:D,C:C,RAW_File!K:K)</f>
        <v>0</v>
      </c>
      <c r="H1196" s="41">
        <f>SUMIF(RAW_File!D:D,C:C,RAW_File!M:M)</f>
        <v>30000</v>
      </c>
      <c r="I1196" s="40">
        <f t="shared" si="20"/>
        <v>30000</v>
      </c>
    </row>
    <row r="1197" spans="1:9" hidden="1" x14ac:dyDescent="0.25">
      <c r="A1197" s="36" t="s">
        <v>78</v>
      </c>
      <c r="B1197" s="36" t="s">
        <v>989</v>
      </c>
      <c r="C1197" s="36" t="s">
        <v>990</v>
      </c>
      <c r="D1197" s="37">
        <f>SUMIF(RAW_File!D:D,C:C,RAW_File!F:F)</f>
        <v>8.0106999999999999</v>
      </c>
      <c r="E1197" s="38">
        <f>SUMIF(RAW_File!D:D,C:C,RAW_File!G:G)</f>
        <v>0</v>
      </c>
      <c r="F1197" s="39">
        <f>SUMIF(RAW_File!D:D,C:C,RAW_File!I:I)</f>
        <v>2700</v>
      </c>
      <c r="G1197" s="40">
        <f>SUMIF(RAW_File!D:D,C:C,RAW_File!K:K)</f>
        <v>0</v>
      </c>
      <c r="H1197" s="41">
        <f>SUMIF(RAW_File!D:D,C:C,RAW_File!M:M)</f>
        <v>5000</v>
      </c>
      <c r="I1197" s="40">
        <f t="shared" si="20"/>
        <v>5000</v>
      </c>
    </row>
    <row r="1198" spans="1:9" hidden="1" x14ac:dyDescent="0.25">
      <c r="A1198" s="36" t="s">
        <v>78</v>
      </c>
      <c r="B1198" s="36" t="s">
        <v>991</v>
      </c>
      <c r="C1198" s="36" t="s">
        <v>992</v>
      </c>
      <c r="D1198" s="37">
        <f>SUMIF(RAW_File!D:D,C:C,RAW_File!F:F)</f>
        <v>52.372399999999999</v>
      </c>
      <c r="E1198" s="38">
        <f>SUMIF(RAW_File!D:D,C:C,RAW_File!G:G)</f>
        <v>0</v>
      </c>
      <c r="F1198" s="39">
        <f>SUMIF(RAW_File!D:D,C:C,RAW_File!I:I)</f>
        <v>0</v>
      </c>
      <c r="G1198" s="40">
        <f>SUMIF(RAW_File!D:D,C:C,RAW_File!K:K)</f>
        <v>0</v>
      </c>
      <c r="H1198" s="41">
        <f>SUMIF(RAW_File!D:D,C:C,RAW_File!M:M)</f>
        <v>4000</v>
      </c>
      <c r="I1198" s="40">
        <f t="shared" si="20"/>
        <v>4000</v>
      </c>
    </row>
    <row r="1199" spans="1:9" hidden="1" x14ac:dyDescent="0.25">
      <c r="A1199" s="36" t="s">
        <v>78</v>
      </c>
      <c r="B1199" s="36" t="s">
        <v>1033</v>
      </c>
      <c r="C1199" s="36" t="s">
        <v>1034</v>
      </c>
      <c r="D1199" s="37">
        <f>SUMIF(RAW_File!D:D,C:C,RAW_File!F:F)</f>
        <v>33657.993882502109</v>
      </c>
      <c r="E1199" s="38">
        <f>SUMIF(RAW_File!D:D,C:C,RAW_File!G:G)</f>
        <v>19050</v>
      </c>
      <c r="F1199" s="39">
        <f>SUMIF(RAW_File!D:D,C:C,RAW_File!I:I)</f>
        <v>60262</v>
      </c>
      <c r="G1199" s="40">
        <f>SUMIF(RAW_File!D:D,C:C,RAW_File!K:K)</f>
        <v>0</v>
      </c>
      <c r="H1199" s="41">
        <f>SUMIF(RAW_File!D:D,C:C,RAW_File!M:M)</f>
        <v>50000</v>
      </c>
      <c r="I1199" s="40">
        <f t="shared" si="20"/>
        <v>50000</v>
      </c>
    </row>
    <row r="1200" spans="1:9" hidden="1" x14ac:dyDescent="0.25">
      <c r="A1200" s="36" t="s">
        <v>78</v>
      </c>
      <c r="B1200" s="36" t="s">
        <v>1112</v>
      </c>
      <c r="C1200" s="36" t="s">
        <v>1113</v>
      </c>
      <c r="D1200" s="37">
        <f>SUMIF(RAW_File!D:D,C:C,RAW_File!F:F)</f>
        <v>174.88499999999999</v>
      </c>
      <c r="E1200" s="38">
        <f>SUMIF(RAW_File!D:D,C:C,RAW_File!G:G)</f>
        <v>3990</v>
      </c>
      <c r="F1200" s="39">
        <f>SUMIF(RAW_File!D:D,C:C,RAW_File!I:I)</f>
        <v>7590</v>
      </c>
      <c r="G1200" s="40">
        <f>SUMIF(RAW_File!D:D,C:C,RAW_File!K:K)</f>
        <v>0</v>
      </c>
      <c r="H1200" s="41">
        <f>SUMIF(RAW_File!D:D,C:C,RAW_File!M:M)</f>
        <v>16000</v>
      </c>
      <c r="I1200" s="40">
        <f t="shared" si="20"/>
        <v>16000</v>
      </c>
    </row>
    <row r="1201" spans="1:9" hidden="1" x14ac:dyDescent="0.25">
      <c r="A1201" s="36" t="s">
        <v>78</v>
      </c>
      <c r="B1201" s="36" t="s">
        <v>1166</v>
      </c>
      <c r="C1201" s="36" t="s">
        <v>1167</v>
      </c>
      <c r="D1201" s="37">
        <f>SUMIF(RAW_File!D:D,C:C,RAW_File!F:F)</f>
        <v>7.2741655965716774</v>
      </c>
      <c r="E1201" s="38">
        <f>SUMIF(RAW_File!D:D,C:C,RAW_File!G:G)</f>
        <v>0</v>
      </c>
      <c r="F1201" s="39">
        <f>SUMIF(RAW_File!D:D,C:C,RAW_File!I:I)</f>
        <v>0</v>
      </c>
      <c r="G1201" s="40">
        <f>SUMIF(RAW_File!D:D,C:C,RAW_File!K:K)</f>
        <v>0</v>
      </c>
      <c r="H1201" s="41">
        <f>SUMIF(RAW_File!D:D,C:C,RAW_File!M:M)</f>
        <v>0</v>
      </c>
      <c r="I1201" s="40">
        <f t="shared" si="20"/>
        <v>0</v>
      </c>
    </row>
    <row r="1202" spans="1:9" hidden="1" x14ac:dyDescent="0.25">
      <c r="A1202" s="36" t="s">
        <v>78</v>
      </c>
      <c r="B1202" s="36" t="s">
        <v>1237</v>
      </c>
      <c r="C1202" s="36" t="s">
        <v>1238</v>
      </c>
      <c r="D1202" s="37">
        <f>SUMIF(RAW_File!D:D,C:C,RAW_File!F:F)</f>
        <v>4356.4341448908399</v>
      </c>
      <c r="E1202" s="38">
        <f>SUMIF(RAW_File!D:D,C:C,RAW_File!G:G)</f>
        <v>1000</v>
      </c>
      <c r="F1202" s="39">
        <f>SUMIF(RAW_File!D:D,C:C,RAW_File!I:I)</f>
        <v>9430</v>
      </c>
      <c r="G1202" s="40">
        <f>SUMIF(RAW_File!D:D,C:C,RAW_File!K:K)</f>
        <v>5000</v>
      </c>
      <c r="H1202" s="41">
        <f>SUMIF(RAW_File!D:D,C:C,RAW_File!M:M)</f>
        <v>10000</v>
      </c>
      <c r="I1202" s="40">
        <f t="shared" si="20"/>
        <v>5000</v>
      </c>
    </row>
    <row r="1203" spans="1:9" hidden="1" x14ac:dyDescent="0.25">
      <c r="A1203" s="36" t="s">
        <v>78</v>
      </c>
      <c r="B1203" s="36" t="s">
        <v>1356</v>
      </c>
      <c r="C1203" s="36" t="s">
        <v>1357</v>
      </c>
      <c r="D1203" s="37">
        <f>SUMIF(RAW_File!D:D,C:C,RAW_File!F:F)</f>
        <v>6369.848925992851</v>
      </c>
      <c r="E1203" s="38">
        <f>SUMIF(RAW_File!D:D,C:C,RAW_File!G:G)</f>
        <v>6000</v>
      </c>
      <c r="F1203" s="39">
        <f>SUMIF(RAW_File!D:D,C:C,RAW_File!I:I)</f>
        <v>6000</v>
      </c>
      <c r="G1203" s="40">
        <f>SUMIF(RAW_File!D:D,C:C,RAW_File!K:K)</f>
        <v>6000</v>
      </c>
      <c r="H1203" s="41">
        <f>SUMIF(RAW_File!D:D,C:C,RAW_File!M:M)</f>
        <v>0</v>
      </c>
      <c r="I1203" s="40">
        <f t="shared" si="20"/>
        <v>6000</v>
      </c>
    </row>
    <row r="1204" spans="1:9" hidden="1" x14ac:dyDescent="0.25">
      <c r="A1204" s="36" t="s">
        <v>78</v>
      </c>
      <c r="B1204" s="36" t="s">
        <v>1440</v>
      </c>
      <c r="C1204" s="36" t="s">
        <v>1441</v>
      </c>
      <c r="D1204" s="37">
        <f>SUMIF(RAW_File!D:D,C:C,RAW_File!F:F)</f>
        <v>2501.2616500107001</v>
      </c>
      <c r="E1204" s="38">
        <f>SUMIF(RAW_File!D:D,C:C,RAW_File!G:G)</f>
        <v>1640</v>
      </c>
      <c r="F1204" s="39">
        <f>SUMIF(RAW_File!D:D,C:C,RAW_File!I:I)</f>
        <v>1640</v>
      </c>
      <c r="G1204" s="40">
        <f>SUMIF(RAW_File!D:D,C:C,RAW_File!K:K)</f>
        <v>0</v>
      </c>
      <c r="H1204" s="41">
        <f>SUMIF(RAW_File!D:D,C:C,RAW_File!M:M)</f>
        <v>20000</v>
      </c>
      <c r="I1204" s="40">
        <f t="shared" si="20"/>
        <v>20000</v>
      </c>
    </row>
    <row r="1205" spans="1:9" hidden="1" x14ac:dyDescent="0.25">
      <c r="A1205" s="36" t="s">
        <v>78</v>
      </c>
      <c r="B1205" s="36" t="s">
        <v>1548</v>
      </c>
      <c r="C1205" s="36" t="s">
        <v>1549</v>
      </c>
      <c r="D1205" s="37">
        <f>SUMIF(RAW_File!D:D,C:C,RAW_File!F:F)</f>
        <v>30.174727000000001</v>
      </c>
      <c r="E1205" s="38">
        <f>SUMIF(RAW_File!D:D,C:C,RAW_File!G:G)</f>
        <v>0</v>
      </c>
      <c r="F1205" s="39">
        <f>SUMIF(RAW_File!D:D,C:C,RAW_File!I:I)</f>
        <v>0</v>
      </c>
      <c r="G1205" s="40">
        <f>SUMIF(RAW_File!D:D,C:C,RAW_File!K:K)</f>
        <v>0</v>
      </c>
      <c r="H1205" s="41">
        <f>SUMIF(RAW_File!D:D,C:C,RAW_File!M:M)</f>
        <v>0</v>
      </c>
      <c r="I1205" s="40">
        <f t="shared" si="20"/>
        <v>0</v>
      </c>
    </row>
    <row r="1206" spans="1:9" hidden="1" x14ac:dyDescent="0.25">
      <c r="A1206" s="36" t="s">
        <v>78</v>
      </c>
      <c r="B1206" s="36" t="s">
        <v>1660</v>
      </c>
      <c r="C1206" s="36" t="s">
        <v>1661</v>
      </c>
      <c r="D1206" s="37">
        <f>SUMIF(RAW_File!D:D,C:C,RAW_File!F:F)</f>
        <v>5827.9458999999997</v>
      </c>
      <c r="E1206" s="38">
        <f>SUMIF(RAW_File!D:D,C:C,RAW_File!G:G)</f>
        <v>1000</v>
      </c>
      <c r="F1206" s="39">
        <f>SUMIF(RAW_File!D:D,C:C,RAW_File!I:I)</f>
        <v>1000</v>
      </c>
      <c r="G1206" s="40">
        <f>SUMIF(RAW_File!D:D,C:C,RAW_File!K:K)</f>
        <v>5000</v>
      </c>
      <c r="H1206" s="41">
        <f>SUMIF(RAW_File!D:D,C:C,RAW_File!M:M)</f>
        <v>15000</v>
      </c>
      <c r="I1206" s="40">
        <f t="shared" si="20"/>
        <v>10000</v>
      </c>
    </row>
    <row r="1207" spans="1:9" hidden="1" x14ac:dyDescent="0.25">
      <c r="A1207" s="36" t="s">
        <v>78</v>
      </c>
      <c r="B1207" s="36" t="s">
        <v>1776</v>
      </c>
      <c r="C1207" s="36" t="s">
        <v>1777</v>
      </c>
      <c r="D1207" s="37">
        <f>SUMIF(RAW_File!D:D,C:C,RAW_File!F:F)</f>
        <v>6.4812959104698882</v>
      </c>
      <c r="E1207" s="38">
        <f>SUMIF(RAW_File!D:D,C:C,RAW_File!G:G)</f>
        <v>0</v>
      </c>
      <c r="F1207" s="39">
        <f>SUMIF(RAW_File!D:D,C:C,RAW_File!I:I)</f>
        <v>0</v>
      </c>
      <c r="G1207" s="40">
        <f>SUMIF(RAW_File!D:D,C:C,RAW_File!K:K)</f>
        <v>0</v>
      </c>
      <c r="H1207" s="41">
        <f>SUMIF(RAW_File!D:D,C:C,RAW_File!M:M)</f>
        <v>0</v>
      </c>
      <c r="I1207" s="40">
        <f t="shared" si="20"/>
        <v>0</v>
      </c>
    </row>
    <row r="1208" spans="1:9" hidden="1" x14ac:dyDescent="0.25">
      <c r="A1208" s="36" t="s">
        <v>78</v>
      </c>
      <c r="B1208" s="36" t="s">
        <v>1878</v>
      </c>
      <c r="C1208" s="36" t="s">
        <v>1879</v>
      </c>
      <c r="D1208" s="37">
        <f>SUMIF(RAW_File!D:D,C:C,RAW_File!F:F)</f>
        <v>1980.661626790029</v>
      </c>
      <c r="E1208" s="38">
        <f>SUMIF(RAW_File!D:D,C:C,RAW_File!G:G)</f>
        <v>0</v>
      </c>
      <c r="F1208" s="39">
        <f>SUMIF(RAW_File!D:D,C:C,RAW_File!I:I)</f>
        <v>8490</v>
      </c>
      <c r="G1208" s="40">
        <f>SUMIF(RAW_File!D:D,C:C,RAW_File!K:K)</f>
        <v>0</v>
      </c>
      <c r="H1208" s="41">
        <f>SUMIF(RAW_File!D:D,C:C,RAW_File!M:M)</f>
        <v>10000</v>
      </c>
      <c r="I1208" s="40">
        <f t="shared" si="20"/>
        <v>10000</v>
      </c>
    </row>
    <row r="1209" spans="1:9" hidden="1" x14ac:dyDescent="0.25">
      <c r="A1209" s="36" t="s">
        <v>78</v>
      </c>
      <c r="B1209" s="36" t="s">
        <v>1917</v>
      </c>
      <c r="C1209" s="36" t="s">
        <v>1918</v>
      </c>
      <c r="D1209" s="37">
        <f>SUMIF(RAW_File!D:D,C:C,RAW_File!F:F)</f>
        <v>9530.5737340515425</v>
      </c>
      <c r="E1209" s="38">
        <f>SUMIF(RAW_File!D:D,C:C,RAW_File!G:G)</f>
        <v>100</v>
      </c>
      <c r="F1209" s="39">
        <f>SUMIF(RAW_File!D:D,C:C,RAW_File!I:I)</f>
        <v>8110</v>
      </c>
      <c r="G1209" s="40">
        <f>SUMIF(RAW_File!D:D,C:C,RAW_File!K:K)</f>
        <v>0</v>
      </c>
      <c r="H1209" s="41">
        <f>SUMIF(RAW_File!D:D,C:C,RAW_File!M:M)</f>
        <v>15000</v>
      </c>
      <c r="I1209" s="40">
        <f t="shared" si="20"/>
        <v>15000</v>
      </c>
    </row>
    <row r="1210" spans="1:9" hidden="1" x14ac:dyDescent="0.25">
      <c r="A1210" s="36" t="s">
        <v>78</v>
      </c>
      <c r="B1210" s="36" t="s">
        <v>2109</v>
      </c>
      <c r="C1210" s="36" t="s">
        <v>2110</v>
      </c>
      <c r="D1210" s="37">
        <f>SUMIF(RAW_File!D:D,C:C,RAW_File!F:F)</f>
        <v>151.28022065565409</v>
      </c>
      <c r="E1210" s="38">
        <f>SUMIF(RAW_File!D:D,C:C,RAW_File!G:G)</f>
        <v>0</v>
      </c>
      <c r="F1210" s="39">
        <f>SUMIF(RAW_File!D:D,C:C,RAW_File!I:I)</f>
        <v>0</v>
      </c>
      <c r="G1210" s="40">
        <f>SUMIF(RAW_File!D:D,C:C,RAW_File!K:K)</f>
        <v>5000</v>
      </c>
      <c r="H1210" s="41">
        <f>SUMIF(RAW_File!D:D,C:C,RAW_File!M:M)</f>
        <v>16000</v>
      </c>
      <c r="I1210" s="40">
        <f t="shared" si="20"/>
        <v>11000</v>
      </c>
    </row>
    <row r="1211" spans="1:9" hidden="1" x14ac:dyDescent="0.25">
      <c r="A1211" s="36" t="s">
        <v>78</v>
      </c>
      <c r="B1211" s="36" t="s">
        <v>2172</v>
      </c>
      <c r="C1211" s="36" t="s">
        <v>2173</v>
      </c>
      <c r="D1211" s="37">
        <f>SUMIF(RAW_File!D:D,C:C,RAW_File!F:F)</f>
        <v>3214.4099100184822</v>
      </c>
      <c r="E1211" s="38">
        <f>SUMIF(RAW_File!D:D,C:C,RAW_File!G:G)</f>
        <v>600</v>
      </c>
      <c r="F1211" s="39">
        <f>SUMIF(RAW_File!D:D,C:C,RAW_File!I:I)</f>
        <v>600</v>
      </c>
      <c r="G1211" s="40">
        <f>SUMIF(RAW_File!D:D,C:C,RAW_File!K:K)</f>
        <v>0</v>
      </c>
      <c r="H1211" s="41">
        <f>SUMIF(RAW_File!D:D,C:C,RAW_File!M:M)</f>
        <v>5000</v>
      </c>
      <c r="I1211" s="40">
        <f t="shared" si="20"/>
        <v>5000</v>
      </c>
    </row>
    <row r="1212" spans="1:9" hidden="1" x14ac:dyDescent="0.25">
      <c r="A1212" s="36" t="s">
        <v>78</v>
      </c>
      <c r="B1212" s="36" t="s">
        <v>1269</v>
      </c>
      <c r="C1212" s="36" t="s">
        <v>2319</v>
      </c>
      <c r="D1212" s="37">
        <f>SUMIF(RAW_File!D:D,C:C,RAW_File!F:F)</f>
        <v>8474.8401000025005</v>
      </c>
      <c r="E1212" s="38">
        <f>SUMIF(RAW_File!D:D,C:C,RAW_File!G:G)</f>
        <v>550</v>
      </c>
      <c r="F1212" s="39">
        <f>SUMIF(RAW_File!D:D,C:C,RAW_File!I:I)</f>
        <v>550</v>
      </c>
      <c r="G1212" s="40">
        <f>SUMIF(RAW_File!D:D,C:C,RAW_File!K:K)</f>
        <v>5000</v>
      </c>
      <c r="H1212" s="41">
        <f>SUMIF(RAW_File!D:D,C:C,RAW_File!M:M)</f>
        <v>0</v>
      </c>
      <c r="I1212" s="40">
        <f t="shared" si="20"/>
        <v>5000</v>
      </c>
    </row>
    <row r="1213" spans="1:9" hidden="1" x14ac:dyDescent="0.25">
      <c r="A1213" s="36" t="s">
        <v>78</v>
      </c>
      <c r="B1213" s="36" t="s">
        <v>2363</v>
      </c>
      <c r="C1213" s="36" t="s">
        <v>2364</v>
      </c>
      <c r="D1213" s="37">
        <f>SUMIF(RAW_File!D:D,C:C,RAW_File!F:F)</f>
        <v>200.64952730528171</v>
      </c>
      <c r="E1213" s="38">
        <f>SUMIF(RAW_File!D:D,C:C,RAW_File!G:G)</f>
        <v>7041</v>
      </c>
      <c r="F1213" s="39">
        <f>SUMIF(RAW_File!D:D,C:C,RAW_File!I:I)</f>
        <v>7041</v>
      </c>
      <c r="G1213" s="40">
        <f>SUMIF(RAW_File!D:D,C:C,RAW_File!K:K)</f>
        <v>5000</v>
      </c>
      <c r="H1213" s="41">
        <f>SUMIF(RAW_File!D:D,C:C,RAW_File!M:M)</f>
        <v>5000</v>
      </c>
      <c r="I1213" s="40">
        <f t="shared" si="20"/>
        <v>0</v>
      </c>
    </row>
    <row r="1214" spans="1:9" hidden="1" x14ac:dyDescent="0.25">
      <c r="A1214" s="36" t="s">
        <v>78</v>
      </c>
      <c r="B1214" s="36" t="s">
        <v>2373</v>
      </c>
      <c r="C1214" s="36" t="s">
        <v>2374</v>
      </c>
      <c r="D1214" s="37">
        <f>SUMIF(RAW_File!D:D,C:C,RAW_File!F:F)</f>
        <v>5388.9076500000001</v>
      </c>
      <c r="E1214" s="38">
        <f>SUMIF(RAW_File!D:D,C:C,RAW_File!G:G)</f>
        <v>0</v>
      </c>
      <c r="F1214" s="39">
        <f>SUMIF(RAW_File!D:D,C:C,RAW_File!I:I)</f>
        <v>0</v>
      </c>
      <c r="G1214" s="40">
        <f>SUMIF(RAW_File!D:D,C:C,RAW_File!K:K)</f>
        <v>5000</v>
      </c>
      <c r="H1214" s="41">
        <f>SUMIF(RAW_File!D:D,C:C,RAW_File!M:M)</f>
        <v>0</v>
      </c>
      <c r="I1214" s="40">
        <f t="shared" si="20"/>
        <v>5000</v>
      </c>
    </row>
    <row r="1215" spans="1:9" hidden="1" x14ac:dyDescent="0.25">
      <c r="A1215" s="36" t="s">
        <v>78</v>
      </c>
      <c r="B1215" s="36" t="s">
        <v>2379</v>
      </c>
      <c r="C1215" s="36" t="s">
        <v>2380</v>
      </c>
      <c r="D1215" s="37">
        <f>SUMIF(RAW_File!D:D,C:C,RAW_File!F:F)</f>
        <v>8750.8802431847762</v>
      </c>
      <c r="E1215" s="38">
        <f>SUMIF(RAW_File!D:D,C:C,RAW_File!G:G)</f>
        <v>19380</v>
      </c>
      <c r="F1215" s="39">
        <f>SUMIF(RAW_File!D:D,C:C,RAW_File!I:I)</f>
        <v>71560</v>
      </c>
      <c r="G1215" s="40">
        <f>SUMIF(RAW_File!D:D,C:C,RAW_File!K:K)</f>
        <v>0</v>
      </c>
      <c r="H1215" s="41">
        <f>SUMIF(RAW_File!D:D,C:C,RAW_File!M:M)</f>
        <v>20000</v>
      </c>
      <c r="I1215" s="40">
        <f t="shared" si="20"/>
        <v>20000</v>
      </c>
    </row>
    <row r="1216" spans="1:9" hidden="1" x14ac:dyDescent="0.25">
      <c r="A1216" s="36" t="s">
        <v>78</v>
      </c>
      <c r="B1216" s="36" t="s">
        <v>2537</v>
      </c>
      <c r="C1216" s="36" t="s">
        <v>2538</v>
      </c>
      <c r="D1216" s="37">
        <f>SUMIF(RAW_File!D:D,C:C,RAW_File!F:F)</f>
        <v>845.71484114501868</v>
      </c>
      <c r="E1216" s="38">
        <f>SUMIF(RAW_File!D:D,C:C,RAW_File!G:G)</f>
        <v>1000</v>
      </c>
      <c r="F1216" s="39">
        <f>SUMIF(RAW_File!D:D,C:C,RAW_File!I:I)</f>
        <v>1000</v>
      </c>
      <c r="G1216" s="40">
        <f>SUMIF(RAW_File!D:D,C:C,RAW_File!K:K)</f>
        <v>0</v>
      </c>
      <c r="H1216" s="41">
        <f>SUMIF(RAW_File!D:D,C:C,RAW_File!M:M)</f>
        <v>23000</v>
      </c>
      <c r="I1216" s="40">
        <f t="shared" si="20"/>
        <v>23000</v>
      </c>
    </row>
    <row r="1217" spans="1:9" hidden="1" x14ac:dyDescent="0.25">
      <c r="A1217" s="36" t="s">
        <v>78</v>
      </c>
      <c r="B1217" s="36" t="s">
        <v>2673</v>
      </c>
      <c r="C1217" s="36" t="s">
        <v>2674</v>
      </c>
      <c r="D1217" s="37">
        <f>SUMIF(RAW_File!D:D,C:C,RAW_File!F:F)</f>
        <v>30.333100000000002</v>
      </c>
      <c r="E1217" s="38">
        <f>SUMIF(RAW_File!D:D,C:C,RAW_File!G:G)</f>
        <v>11000</v>
      </c>
      <c r="F1217" s="39">
        <f>SUMIF(RAW_File!D:D,C:C,RAW_File!I:I)</f>
        <v>15500</v>
      </c>
      <c r="G1217" s="40">
        <f>SUMIF(RAW_File!D:D,C:C,RAW_File!K:K)</f>
        <v>5000</v>
      </c>
      <c r="H1217" s="41">
        <f>SUMIF(RAW_File!D:D,C:C,RAW_File!M:M)</f>
        <v>0</v>
      </c>
      <c r="I1217" s="40">
        <f t="shared" si="20"/>
        <v>5000</v>
      </c>
    </row>
    <row r="1218" spans="1:9" hidden="1" x14ac:dyDescent="0.25">
      <c r="A1218" s="36" t="s">
        <v>78</v>
      </c>
      <c r="B1218" s="36" t="s">
        <v>2683</v>
      </c>
      <c r="C1218" s="36" t="s">
        <v>2684</v>
      </c>
      <c r="D1218" s="37">
        <f>SUMIF(RAW_File!D:D,C:C,RAW_File!F:F)</f>
        <v>1593.9302</v>
      </c>
      <c r="E1218" s="38">
        <f>SUMIF(RAW_File!D:D,C:C,RAW_File!G:G)</f>
        <v>3500</v>
      </c>
      <c r="F1218" s="39">
        <f>SUMIF(RAW_File!D:D,C:C,RAW_File!I:I)</f>
        <v>21800</v>
      </c>
      <c r="G1218" s="40">
        <f>SUMIF(RAW_File!D:D,C:C,RAW_File!K:K)</f>
        <v>0</v>
      </c>
      <c r="H1218" s="41">
        <f>SUMIF(RAW_File!D:D,C:C,RAW_File!M:M)</f>
        <v>30000</v>
      </c>
      <c r="I1218" s="40">
        <f t="shared" si="20"/>
        <v>30000</v>
      </c>
    </row>
    <row r="1219" spans="1:9" hidden="1" x14ac:dyDescent="0.25">
      <c r="A1219" s="36" t="s">
        <v>78</v>
      </c>
      <c r="B1219" s="36" t="s">
        <v>2703</v>
      </c>
      <c r="C1219" s="36" t="s">
        <v>2704</v>
      </c>
      <c r="D1219" s="37">
        <f>SUMIF(RAW_File!D:D,C:C,RAW_File!F:F)</f>
        <v>4101.6831043305701</v>
      </c>
      <c r="E1219" s="38">
        <f>SUMIF(RAW_File!D:D,C:C,RAW_File!G:G)</f>
        <v>725</v>
      </c>
      <c r="F1219" s="39">
        <f>SUMIF(RAW_File!D:D,C:C,RAW_File!I:I)</f>
        <v>5470</v>
      </c>
      <c r="G1219" s="40">
        <f>SUMIF(RAW_File!D:D,C:C,RAW_File!K:K)</f>
        <v>5000</v>
      </c>
      <c r="H1219" s="41">
        <f>SUMIF(RAW_File!D:D,C:C,RAW_File!M:M)</f>
        <v>15000</v>
      </c>
      <c r="I1219" s="40">
        <f t="shared" ref="I1219:I1282" si="21">ABS(G1219-H1219)</f>
        <v>10000</v>
      </c>
    </row>
    <row r="1220" spans="1:9" hidden="1" x14ac:dyDescent="0.25">
      <c r="A1220" s="36" t="s">
        <v>78</v>
      </c>
      <c r="B1220" s="36" t="s">
        <v>2780</v>
      </c>
      <c r="C1220" s="36" t="s">
        <v>2781</v>
      </c>
      <c r="D1220" s="37">
        <f>SUMIF(RAW_File!D:D,C:C,RAW_File!F:F)</f>
        <v>1371.208576294775</v>
      </c>
      <c r="E1220" s="38">
        <f>SUMIF(RAW_File!D:D,C:C,RAW_File!G:G)</f>
        <v>635</v>
      </c>
      <c r="F1220" s="39">
        <f>SUMIF(RAW_File!D:D,C:C,RAW_File!I:I)</f>
        <v>3035</v>
      </c>
      <c r="G1220" s="40">
        <f>SUMIF(RAW_File!D:D,C:C,RAW_File!K:K)</f>
        <v>0</v>
      </c>
      <c r="H1220" s="41">
        <f>SUMIF(RAW_File!D:D,C:C,RAW_File!M:M)</f>
        <v>10000</v>
      </c>
      <c r="I1220" s="40">
        <f t="shared" si="21"/>
        <v>10000</v>
      </c>
    </row>
    <row r="1221" spans="1:9" hidden="1" x14ac:dyDescent="0.25">
      <c r="A1221" s="36" t="s">
        <v>78</v>
      </c>
      <c r="B1221" s="36" t="s">
        <v>765</v>
      </c>
      <c r="C1221" s="36" t="s">
        <v>2815</v>
      </c>
      <c r="D1221" s="37">
        <f>SUMIF(RAW_File!D:D,C:C,RAW_File!F:F)</f>
        <v>10458.467608262899</v>
      </c>
      <c r="E1221" s="38">
        <f>SUMIF(RAW_File!D:D,C:C,RAW_File!G:G)</f>
        <v>3510</v>
      </c>
      <c r="F1221" s="39">
        <f>SUMIF(RAW_File!D:D,C:C,RAW_File!I:I)</f>
        <v>16125</v>
      </c>
      <c r="G1221" s="40">
        <f>SUMIF(RAW_File!D:D,C:C,RAW_File!K:K)</f>
        <v>0</v>
      </c>
      <c r="H1221" s="41">
        <f>SUMIF(RAW_File!D:D,C:C,RAW_File!M:M)</f>
        <v>10000</v>
      </c>
      <c r="I1221" s="40">
        <f t="shared" si="21"/>
        <v>10000</v>
      </c>
    </row>
    <row r="1222" spans="1:9" hidden="1" x14ac:dyDescent="0.25">
      <c r="A1222" s="36" t="s">
        <v>78</v>
      </c>
      <c r="B1222" s="36" t="s">
        <v>3044</v>
      </c>
      <c r="C1222" s="36" t="s">
        <v>3045</v>
      </c>
      <c r="D1222" s="37">
        <f>SUMIF(RAW_File!D:D,C:C,RAW_File!F:F)</f>
        <v>1.335881386178257</v>
      </c>
      <c r="E1222" s="38">
        <f>SUMIF(RAW_File!D:D,C:C,RAW_File!G:G)</f>
        <v>0</v>
      </c>
      <c r="F1222" s="39">
        <f>SUMIF(RAW_File!D:D,C:C,RAW_File!I:I)</f>
        <v>0</v>
      </c>
      <c r="G1222" s="40">
        <f>SUMIF(RAW_File!D:D,C:C,RAW_File!K:K)</f>
        <v>0</v>
      </c>
      <c r="H1222" s="41">
        <f>SUMIF(RAW_File!D:D,C:C,RAW_File!M:M)</f>
        <v>0</v>
      </c>
      <c r="I1222" s="40">
        <f t="shared" si="21"/>
        <v>0</v>
      </c>
    </row>
    <row r="1223" spans="1:9" hidden="1" x14ac:dyDescent="0.25">
      <c r="A1223" s="36" t="s">
        <v>78</v>
      </c>
      <c r="B1223" s="36" t="s">
        <v>3064</v>
      </c>
      <c r="C1223" s="36" t="s">
        <v>3065</v>
      </c>
      <c r="D1223" s="37">
        <f>SUMIF(RAW_File!D:D,C:C,RAW_File!F:F)</f>
        <v>4008.6279983985009</v>
      </c>
      <c r="E1223" s="38">
        <f>SUMIF(RAW_File!D:D,C:C,RAW_File!G:G)</f>
        <v>900</v>
      </c>
      <c r="F1223" s="39">
        <f>SUMIF(RAW_File!D:D,C:C,RAW_File!I:I)</f>
        <v>4300</v>
      </c>
      <c r="G1223" s="40">
        <f>SUMIF(RAW_File!D:D,C:C,RAW_File!K:K)</f>
        <v>0</v>
      </c>
      <c r="H1223" s="41">
        <f>SUMIF(RAW_File!D:D,C:C,RAW_File!M:M)</f>
        <v>10000</v>
      </c>
      <c r="I1223" s="40">
        <f t="shared" si="21"/>
        <v>10000</v>
      </c>
    </row>
    <row r="1224" spans="1:9" hidden="1" x14ac:dyDescent="0.25">
      <c r="A1224" s="36" t="s">
        <v>78</v>
      </c>
      <c r="B1224" s="36" t="s">
        <v>3219</v>
      </c>
      <c r="C1224" s="36" t="s">
        <v>3220</v>
      </c>
      <c r="D1224" s="37">
        <f>SUMIF(RAW_File!D:D,C:C,RAW_File!F:F)</f>
        <v>593.9605192932828</v>
      </c>
      <c r="E1224" s="38">
        <f>SUMIF(RAW_File!D:D,C:C,RAW_File!G:G)</f>
        <v>1720</v>
      </c>
      <c r="F1224" s="39">
        <f>SUMIF(RAW_File!D:D,C:C,RAW_File!I:I)</f>
        <v>4360</v>
      </c>
      <c r="G1224" s="40">
        <f>SUMIF(RAW_File!D:D,C:C,RAW_File!K:K)</f>
        <v>0</v>
      </c>
      <c r="H1224" s="41">
        <f>SUMIF(RAW_File!D:D,C:C,RAW_File!M:M)</f>
        <v>20000</v>
      </c>
      <c r="I1224" s="40">
        <f t="shared" si="21"/>
        <v>20000</v>
      </c>
    </row>
    <row r="1225" spans="1:9" hidden="1" x14ac:dyDescent="0.25">
      <c r="A1225" s="36" t="s">
        <v>78</v>
      </c>
      <c r="B1225" s="36" t="s">
        <v>3232</v>
      </c>
      <c r="C1225" s="36" t="s">
        <v>3233</v>
      </c>
      <c r="D1225" s="37">
        <f>SUMIF(RAW_File!D:D,C:C,RAW_File!F:F)</f>
        <v>14429.9069</v>
      </c>
      <c r="E1225" s="38">
        <f>SUMIF(RAW_File!D:D,C:C,RAW_File!G:G)</f>
        <v>0</v>
      </c>
      <c r="F1225" s="39">
        <f>SUMIF(RAW_File!D:D,C:C,RAW_File!I:I)</f>
        <v>2500</v>
      </c>
      <c r="G1225" s="40">
        <f>SUMIF(RAW_File!D:D,C:C,RAW_File!K:K)</f>
        <v>0</v>
      </c>
      <c r="H1225" s="41">
        <f>SUMIF(RAW_File!D:D,C:C,RAW_File!M:M)</f>
        <v>20000</v>
      </c>
      <c r="I1225" s="40">
        <f t="shared" si="21"/>
        <v>20000</v>
      </c>
    </row>
    <row r="1226" spans="1:9" hidden="1" x14ac:dyDescent="0.25">
      <c r="A1226" s="36" t="s">
        <v>78</v>
      </c>
      <c r="B1226" s="36" t="s">
        <v>3240</v>
      </c>
      <c r="C1226" s="36" t="s">
        <v>3241</v>
      </c>
      <c r="D1226" s="37">
        <f>SUMIF(RAW_File!D:D,C:C,RAW_File!F:F)</f>
        <v>2501.768173421131</v>
      </c>
      <c r="E1226" s="38">
        <f>SUMIF(RAW_File!D:D,C:C,RAW_File!G:G)</f>
        <v>500</v>
      </c>
      <c r="F1226" s="39">
        <f>SUMIF(RAW_File!D:D,C:C,RAW_File!I:I)</f>
        <v>14160</v>
      </c>
      <c r="G1226" s="40">
        <f>SUMIF(RAW_File!D:D,C:C,RAW_File!K:K)</f>
        <v>0</v>
      </c>
      <c r="H1226" s="41">
        <f>SUMIF(RAW_File!D:D,C:C,RAW_File!M:M)</f>
        <v>30000</v>
      </c>
      <c r="I1226" s="40">
        <f t="shared" si="21"/>
        <v>30000</v>
      </c>
    </row>
    <row r="1227" spans="1:9" hidden="1" x14ac:dyDescent="0.25">
      <c r="A1227" s="36" t="s">
        <v>78</v>
      </c>
      <c r="B1227" s="36" t="s">
        <v>3283</v>
      </c>
      <c r="C1227" s="36" t="s">
        <v>3284</v>
      </c>
      <c r="D1227" s="37">
        <f>SUMIF(RAW_File!D:D,C:C,RAW_File!F:F)</f>
        <v>7924.9197000000004</v>
      </c>
      <c r="E1227" s="38">
        <f>SUMIF(RAW_File!D:D,C:C,RAW_File!G:G)</f>
        <v>5570</v>
      </c>
      <c r="F1227" s="39">
        <f>SUMIF(RAW_File!D:D,C:C,RAW_File!I:I)</f>
        <v>13362</v>
      </c>
      <c r="G1227" s="40">
        <f>SUMIF(RAW_File!D:D,C:C,RAW_File!K:K)</f>
        <v>0</v>
      </c>
      <c r="H1227" s="41">
        <f>SUMIF(RAW_File!D:D,C:C,RAW_File!M:M)</f>
        <v>20000</v>
      </c>
      <c r="I1227" s="40">
        <f t="shared" si="21"/>
        <v>20000</v>
      </c>
    </row>
    <row r="1228" spans="1:9" hidden="1" x14ac:dyDescent="0.25">
      <c r="A1228" s="36" t="s">
        <v>78</v>
      </c>
      <c r="B1228" s="36" t="s">
        <v>3404</v>
      </c>
      <c r="C1228" s="36" t="s">
        <v>3405</v>
      </c>
      <c r="D1228" s="37">
        <f>SUMIF(RAW_File!D:D,C:C,RAW_File!F:F)</f>
        <v>1.0502</v>
      </c>
      <c r="E1228" s="38">
        <f>SUMIF(RAW_File!D:D,C:C,RAW_File!G:G)</f>
        <v>0</v>
      </c>
      <c r="F1228" s="39">
        <f>SUMIF(RAW_File!D:D,C:C,RAW_File!I:I)</f>
        <v>0</v>
      </c>
      <c r="G1228" s="40">
        <f>SUMIF(RAW_File!D:D,C:C,RAW_File!K:K)</f>
        <v>0</v>
      </c>
      <c r="H1228" s="41">
        <f>SUMIF(RAW_File!D:D,C:C,RAW_File!M:M)</f>
        <v>0</v>
      </c>
      <c r="I1228" s="40">
        <f t="shared" si="21"/>
        <v>0</v>
      </c>
    </row>
    <row r="1229" spans="1:9" hidden="1" x14ac:dyDescent="0.25">
      <c r="A1229" s="36" t="s">
        <v>78</v>
      </c>
      <c r="B1229" s="36" t="s">
        <v>3510</v>
      </c>
      <c r="C1229" s="36" t="s">
        <v>3511</v>
      </c>
      <c r="D1229" s="37">
        <f>SUMIF(RAW_File!D:D,C:C,RAW_File!F:F)</f>
        <v>1571.1031</v>
      </c>
      <c r="E1229" s="38">
        <f>SUMIF(RAW_File!D:D,C:C,RAW_File!G:G)</f>
        <v>5380</v>
      </c>
      <c r="F1229" s="39">
        <f>SUMIF(RAW_File!D:D,C:C,RAW_File!I:I)</f>
        <v>7155</v>
      </c>
      <c r="G1229" s="40">
        <f>SUMIF(RAW_File!D:D,C:C,RAW_File!K:K)</f>
        <v>5000</v>
      </c>
      <c r="H1229" s="41">
        <f>SUMIF(RAW_File!D:D,C:C,RAW_File!M:M)</f>
        <v>0</v>
      </c>
      <c r="I1229" s="40">
        <f t="shared" si="21"/>
        <v>5000</v>
      </c>
    </row>
    <row r="1230" spans="1:9" hidden="1" x14ac:dyDescent="0.25">
      <c r="A1230" s="36" t="s">
        <v>92</v>
      </c>
      <c r="B1230" s="36" t="s">
        <v>131</v>
      </c>
      <c r="C1230" s="36" t="s">
        <v>132</v>
      </c>
      <c r="D1230" s="37">
        <f>SUMIF(RAW_File!D:D,C:C,RAW_File!F:F)</f>
        <v>35092.382843478299</v>
      </c>
      <c r="E1230" s="38">
        <f>SUMIF(RAW_File!D:D,C:C,RAW_File!G:G)</f>
        <v>2320</v>
      </c>
      <c r="F1230" s="39">
        <f>SUMIF(RAW_File!D:D,C:C,RAW_File!I:I)</f>
        <v>4520</v>
      </c>
      <c r="G1230" s="40">
        <f>SUMIF(RAW_File!D:D,C:C,RAW_File!K:K)</f>
        <v>0</v>
      </c>
      <c r="H1230" s="41">
        <f>SUMIF(RAW_File!D:D,C:C,RAW_File!M:M)</f>
        <v>30000</v>
      </c>
      <c r="I1230" s="40">
        <f t="shared" si="21"/>
        <v>30000</v>
      </c>
    </row>
    <row r="1231" spans="1:9" hidden="1" x14ac:dyDescent="0.25">
      <c r="A1231" s="36" t="s">
        <v>92</v>
      </c>
      <c r="B1231" s="36" t="s">
        <v>189</v>
      </c>
      <c r="C1231" s="36" t="s">
        <v>190</v>
      </c>
      <c r="D1231" s="37">
        <f>SUMIF(RAW_File!D:D,C:C,RAW_File!F:F)</f>
        <v>76.191599999999994</v>
      </c>
      <c r="E1231" s="38">
        <f>SUMIF(RAW_File!D:D,C:C,RAW_File!G:G)</f>
        <v>0</v>
      </c>
      <c r="F1231" s="39">
        <f>SUMIF(RAW_File!D:D,C:C,RAW_File!I:I)</f>
        <v>0</v>
      </c>
      <c r="G1231" s="40">
        <f>SUMIF(RAW_File!D:D,C:C,RAW_File!K:K)</f>
        <v>0</v>
      </c>
      <c r="H1231" s="41">
        <f>SUMIF(RAW_File!D:D,C:C,RAW_File!M:M)</f>
        <v>0</v>
      </c>
      <c r="I1231" s="40">
        <f t="shared" si="21"/>
        <v>0</v>
      </c>
    </row>
    <row r="1232" spans="1:9" hidden="1" x14ac:dyDescent="0.25">
      <c r="A1232" s="36" t="s">
        <v>92</v>
      </c>
      <c r="B1232" s="36" t="s">
        <v>199</v>
      </c>
      <c r="C1232" s="36" t="s">
        <v>200</v>
      </c>
      <c r="D1232" s="37">
        <f>SUMIF(RAW_File!D:D,C:C,RAW_File!F:F)</f>
        <v>837.08299999999997</v>
      </c>
      <c r="E1232" s="38">
        <f>SUMIF(RAW_File!D:D,C:C,RAW_File!G:G)</f>
        <v>830</v>
      </c>
      <c r="F1232" s="39">
        <f>SUMIF(RAW_File!D:D,C:C,RAW_File!I:I)</f>
        <v>6710</v>
      </c>
      <c r="G1232" s="40">
        <f>SUMIF(RAW_File!D:D,C:C,RAW_File!K:K)</f>
        <v>5000</v>
      </c>
      <c r="H1232" s="41">
        <f>SUMIF(RAW_File!D:D,C:C,RAW_File!M:M)</f>
        <v>10000</v>
      </c>
      <c r="I1232" s="40">
        <f t="shared" si="21"/>
        <v>5000</v>
      </c>
    </row>
    <row r="1233" spans="1:9" hidden="1" x14ac:dyDescent="0.25">
      <c r="A1233" s="36" t="s">
        <v>92</v>
      </c>
      <c r="B1233" s="36" t="s">
        <v>205</v>
      </c>
      <c r="C1233" s="36" t="s">
        <v>206</v>
      </c>
      <c r="D1233" s="37">
        <f>SUMIF(RAW_File!D:D,C:C,RAW_File!F:F)</f>
        <v>1458.061145409559</v>
      </c>
      <c r="E1233" s="38">
        <f>SUMIF(RAW_File!D:D,C:C,RAW_File!G:G)</f>
        <v>0</v>
      </c>
      <c r="F1233" s="39">
        <f>SUMIF(RAW_File!D:D,C:C,RAW_File!I:I)</f>
        <v>0</v>
      </c>
      <c r="G1233" s="40">
        <f>SUMIF(RAW_File!D:D,C:C,RAW_File!K:K)</f>
        <v>0</v>
      </c>
      <c r="H1233" s="41">
        <f>SUMIF(RAW_File!D:D,C:C,RAW_File!M:M)</f>
        <v>5000</v>
      </c>
      <c r="I1233" s="40">
        <f t="shared" si="21"/>
        <v>5000</v>
      </c>
    </row>
    <row r="1234" spans="1:9" hidden="1" x14ac:dyDescent="0.25">
      <c r="A1234" s="36" t="s">
        <v>92</v>
      </c>
      <c r="B1234" s="36" t="s">
        <v>239</v>
      </c>
      <c r="C1234" s="36" t="s">
        <v>240</v>
      </c>
      <c r="D1234" s="37">
        <f>SUMIF(RAW_File!D:D,C:C,RAW_File!F:F)</f>
        <v>27.974299999999999</v>
      </c>
      <c r="E1234" s="38">
        <f>SUMIF(RAW_File!D:D,C:C,RAW_File!G:G)</f>
        <v>0</v>
      </c>
      <c r="F1234" s="39">
        <f>SUMIF(RAW_File!D:D,C:C,RAW_File!I:I)</f>
        <v>0</v>
      </c>
      <c r="G1234" s="40">
        <f>SUMIF(RAW_File!D:D,C:C,RAW_File!K:K)</f>
        <v>0</v>
      </c>
      <c r="H1234" s="41">
        <f>SUMIF(RAW_File!D:D,C:C,RAW_File!M:M)</f>
        <v>0</v>
      </c>
      <c r="I1234" s="40">
        <f t="shared" si="21"/>
        <v>0</v>
      </c>
    </row>
    <row r="1235" spans="1:9" hidden="1" x14ac:dyDescent="0.25">
      <c r="A1235" s="36" t="s">
        <v>92</v>
      </c>
      <c r="B1235" s="36" t="s">
        <v>472</v>
      </c>
      <c r="C1235" s="36" t="s">
        <v>473</v>
      </c>
      <c r="D1235" s="37">
        <f>SUMIF(RAW_File!D:D,C:C,RAW_File!F:F)</f>
        <v>55.785003640208679</v>
      </c>
      <c r="E1235" s="38">
        <f>SUMIF(RAW_File!D:D,C:C,RAW_File!G:G)</f>
        <v>3200</v>
      </c>
      <c r="F1235" s="39">
        <f>SUMIF(RAW_File!D:D,C:C,RAW_File!I:I)</f>
        <v>12372</v>
      </c>
      <c r="G1235" s="40">
        <f>SUMIF(RAW_File!D:D,C:C,RAW_File!K:K)</f>
        <v>0</v>
      </c>
      <c r="H1235" s="41">
        <f>SUMIF(RAW_File!D:D,C:C,RAW_File!M:M)</f>
        <v>5000</v>
      </c>
      <c r="I1235" s="40">
        <f t="shared" si="21"/>
        <v>5000</v>
      </c>
    </row>
    <row r="1236" spans="1:9" hidden="1" x14ac:dyDescent="0.25">
      <c r="A1236" s="36" t="s">
        <v>92</v>
      </c>
      <c r="B1236" s="36" t="s">
        <v>523</v>
      </c>
      <c r="C1236" s="36" t="s">
        <v>524</v>
      </c>
      <c r="D1236" s="37">
        <f>SUMIF(RAW_File!D:D,C:C,RAW_File!F:F)</f>
        <v>520.23900000000003</v>
      </c>
      <c r="E1236" s="38">
        <f>SUMIF(RAW_File!D:D,C:C,RAW_File!G:G)</f>
        <v>5015</v>
      </c>
      <c r="F1236" s="39">
        <f>SUMIF(RAW_File!D:D,C:C,RAW_File!I:I)</f>
        <v>6515</v>
      </c>
      <c r="G1236" s="40">
        <f>SUMIF(RAW_File!D:D,C:C,RAW_File!K:K)</f>
        <v>5000</v>
      </c>
      <c r="H1236" s="41">
        <f>SUMIF(RAW_File!D:D,C:C,RAW_File!M:M)</f>
        <v>1000</v>
      </c>
      <c r="I1236" s="40">
        <f t="shared" si="21"/>
        <v>4000</v>
      </c>
    </row>
    <row r="1237" spans="1:9" hidden="1" x14ac:dyDescent="0.25">
      <c r="A1237" s="36" t="s">
        <v>92</v>
      </c>
      <c r="B1237" s="36" t="s">
        <v>566</v>
      </c>
      <c r="C1237" s="36" t="s">
        <v>567</v>
      </c>
      <c r="D1237" s="37">
        <f>SUMIF(RAW_File!D:D,C:C,RAW_File!F:F)</f>
        <v>2.4369970120508042</v>
      </c>
      <c r="E1237" s="38">
        <f>SUMIF(RAW_File!D:D,C:C,RAW_File!G:G)</f>
        <v>0</v>
      </c>
      <c r="F1237" s="39">
        <f>SUMIF(RAW_File!D:D,C:C,RAW_File!I:I)</f>
        <v>0</v>
      </c>
      <c r="G1237" s="40">
        <f>SUMIF(RAW_File!D:D,C:C,RAW_File!K:K)</f>
        <v>0</v>
      </c>
      <c r="H1237" s="41">
        <f>SUMIF(RAW_File!D:D,C:C,RAW_File!M:M)</f>
        <v>0</v>
      </c>
      <c r="I1237" s="40">
        <f t="shared" si="21"/>
        <v>0</v>
      </c>
    </row>
    <row r="1238" spans="1:9" hidden="1" x14ac:dyDescent="0.25">
      <c r="A1238" s="36" t="s">
        <v>92</v>
      </c>
      <c r="B1238" s="36" t="s">
        <v>647</v>
      </c>
      <c r="C1238" s="36" t="s">
        <v>648</v>
      </c>
      <c r="D1238" s="37">
        <f>SUMIF(RAW_File!D:D,C:C,RAW_File!F:F)</f>
        <v>31440.152925201099</v>
      </c>
      <c r="E1238" s="38">
        <f>SUMIF(RAW_File!D:D,C:C,RAW_File!G:G)</f>
        <v>17675</v>
      </c>
      <c r="F1238" s="39">
        <f>SUMIF(RAW_File!D:D,C:C,RAW_File!I:I)</f>
        <v>53125</v>
      </c>
      <c r="G1238" s="40">
        <f>SUMIF(RAW_File!D:D,C:C,RAW_File!K:K)</f>
        <v>10000</v>
      </c>
      <c r="H1238" s="41">
        <f>SUMIF(RAW_File!D:D,C:C,RAW_File!M:M)</f>
        <v>23000</v>
      </c>
      <c r="I1238" s="40">
        <f t="shared" si="21"/>
        <v>13000</v>
      </c>
    </row>
    <row r="1239" spans="1:9" hidden="1" x14ac:dyDescent="0.25">
      <c r="A1239" s="36" t="s">
        <v>92</v>
      </c>
      <c r="B1239" s="36" t="s">
        <v>657</v>
      </c>
      <c r="C1239" s="36" t="s">
        <v>658</v>
      </c>
      <c r="D1239" s="37">
        <f>SUMIF(RAW_File!D:D,C:C,RAW_File!F:F)</f>
        <v>6510.5230790520609</v>
      </c>
      <c r="E1239" s="38">
        <f>SUMIF(RAW_File!D:D,C:C,RAW_File!G:G)</f>
        <v>2910</v>
      </c>
      <c r="F1239" s="39">
        <f>SUMIF(RAW_File!D:D,C:C,RAW_File!I:I)</f>
        <v>6910</v>
      </c>
      <c r="G1239" s="40">
        <f>SUMIF(RAW_File!D:D,C:C,RAW_File!K:K)</f>
        <v>5000</v>
      </c>
      <c r="H1239" s="41">
        <f>SUMIF(RAW_File!D:D,C:C,RAW_File!M:M)</f>
        <v>0</v>
      </c>
      <c r="I1239" s="40">
        <f t="shared" si="21"/>
        <v>5000</v>
      </c>
    </row>
    <row r="1240" spans="1:9" hidden="1" x14ac:dyDescent="0.25">
      <c r="A1240" s="36" t="s">
        <v>92</v>
      </c>
      <c r="B1240" s="36" t="s">
        <v>671</v>
      </c>
      <c r="C1240" s="36" t="s">
        <v>672</v>
      </c>
      <c r="D1240" s="37">
        <f>SUMIF(RAW_File!D:D,C:C,RAW_File!F:F)</f>
        <v>19132.341317999999</v>
      </c>
      <c r="E1240" s="38">
        <f>SUMIF(RAW_File!D:D,C:C,RAW_File!G:G)</f>
        <v>1530</v>
      </c>
      <c r="F1240" s="39">
        <f>SUMIF(RAW_File!D:D,C:C,RAW_File!I:I)</f>
        <v>4480</v>
      </c>
      <c r="G1240" s="40">
        <f>SUMIF(RAW_File!D:D,C:C,RAW_File!K:K)</f>
        <v>10000</v>
      </c>
      <c r="H1240" s="41">
        <f>SUMIF(RAW_File!D:D,C:C,RAW_File!M:M)</f>
        <v>0</v>
      </c>
      <c r="I1240" s="40">
        <f t="shared" si="21"/>
        <v>10000</v>
      </c>
    </row>
    <row r="1241" spans="1:9" hidden="1" x14ac:dyDescent="0.25">
      <c r="A1241" s="36" t="s">
        <v>92</v>
      </c>
      <c r="B1241" s="36" t="s">
        <v>689</v>
      </c>
      <c r="C1241" s="36" t="s">
        <v>690</v>
      </c>
      <c r="D1241" s="37">
        <f>SUMIF(RAW_File!D:D,C:C,RAW_File!F:F)</f>
        <v>1383.6049</v>
      </c>
      <c r="E1241" s="38">
        <f>SUMIF(RAW_File!D:D,C:C,RAW_File!G:G)</f>
        <v>16731</v>
      </c>
      <c r="F1241" s="39">
        <f>SUMIF(RAW_File!D:D,C:C,RAW_File!I:I)</f>
        <v>25621</v>
      </c>
      <c r="G1241" s="40">
        <f>SUMIF(RAW_File!D:D,C:C,RAW_File!K:K)</f>
        <v>13000</v>
      </c>
      <c r="H1241" s="41">
        <f>SUMIF(RAW_File!D:D,C:C,RAW_File!M:M)</f>
        <v>8000</v>
      </c>
      <c r="I1241" s="40">
        <f t="shared" si="21"/>
        <v>5000</v>
      </c>
    </row>
    <row r="1242" spans="1:9" hidden="1" x14ac:dyDescent="0.25">
      <c r="A1242" s="36" t="s">
        <v>92</v>
      </c>
      <c r="B1242" s="36" t="s">
        <v>715</v>
      </c>
      <c r="C1242" s="36" t="s">
        <v>716</v>
      </c>
      <c r="D1242" s="37">
        <f>SUMIF(RAW_File!D:D,C:C,RAW_File!F:F)</f>
        <v>1305.0959989981691</v>
      </c>
      <c r="E1242" s="38">
        <f>SUMIF(RAW_File!D:D,C:C,RAW_File!G:G)</f>
        <v>10660</v>
      </c>
      <c r="F1242" s="39">
        <f>SUMIF(RAW_File!D:D,C:C,RAW_File!I:I)</f>
        <v>20810</v>
      </c>
      <c r="G1242" s="40">
        <f>SUMIF(RAW_File!D:D,C:C,RAW_File!K:K)</f>
        <v>0</v>
      </c>
      <c r="H1242" s="41">
        <f>SUMIF(RAW_File!D:D,C:C,RAW_File!M:M)</f>
        <v>5000</v>
      </c>
      <c r="I1242" s="40">
        <f t="shared" si="21"/>
        <v>5000</v>
      </c>
    </row>
    <row r="1243" spans="1:9" hidden="1" x14ac:dyDescent="0.25">
      <c r="A1243" s="36" t="s">
        <v>92</v>
      </c>
      <c r="B1243" s="36" t="s">
        <v>795</v>
      </c>
      <c r="C1243" s="36" t="s">
        <v>796</v>
      </c>
      <c r="D1243" s="37">
        <f>SUMIF(RAW_File!D:D,C:C,RAW_File!F:F)</f>
        <v>8799.0724980816231</v>
      </c>
      <c r="E1243" s="38">
        <f>SUMIF(RAW_File!D:D,C:C,RAW_File!G:G)</f>
        <v>1250</v>
      </c>
      <c r="F1243" s="39">
        <f>SUMIF(RAW_File!D:D,C:C,RAW_File!I:I)</f>
        <v>8850</v>
      </c>
      <c r="G1243" s="40">
        <f>SUMIF(RAW_File!D:D,C:C,RAW_File!K:K)</f>
        <v>0</v>
      </c>
      <c r="H1243" s="41">
        <f>SUMIF(RAW_File!D:D,C:C,RAW_File!M:M)</f>
        <v>5000</v>
      </c>
      <c r="I1243" s="40">
        <f t="shared" si="21"/>
        <v>5000</v>
      </c>
    </row>
    <row r="1244" spans="1:9" hidden="1" x14ac:dyDescent="0.25">
      <c r="A1244" s="36" t="s">
        <v>92</v>
      </c>
      <c r="B1244" s="36" t="s">
        <v>840</v>
      </c>
      <c r="C1244" s="36" t="s">
        <v>841</v>
      </c>
      <c r="D1244" s="37">
        <f>SUMIF(RAW_File!D:D,C:C,RAW_File!F:F)</f>
        <v>772.56098046900001</v>
      </c>
      <c r="E1244" s="38">
        <f>SUMIF(RAW_File!D:D,C:C,RAW_File!G:G)</f>
        <v>11375</v>
      </c>
      <c r="F1244" s="39">
        <f>SUMIF(RAW_File!D:D,C:C,RAW_File!I:I)</f>
        <v>17380</v>
      </c>
      <c r="G1244" s="40">
        <f>SUMIF(RAW_File!D:D,C:C,RAW_File!K:K)</f>
        <v>7000</v>
      </c>
      <c r="H1244" s="41">
        <f>SUMIF(RAW_File!D:D,C:C,RAW_File!M:M)</f>
        <v>0</v>
      </c>
      <c r="I1244" s="40">
        <f t="shared" si="21"/>
        <v>7000</v>
      </c>
    </row>
    <row r="1245" spans="1:9" hidden="1" x14ac:dyDescent="0.25">
      <c r="A1245" s="36" t="s">
        <v>92</v>
      </c>
      <c r="B1245" s="36" t="s">
        <v>921</v>
      </c>
      <c r="C1245" s="36" t="s">
        <v>922</v>
      </c>
      <c r="D1245" s="37">
        <f>SUMIF(RAW_File!D:D,C:C,RAW_File!F:F)</f>
        <v>49227.945852992743</v>
      </c>
      <c r="E1245" s="38">
        <f>SUMIF(RAW_File!D:D,C:C,RAW_File!G:G)</f>
        <v>70852</v>
      </c>
      <c r="F1245" s="39">
        <f>SUMIF(RAW_File!D:D,C:C,RAW_File!I:I)</f>
        <v>141767</v>
      </c>
      <c r="G1245" s="40">
        <f>SUMIF(RAW_File!D:D,C:C,RAW_File!K:K)</f>
        <v>40000</v>
      </c>
      <c r="H1245" s="41">
        <f>SUMIF(RAW_File!D:D,C:C,RAW_File!M:M)</f>
        <v>18000</v>
      </c>
      <c r="I1245" s="40">
        <f t="shared" si="21"/>
        <v>22000</v>
      </c>
    </row>
    <row r="1246" spans="1:9" hidden="1" x14ac:dyDescent="0.25">
      <c r="A1246" s="36" t="s">
        <v>92</v>
      </c>
      <c r="B1246" s="36" t="s">
        <v>1334</v>
      </c>
      <c r="C1246" s="36" t="s">
        <v>1335</v>
      </c>
      <c r="D1246" s="37">
        <f>SUMIF(RAW_File!D:D,C:C,RAW_File!F:F)</f>
        <v>19450.362302324818</v>
      </c>
      <c r="E1246" s="38">
        <f>SUMIF(RAW_File!D:D,C:C,RAW_File!G:G)</f>
        <v>5730</v>
      </c>
      <c r="F1246" s="39">
        <f>SUMIF(RAW_File!D:D,C:C,RAW_File!I:I)</f>
        <v>11830</v>
      </c>
      <c r="G1246" s="40">
        <f>SUMIF(RAW_File!D:D,C:C,RAW_File!K:K)</f>
        <v>0</v>
      </c>
      <c r="H1246" s="41">
        <f>SUMIF(RAW_File!D:D,C:C,RAW_File!M:M)</f>
        <v>20000</v>
      </c>
      <c r="I1246" s="40">
        <f t="shared" si="21"/>
        <v>20000</v>
      </c>
    </row>
    <row r="1247" spans="1:9" hidden="1" x14ac:dyDescent="0.25">
      <c r="A1247" s="42" t="s">
        <v>92</v>
      </c>
      <c r="B1247" s="36" t="s">
        <v>1209</v>
      </c>
      <c r="C1247" s="36" t="s">
        <v>1379</v>
      </c>
      <c r="D1247" s="37">
        <f>SUMIF(RAW_File!D:D,C:C,RAW_File!F:F)</f>
        <v>24530.651988164351</v>
      </c>
      <c r="E1247" s="38">
        <f>SUMIF(RAW_File!D:D,C:C,RAW_File!G:G)</f>
        <v>4280</v>
      </c>
      <c r="F1247" s="39">
        <f>SUMIF(RAW_File!D:D,C:C,RAW_File!I:I)</f>
        <v>8530</v>
      </c>
      <c r="G1247" s="40">
        <f>SUMIF(RAW_File!D:D,C:C,RAW_File!K:K)</f>
        <v>0</v>
      </c>
      <c r="H1247" s="41">
        <f>SUMIF(RAW_File!D:D,C:C,RAW_File!M:M)</f>
        <v>5000</v>
      </c>
      <c r="I1247" s="40">
        <f t="shared" si="21"/>
        <v>5000</v>
      </c>
    </row>
    <row r="1248" spans="1:9" hidden="1" x14ac:dyDescent="0.25">
      <c r="A1248" s="36" t="s">
        <v>92</v>
      </c>
      <c r="B1248" s="36" t="s">
        <v>1528</v>
      </c>
      <c r="C1248" s="36" t="s">
        <v>1529</v>
      </c>
      <c r="D1248" s="37">
        <f>SUMIF(RAW_File!D:D,C:C,RAW_File!F:F)</f>
        <v>5382.2593999999999</v>
      </c>
      <c r="E1248" s="38">
        <f>SUMIF(RAW_File!D:D,C:C,RAW_File!G:G)</f>
        <v>2670</v>
      </c>
      <c r="F1248" s="39">
        <f>SUMIF(RAW_File!D:D,C:C,RAW_File!I:I)</f>
        <v>30590</v>
      </c>
      <c r="G1248" s="40">
        <f>SUMIF(RAW_File!D:D,C:C,RAW_File!K:K)</f>
        <v>5000</v>
      </c>
      <c r="H1248" s="41">
        <f>SUMIF(RAW_File!D:D,C:C,RAW_File!M:M)</f>
        <v>25000</v>
      </c>
      <c r="I1248" s="40">
        <f t="shared" si="21"/>
        <v>20000</v>
      </c>
    </row>
    <row r="1249" spans="1:9" hidden="1" x14ac:dyDescent="0.25">
      <c r="A1249" s="36" t="s">
        <v>92</v>
      </c>
      <c r="B1249" s="36" t="s">
        <v>1597</v>
      </c>
      <c r="C1249" s="36" t="s">
        <v>1598</v>
      </c>
      <c r="D1249" s="37">
        <f>SUMIF(RAW_File!D:D,C:C,RAW_File!F:F)</f>
        <v>20981.803050955001</v>
      </c>
      <c r="E1249" s="38">
        <f>SUMIF(RAW_File!D:D,C:C,RAW_File!G:G)</f>
        <v>600</v>
      </c>
      <c r="F1249" s="39">
        <f>SUMIF(RAW_File!D:D,C:C,RAW_File!I:I)</f>
        <v>2370</v>
      </c>
      <c r="G1249" s="40">
        <f>SUMIF(RAW_File!D:D,C:C,RAW_File!K:K)</f>
        <v>0</v>
      </c>
      <c r="H1249" s="41">
        <f>SUMIF(RAW_File!D:D,C:C,RAW_File!M:M)</f>
        <v>5000</v>
      </c>
      <c r="I1249" s="40">
        <f t="shared" si="21"/>
        <v>5000</v>
      </c>
    </row>
    <row r="1250" spans="1:9" hidden="1" x14ac:dyDescent="0.25">
      <c r="A1250" s="36" t="s">
        <v>92</v>
      </c>
      <c r="B1250" s="36" t="s">
        <v>1664</v>
      </c>
      <c r="C1250" s="36" t="s">
        <v>1665</v>
      </c>
      <c r="D1250" s="37">
        <f>SUMIF(RAW_File!D:D,C:C,RAW_File!F:F)</f>
        <v>843.11190942947815</v>
      </c>
      <c r="E1250" s="38">
        <f>SUMIF(RAW_File!D:D,C:C,RAW_File!G:G)</f>
        <v>500</v>
      </c>
      <c r="F1250" s="39">
        <f>SUMIF(RAW_File!D:D,C:C,RAW_File!I:I)</f>
        <v>500</v>
      </c>
      <c r="G1250" s="40">
        <f>SUMIF(RAW_File!D:D,C:C,RAW_File!K:K)</f>
        <v>0</v>
      </c>
      <c r="H1250" s="41">
        <f>SUMIF(RAW_File!D:D,C:C,RAW_File!M:M)</f>
        <v>0</v>
      </c>
      <c r="I1250" s="40">
        <f t="shared" si="21"/>
        <v>0</v>
      </c>
    </row>
    <row r="1251" spans="1:9" hidden="1" x14ac:dyDescent="0.25">
      <c r="A1251" s="36" t="s">
        <v>92</v>
      </c>
      <c r="B1251" s="36" t="s">
        <v>1732</v>
      </c>
      <c r="C1251" s="36" t="s">
        <v>1733</v>
      </c>
      <c r="D1251" s="37">
        <f>SUMIF(RAW_File!D:D,C:C,RAW_File!F:F)</f>
        <v>3178.289365516498</v>
      </c>
      <c r="E1251" s="38">
        <f>SUMIF(RAW_File!D:D,C:C,RAW_File!G:G)</f>
        <v>0</v>
      </c>
      <c r="F1251" s="39">
        <f>SUMIF(RAW_File!D:D,C:C,RAW_File!I:I)</f>
        <v>3680</v>
      </c>
      <c r="G1251" s="40">
        <f>SUMIF(RAW_File!D:D,C:C,RAW_File!K:K)</f>
        <v>0</v>
      </c>
      <c r="H1251" s="41">
        <f>SUMIF(RAW_File!D:D,C:C,RAW_File!M:M)</f>
        <v>5000</v>
      </c>
      <c r="I1251" s="40">
        <f t="shared" si="21"/>
        <v>5000</v>
      </c>
    </row>
    <row r="1252" spans="1:9" hidden="1" x14ac:dyDescent="0.25">
      <c r="A1252" s="36" t="s">
        <v>92</v>
      </c>
      <c r="B1252" s="36" t="s">
        <v>1756</v>
      </c>
      <c r="C1252" s="36" t="s">
        <v>1757</v>
      </c>
      <c r="D1252" s="37">
        <f>SUMIF(RAW_File!D:D,C:C,RAW_File!F:F)</f>
        <v>3400.7378171494038</v>
      </c>
      <c r="E1252" s="38">
        <f>SUMIF(RAW_File!D:D,C:C,RAW_File!G:G)</f>
        <v>2200</v>
      </c>
      <c r="F1252" s="39">
        <f>SUMIF(RAW_File!D:D,C:C,RAW_File!I:I)</f>
        <v>8630</v>
      </c>
      <c r="G1252" s="40">
        <f>SUMIF(RAW_File!D:D,C:C,RAW_File!K:K)</f>
        <v>0</v>
      </c>
      <c r="H1252" s="41">
        <f>SUMIF(RAW_File!D:D,C:C,RAW_File!M:M)</f>
        <v>13000</v>
      </c>
      <c r="I1252" s="40">
        <f t="shared" si="21"/>
        <v>13000</v>
      </c>
    </row>
    <row r="1253" spans="1:9" hidden="1" x14ac:dyDescent="0.25">
      <c r="A1253" s="36" t="s">
        <v>92</v>
      </c>
      <c r="B1253" s="36" t="s">
        <v>1770</v>
      </c>
      <c r="C1253" s="36" t="s">
        <v>1771</v>
      </c>
      <c r="D1253" s="37">
        <f>SUMIF(RAW_File!D:D,C:C,RAW_File!F:F)</f>
        <v>32539.285367660199</v>
      </c>
      <c r="E1253" s="38">
        <f>SUMIF(RAW_File!D:D,C:C,RAW_File!G:G)</f>
        <v>3670</v>
      </c>
      <c r="F1253" s="39">
        <f>SUMIF(RAW_File!D:D,C:C,RAW_File!I:I)</f>
        <v>11300</v>
      </c>
      <c r="G1253" s="40">
        <f>SUMIF(RAW_File!D:D,C:C,RAW_File!K:K)</f>
        <v>0</v>
      </c>
      <c r="H1253" s="41">
        <f>SUMIF(RAW_File!D:D,C:C,RAW_File!M:M)</f>
        <v>5000</v>
      </c>
      <c r="I1253" s="40">
        <f t="shared" si="21"/>
        <v>5000</v>
      </c>
    </row>
    <row r="1254" spans="1:9" hidden="1" x14ac:dyDescent="0.25">
      <c r="A1254" s="36" t="s">
        <v>92</v>
      </c>
      <c r="B1254" s="36" t="s">
        <v>1919</v>
      </c>
      <c r="C1254" s="36" t="s">
        <v>1920</v>
      </c>
      <c r="D1254" s="37">
        <f>SUMIF(RAW_File!D:D,C:C,RAW_File!F:F)</f>
        <v>17.64108641185269</v>
      </c>
      <c r="E1254" s="38">
        <f>SUMIF(RAW_File!D:D,C:C,RAW_File!G:G)</f>
        <v>1000</v>
      </c>
      <c r="F1254" s="39">
        <f>SUMIF(RAW_File!D:D,C:C,RAW_File!I:I)</f>
        <v>2000</v>
      </c>
      <c r="G1254" s="40">
        <f>SUMIF(RAW_File!D:D,C:C,RAW_File!K:K)</f>
        <v>0</v>
      </c>
      <c r="H1254" s="41">
        <f>SUMIF(RAW_File!D:D,C:C,RAW_File!M:M)</f>
        <v>0</v>
      </c>
      <c r="I1254" s="40">
        <f t="shared" si="21"/>
        <v>0</v>
      </c>
    </row>
    <row r="1255" spans="1:9" hidden="1" x14ac:dyDescent="0.25">
      <c r="A1255" s="36" t="s">
        <v>92</v>
      </c>
      <c r="B1255" s="36" t="s">
        <v>1943</v>
      </c>
      <c r="C1255" s="36" t="s">
        <v>1944</v>
      </c>
      <c r="D1255" s="37">
        <f>SUMIF(RAW_File!D:D,C:C,RAW_File!F:F)</f>
        <v>7902.8456999999999</v>
      </c>
      <c r="E1255" s="38">
        <f>SUMIF(RAW_File!D:D,C:C,RAW_File!G:G)</f>
        <v>26600</v>
      </c>
      <c r="F1255" s="39">
        <f>SUMIF(RAW_File!D:D,C:C,RAW_File!I:I)</f>
        <v>47880</v>
      </c>
      <c r="G1255" s="40">
        <f>SUMIF(RAW_File!D:D,C:C,RAW_File!K:K)</f>
        <v>5000</v>
      </c>
      <c r="H1255" s="41">
        <f>SUMIF(RAW_File!D:D,C:C,RAW_File!M:M)</f>
        <v>0</v>
      </c>
      <c r="I1255" s="40">
        <f t="shared" si="21"/>
        <v>5000</v>
      </c>
    </row>
    <row r="1256" spans="1:9" hidden="1" x14ac:dyDescent="0.25">
      <c r="A1256" s="36" t="s">
        <v>92</v>
      </c>
      <c r="B1256" s="36" t="s">
        <v>1949</v>
      </c>
      <c r="C1256" s="36" t="s">
        <v>1950</v>
      </c>
      <c r="D1256" s="37">
        <f>SUMIF(RAW_File!D:D,C:C,RAW_File!F:F)</f>
        <v>9.7573606927142844</v>
      </c>
      <c r="E1256" s="38">
        <f>SUMIF(RAW_File!D:D,C:C,RAW_File!G:G)</f>
        <v>0</v>
      </c>
      <c r="F1256" s="39">
        <f>SUMIF(RAW_File!D:D,C:C,RAW_File!I:I)</f>
        <v>0</v>
      </c>
      <c r="G1256" s="40">
        <f>SUMIF(RAW_File!D:D,C:C,RAW_File!K:K)</f>
        <v>0</v>
      </c>
      <c r="H1256" s="41">
        <f>SUMIF(RAW_File!D:D,C:C,RAW_File!M:M)</f>
        <v>0</v>
      </c>
      <c r="I1256" s="40">
        <f t="shared" si="21"/>
        <v>0</v>
      </c>
    </row>
    <row r="1257" spans="1:9" hidden="1" x14ac:dyDescent="0.25">
      <c r="A1257" s="36" t="s">
        <v>92</v>
      </c>
      <c r="B1257" s="36" t="s">
        <v>2117</v>
      </c>
      <c r="C1257" s="36" t="s">
        <v>2118</v>
      </c>
      <c r="D1257" s="37">
        <f>SUMIF(RAW_File!D:D,C:C,RAW_File!F:F)</f>
        <v>10859.69662429725</v>
      </c>
      <c r="E1257" s="38">
        <f>SUMIF(RAW_File!D:D,C:C,RAW_File!G:G)</f>
        <v>4410</v>
      </c>
      <c r="F1257" s="39">
        <f>SUMIF(RAW_File!D:D,C:C,RAW_File!I:I)</f>
        <v>7910</v>
      </c>
      <c r="G1257" s="40">
        <f>SUMIF(RAW_File!D:D,C:C,RAW_File!K:K)</f>
        <v>0</v>
      </c>
      <c r="H1257" s="41">
        <f>SUMIF(RAW_File!D:D,C:C,RAW_File!M:M)</f>
        <v>10000</v>
      </c>
      <c r="I1257" s="40">
        <f t="shared" si="21"/>
        <v>10000</v>
      </c>
    </row>
    <row r="1258" spans="1:9" hidden="1" x14ac:dyDescent="0.25">
      <c r="A1258" s="36" t="s">
        <v>92</v>
      </c>
      <c r="B1258" s="36" t="s">
        <v>2197</v>
      </c>
      <c r="C1258" s="36" t="s">
        <v>2198</v>
      </c>
      <c r="D1258" s="37">
        <f>SUMIF(RAW_File!D:D,C:C,RAW_File!F:F)</f>
        <v>2097.8726375568831</v>
      </c>
      <c r="E1258" s="38">
        <f>SUMIF(RAW_File!D:D,C:C,RAW_File!G:G)</f>
        <v>2325</v>
      </c>
      <c r="F1258" s="39">
        <f>SUMIF(RAW_File!D:D,C:C,RAW_File!I:I)</f>
        <v>2325</v>
      </c>
      <c r="G1258" s="40">
        <f>SUMIF(RAW_File!D:D,C:C,RAW_File!K:K)</f>
        <v>5000</v>
      </c>
      <c r="H1258" s="41">
        <f>SUMIF(RAW_File!D:D,C:C,RAW_File!M:M)</f>
        <v>10000</v>
      </c>
      <c r="I1258" s="40">
        <f t="shared" si="21"/>
        <v>5000</v>
      </c>
    </row>
    <row r="1259" spans="1:9" hidden="1" x14ac:dyDescent="0.25">
      <c r="A1259" s="36" t="s">
        <v>92</v>
      </c>
      <c r="B1259" s="36" t="s">
        <v>2233</v>
      </c>
      <c r="C1259" s="36" t="s">
        <v>2234</v>
      </c>
      <c r="D1259" s="37">
        <f>SUMIF(RAW_File!D:D,C:C,RAW_File!F:F)</f>
        <v>13713.860834782699</v>
      </c>
      <c r="E1259" s="38">
        <f>SUMIF(RAW_File!D:D,C:C,RAW_File!G:G)</f>
        <v>1500</v>
      </c>
      <c r="F1259" s="39">
        <f>SUMIF(RAW_File!D:D,C:C,RAW_File!I:I)</f>
        <v>8730</v>
      </c>
      <c r="G1259" s="40">
        <f>SUMIF(RAW_File!D:D,C:C,RAW_File!K:K)</f>
        <v>0</v>
      </c>
      <c r="H1259" s="41">
        <f>SUMIF(RAW_File!D:D,C:C,RAW_File!M:M)</f>
        <v>5000</v>
      </c>
      <c r="I1259" s="40">
        <f t="shared" si="21"/>
        <v>5000</v>
      </c>
    </row>
    <row r="1260" spans="1:9" hidden="1" x14ac:dyDescent="0.25">
      <c r="A1260" s="36" t="s">
        <v>92</v>
      </c>
      <c r="B1260" s="36" t="s">
        <v>2341</v>
      </c>
      <c r="C1260" s="36" t="s">
        <v>2342</v>
      </c>
      <c r="D1260" s="37">
        <f>SUMIF(RAW_File!D:D,C:C,RAW_File!F:F)</f>
        <v>7893.0240000000003</v>
      </c>
      <c r="E1260" s="38">
        <f>SUMIF(RAW_File!D:D,C:C,RAW_File!G:G)</f>
        <v>37100</v>
      </c>
      <c r="F1260" s="39">
        <f>SUMIF(RAW_File!D:D,C:C,RAW_File!I:I)</f>
        <v>69265</v>
      </c>
      <c r="G1260" s="40">
        <f>SUMIF(RAW_File!D:D,C:C,RAW_File!K:K)</f>
        <v>0</v>
      </c>
      <c r="H1260" s="41">
        <f>SUMIF(RAW_File!D:D,C:C,RAW_File!M:M)</f>
        <v>5000</v>
      </c>
      <c r="I1260" s="40">
        <f t="shared" si="21"/>
        <v>5000</v>
      </c>
    </row>
    <row r="1261" spans="1:9" hidden="1" x14ac:dyDescent="0.25">
      <c r="A1261" s="36" t="s">
        <v>92</v>
      </c>
      <c r="B1261" s="36" t="s">
        <v>2428</v>
      </c>
      <c r="C1261" s="36" t="s">
        <v>2429</v>
      </c>
      <c r="D1261" s="37">
        <f>SUMIF(RAW_File!D:D,C:C,RAW_File!F:F)</f>
        <v>56.364100000000001</v>
      </c>
      <c r="E1261" s="38">
        <f>SUMIF(RAW_File!D:D,C:C,RAW_File!G:G)</f>
        <v>0</v>
      </c>
      <c r="F1261" s="39">
        <f>SUMIF(RAW_File!D:D,C:C,RAW_File!I:I)</f>
        <v>0</v>
      </c>
      <c r="G1261" s="40">
        <f>SUMIF(RAW_File!D:D,C:C,RAW_File!K:K)</f>
        <v>0</v>
      </c>
      <c r="H1261" s="41">
        <f>SUMIF(RAW_File!D:D,C:C,RAW_File!M:M)</f>
        <v>0</v>
      </c>
      <c r="I1261" s="40">
        <f t="shared" si="21"/>
        <v>0</v>
      </c>
    </row>
    <row r="1262" spans="1:9" hidden="1" x14ac:dyDescent="0.25">
      <c r="A1262" s="36" t="s">
        <v>92</v>
      </c>
      <c r="B1262" s="36" t="s">
        <v>2493</v>
      </c>
      <c r="C1262" s="36" t="s">
        <v>2494</v>
      </c>
      <c r="D1262" s="37">
        <f>SUMIF(RAW_File!D:D,C:C,RAW_File!F:F)</f>
        <v>7229.0442000000003</v>
      </c>
      <c r="E1262" s="38">
        <f>SUMIF(RAW_File!D:D,C:C,RAW_File!G:G)</f>
        <v>1000</v>
      </c>
      <c r="F1262" s="39">
        <f>SUMIF(RAW_File!D:D,C:C,RAW_File!I:I)</f>
        <v>1000</v>
      </c>
      <c r="G1262" s="40">
        <f>SUMIF(RAW_File!D:D,C:C,RAW_File!K:K)</f>
        <v>5000</v>
      </c>
      <c r="H1262" s="41">
        <f>SUMIF(RAW_File!D:D,C:C,RAW_File!M:M)</f>
        <v>0</v>
      </c>
      <c r="I1262" s="40">
        <f t="shared" si="21"/>
        <v>5000</v>
      </c>
    </row>
    <row r="1263" spans="1:9" hidden="1" x14ac:dyDescent="0.25">
      <c r="A1263" s="36" t="s">
        <v>92</v>
      </c>
      <c r="B1263" s="36" t="s">
        <v>2555</v>
      </c>
      <c r="C1263" s="36" t="s">
        <v>2556</v>
      </c>
      <c r="D1263" s="37">
        <f>SUMIF(RAW_File!D:D,C:C,RAW_File!F:F)</f>
        <v>25331.088328317739</v>
      </c>
      <c r="E1263" s="38">
        <f>SUMIF(RAW_File!D:D,C:C,RAW_File!G:G)</f>
        <v>7320</v>
      </c>
      <c r="F1263" s="39">
        <f>SUMIF(RAW_File!D:D,C:C,RAW_File!I:I)</f>
        <v>26120</v>
      </c>
      <c r="G1263" s="40">
        <f>SUMIF(RAW_File!D:D,C:C,RAW_File!K:K)</f>
        <v>5000</v>
      </c>
      <c r="H1263" s="41">
        <f>SUMIF(RAW_File!D:D,C:C,RAW_File!M:M)</f>
        <v>30000</v>
      </c>
      <c r="I1263" s="40">
        <f t="shared" si="21"/>
        <v>25000</v>
      </c>
    </row>
    <row r="1264" spans="1:9" hidden="1" x14ac:dyDescent="0.25">
      <c r="A1264" s="36" t="s">
        <v>92</v>
      </c>
      <c r="B1264" s="36" t="s">
        <v>2557</v>
      </c>
      <c r="C1264" s="36" t="s">
        <v>2558</v>
      </c>
      <c r="D1264" s="37">
        <f>SUMIF(RAW_File!D:D,C:C,RAW_File!F:F)</f>
        <v>420.692881</v>
      </c>
      <c r="E1264" s="38">
        <f>SUMIF(RAW_File!D:D,C:C,RAW_File!G:G)</f>
        <v>0</v>
      </c>
      <c r="F1264" s="39">
        <f>SUMIF(RAW_File!D:D,C:C,RAW_File!I:I)</f>
        <v>0</v>
      </c>
      <c r="G1264" s="40">
        <f>SUMIF(RAW_File!D:D,C:C,RAW_File!K:K)</f>
        <v>0</v>
      </c>
      <c r="H1264" s="41">
        <f>SUMIF(RAW_File!D:D,C:C,RAW_File!M:M)</f>
        <v>0</v>
      </c>
      <c r="I1264" s="40">
        <f t="shared" si="21"/>
        <v>0</v>
      </c>
    </row>
    <row r="1265" spans="1:9" hidden="1" x14ac:dyDescent="0.25">
      <c r="A1265" s="36" t="s">
        <v>92</v>
      </c>
      <c r="B1265" s="36" t="s">
        <v>2726</v>
      </c>
      <c r="C1265" s="36" t="s">
        <v>2727</v>
      </c>
      <c r="D1265" s="37">
        <f>SUMIF(RAW_File!D:D,C:C,RAW_File!F:F)</f>
        <v>3097.563866752183</v>
      </c>
      <c r="E1265" s="38">
        <f>SUMIF(RAW_File!D:D,C:C,RAW_File!G:G)</f>
        <v>0</v>
      </c>
      <c r="F1265" s="39">
        <f>SUMIF(RAW_File!D:D,C:C,RAW_File!I:I)</f>
        <v>0</v>
      </c>
      <c r="G1265" s="40">
        <f>SUMIF(RAW_File!D:D,C:C,RAW_File!K:K)</f>
        <v>0</v>
      </c>
      <c r="H1265" s="41">
        <f>SUMIF(RAW_File!D:D,C:C,RAW_File!M:M)</f>
        <v>0</v>
      </c>
      <c r="I1265" s="40">
        <f t="shared" si="21"/>
        <v>0</v>
      </c>
    </row>
    <row r="1266" spans="1:9" hidden="1" x14ac:dyDescent="0.25">
      <c r="A1266" s="36" t="s">
        <v>92</v>
      </c>
      <c r="B1266" s="36" t="s">
        <v>2763</v>
      </c>
      <c r="C1266" s="36" t="s">
        <v>2764</v>
      </c>
      <c r="D1266" s="37">
        <f>SUMIF(RAW_File!D:D,C:C,RAW_File!F:F)</f>
        <v>35511.957962275919</v>
      </c>
      <c r="E1266" s="38">
        <f>SUMIF(RAW_File!D:D,C:C,RAW_File!G:G)</f>
        <v>8670</v>
      </c>
      <c r="F1266" s="39">
        <f>SUMIF(RAW_File!D:D,C:C,RAW_File!I:I)</f>
        <v>49100</v>
      </c>
      <c r="G1266" s="40">
        <f>SUMIF(RAW_File!D:D,C:C,RAW_File!K:K)</f>
        <v>5000</v>
      </c>
      <c r="H1266" s="41">
        <f>SUMIF(RAW_File!D:D,C:C,RAW_File!M:M)</f>
        <v>45000</v>
      </c>
      <c r="I1266" s="40">
        <f t="shared" si="21"/>
        <v>40000</v>
      </c>
    </row>
    <row r="1267" spans="1:9" hidden="1" x14ac:dyDescent="0.25">
      <c r="A1267" s="36" t="s">
        <v>92</v>
      </c>
      <c r="B1267" s="36" t="s">
        <v>1005</v>
      </c>
      <c r="C1267" s="36" t="s">
        <v>2840</v>
      </c>
      <c r="D1267" s="37">
        <f>SUMIF(RAW_File!D:D,C:C,RAW_File!F:F)</f>
        <v>32050.669699999999</v>
      </c>
      <c r="E1267" s="38">
        <f>SUMIF(RAW_File!D:D,C:C,RAW_File!G:G)</f>
        <v>7400</v>
      </c>
      <c r="F1267" s="39">
        <f>SUMIF(RAW_File!D:D,C:C,RAW_File!I:I)</f>
        <v>23380</v>
      </c>
      <c r="G1267" s="40">
        <f>SUMIF(RAW_File!D:D,C:C,RAW_File!K:K)</f>
        <v>0</v>
      </c>
      <c r="H1267" s="41">
        <f>SUMIF(RAW_File!D:D,C:C,RAW_File!M:M)</f>
        <v>5000</v>
      </c>
      <c r="I1267" s="40">
        <f t="shared" si="21"/>
        <v>5000</v>
      </c>
    </row>
    <row r="1268" spans="1:9" hidden="1" x14ac:dyDescent="0.25">
      <c r="A1268" s="36" t="s">
        <v>92</v>
      </c>
      <c r="B1268" s="36" t="s">
        <v>2912</v>
      </c>
      <c r="C1268" s="36" t="s">
        <v>2913</v>
      </c>
      <c r="D1268" s="37">
        <f>SUMIF(RAW_File!D:D,C:C,RAW_File!F:F)</f>
        <v>13576.840955010181</v>
      </c>
      <c r="E1268" s="38">
        <f>SUMIF(RAW_File!D:D,C:C,RAW_File!G:G)</f>
        <v>33540</v>
      </c>
      <c r="F1268" s="39">
        <f>SUMIF(RAW_File!D:D,C:C,RAW_File!I:I)</f>
        <v>92520</v>
      </c>
      <c r="G1268" s="40">
        <f>SUMIF(RAW_File!D:D,C:C,RAW_File!K:K)</f>
        <v>0</v>
      </c>
      <c r="H1268" s="41">
        <f>SUMIF(RAW_File!D:D,C:C,RAW_File!M:M)</f>
        <v>50000</v>
      </c>
      <c r="I1268" s="40">
        <f t="shared" si="21"/>
        <v>50000</v>
      </c>
    </row>
    <row r="1269" spans="1:9" hidden="1" x14ac:dyDescent="0.25">
      <c r="A1269" s="36" t="s">
        <v>92</v>
      </c>
      <c r="B1269" s="36" t="s">
        <v>2971</v>
      </c>
      <c r="C1269" s="36" t="s">
        <v>2972</v>
      </c>
      <c r="D1269" s="37">
        <f>SUMIF(RAW_File!D:D,C:C,RAW_File!F:F)</f>
        <v>1633.792815057373</v>
      </c>
      <c r="E1269" s="38">
        <f>SUMIF(RAW_File!D:D,C:C,RAW_File!G:G)</f>
        <v>1410</v>
      </c>
      <c r="F1269" s="39">
        <f>SUMIF(RAW_File!D:D,C:C,RAW_File!I:I)</f>
        <v>1900</v>
      </c>
      <c r="G1269" s="40">
        <f>SUMIF(RAW_File!D:D,C:C,RAW_File!K:K)</f>
        <v>0</v>
      </c>
      <c r="H1269" s="41">
        <f>SUMIF(RAW_File!D:D,C:C,RAW_File!M:M)</f>
        <v>5000</v>
      </c>
      <c r="I1269" s="40">
        <f t="shared" si="21"/>
        <v>5000</v>
      </c>
    </row>
    <row r="1270" spans="1:9" hidden="1" x14ac:dyDescent="0.25">
      <c r="A1270" s="36" t="s">
        <v>92</v>
      </c>
      <c r="B1270" s="36" t="s">
        <v>3050</v>
      </c>
      <c r="C1270" s="36" t="s">
        <v>3051</v>
      </c>
      <c r="D1270" s="37">
        <f>SUMIF(RAW_File!D:D,C:C,RAW_File!F:F)</f>
        <v>4951.6840349210488</v>
      </c>
      <c r="E1270" s="38">
        <f>SUMIF(RAW_File!D:D,C:C,RAW_File!G:G)</f>
        <v>4370</v>
      </c>
      <c r="F1270" s="39">
        <f>SUMIF(RAW_File!D:D,C:C,RAW_File!I:I)</f>
        <v>24720</v>
      </c>
      <c r="G1270" s="40">
        <f>SUMIF(RAW_File!D:D,C:C,RAW_File!K:K)</f>
        <v>0</v>
      </c>
      <c r="H1270" s="41">
        <f>SUMIF(RAW_File!D:D,C:C,RAW_File!M:M)</f>
        <v>50000</v>
      </c>
      <c r="I1270" s="40">
        <f t="shared" si="21"/>
        <v>50000</v>
      </c>
    </row>
    <row r="1271" spans="1:9" hidden="1" x14ac:dyDescent="0.25">
      <c r="A1271" s="36" t="s">
        <v>92</v>
      </c>
      <c r="B1271" s="36" t="s">
        <v>3140</v>
      </c>
      <c r="C1271" s="36" t="s">
        <v>3141</v>
      </c>
      <c r="D1271" s="37">
        <f>SUMIF(RAW_File!D:D,C:C,RAW_File!F:F)</f>
        <v>4962.8155763380464</v>
      </c>
      <c r="E1271" s="38">
        <f>SUMIF(RAW_File!D:D,C:C,RAW_File!G:G)</f>
        <v>0</v>
      </c>
      <c r="F1271" s="39">
        <f>SUMIF(RAW_File!D:D,C:C,RAW_File!I:I)</f>
        <v>227</v>
      </c>
      <c r="G1271" s="40">
        <f>SUMIF(RAW_File!D:D,C:C,RAW_File!K:K)</f>
        <v>4000</v>
      </c>
      <c r="H1271" s="41">
        <f>SUMIF(RAW_File!D:D,C:C,RAW_File!M:M)</f>
        <v>0</v>
      </c>
      <c r="I1271" s="40">
        <f t="shared" si="21"/>
        <v>4000</v>
      </c>
    </row>
    <row r="1272" spans="1:9" hidden="1" x14ac:dyDescent="0.25">
      <c r="A1272" s="36" t="s">
        <v>92</v>
      </c>
      <c r="B1272" s="36" t="s">
        <v>3244</v>
      </c>
      <c r="C1272" s="36" t="s">
        <v>3245</v>
      </c>
      <c r="D1272" s="37">
        <f>SUMIF(RAW_File!D:D,C:C,RAW_File!F:F)</f>
        <v>105.1111634881217</v>
      </c>
      <c r="E1272" s="38">
        <f>SUMIF(RAW_File!D:D,C:C,RAW_File!G:G)</f>
        <v>5420</v>
      </c>
      <c r="F1272" s="39">
        <f>SUMIF(RAW_File!D:D,C:C,RAW_File!I:I)</f>
        <v>15880</v>
      </c>
      <c r="G1272" s="40">
        <f>SUMIF(RAW_File!D:D,C:C,RAW_File!K:K)</f>
        <v>4000</v>
      </c>
      <c r="H1272" s="41">
        <f>SUMIF(RAW_File!D:D,C:C,RAW_File!M:M)</f>
        <v>9000</v>
      </c>
      <c r="I1272" s="40">
        <f t="shared" si="21"/>
        <v>5000</v>
      </c>
    </row>
    <row r="1273" spans="1:9" hidden="1" x14ac:dyDescent="0.25">
      <c r="A1273" s="36" t="s">
        <v>92</v>
      </c>
      <c r="B1273" s="36" t="s">
        <v>3319</v>
      </c>
      <c r="C1273" s="36" t="s">
        <v>3320</v>
      </c>
      <c r="D1273" s="37">
        <f>SUMIF(RAW_File!D:D,C:C,RAW_File!F:F)</f>
        <v>8535.6947999999993</v>
      </c>
      <c r="E1273" s="38">
        <f>SUMIF(RAW_File!D:D,C:C,RAW_File!G:G)</f>
        <v>0</v>
      </c>
      <c r="F1273" s="39">
        <f>SUMIF(RAW_File!D:D,C:C,RAW_File!I:I)</f>
        <v>8500</v>
      </c>
      <c r="G1273" s="40">
        <f>SUMIF(RAW_File!D:D,C:C,RAW_File!K:K)</f>
        <v>0</v>
      </c>
      <c r="H1273" s="41">
        <f>SUMIF(RAW_File!D:D,C:C,RAW_File!M:M)</f>
        <v>0</v>
      </c>
      <c r="I1273" s="40">
        <f t="shared" si="21"/>
        <v>0</v>
      </c>
    </row>
    <row r="1274" spans="1:9" hidden="1" x14ac:dyDescent="0.25">
      <c r="A1274" s="36" t="s">
        <v>92</v>
      </c>
      <c r="B1274" s="36" t="s">
        <v>3323</v>
      </c>
      <c r="C1274" s="36" t="s">
        <v>3324</v>
      </c>
      <c r="D1274" s="37">
        <f>SUMIF(RAW_File!D:D,C:C,RAW_File!F:F)</f>
        <v>21970.532371280049</v>
      </c>
      <c r="E1274" s="38">
        <f>SUMIF(RAW_File!D:D,C:C,RAW_File!G:G)</f>
        <v>5370</v>
      </c>
      <c r="F1274" s="39">
        <f>SUMIF(RAW_File!D:D,C:C,RAW_File!I:I)</f>
        <v>58300</v>
      </c>
      <c r="G1274" s="40">
        <f>SUMIF(RAW_File!D:D,C:C,RAW_File!K:K)</f>
        <v>0</v>
      </c>
      <c r="H1274" s="41">
        <f>SUMIF(RAW_File!D:D,C:C,RAW_File!M:M)</f>
        <v>90000</v>
      </c>
      <c r="I1274" s="40">
        <f t="shared" si="21"/>
        <v>90000</v>
      </c>
    </row>
    <row r="1275" spans="1:9" hidden="1" x14ac:dyDescent="0.25">
      <c r="A1275" s="36" t="s">
        <v>92</v>
      </c>
      <c r="B1275" s="36" t="s">
        <v>2555</v>
      </c>
      <c r="C1275" s="36" t="s">
        <v>3418</v>
      </c>
      <c r="D1275" s="37">
        <f>SUMIF(RAW_File!D:D,C:C,RAW_File!F:F)</f>
        <v>14478.008400000001</v>
      </c>
      <c r="E1275" s="38">
        <f>SUMIF(RAW_File!D:D,C:C,RAW_File!G:G)</f>
        <v>8240</v>
      </c>
      <c r="F1275" s="39">
        <f>SUMIF(RAW_File!D:D,C:C,RAW_File!I:I)</f>
        <v>12790</v>
      </c>
      <c r="G1275" s="40">
        <f>SUMIF(RAW_File!D:D,C:C,RAW_File!K:K)</f>
        <v>0</v>
      </c>
      <c r="H1275" s="41">
        <f>SUMIF(RAW_File!D:D,C:C,RAW_File!M:M)</f>
        <v>10000</v>
      </c>
      <c r="I1275" s="40">
        <f t="shared" si="21"/>
        <v>10000</v>
      </c>
    </row>
    <row r="1276" spans="1:9" hidden="1" x14ac:dyDescent="0.25">
      <c r="A1276" s="36" t="s">
        <v>92</v>
      </c>
      <c r="B1276" s="36" t="s">
        <v>3514</v>
      </c>
      <c r="C1276" s="36" t="s">
        <v>3515</v>
      </c>
      <c r="D1276" s="37">
        <f>SUMIF(RAW_File!D:D,C:C,RAW_File!F:F)</f>
        <v>2356.4292</v>
      </c>
      <c r="E1276" s="38">
        <f>SUMIF(RAW_File!D:D,C:C,RAW_File!G:G)</f>
        <v>40600</v>
      </c>
      <c r="F1276" s="39">
        <f>SUMIF(RAW_File!D:D,C:C,RAW_File!I:I)</f>
        <v>81750</v>
      </c>
      <c r="G1276" s="40">
        <f>SUMIF(RAW_File!D:D,C:C,RAW_File!K:K)</f>
        <v>0</v>
      </c>
      <c r="H1276" s="41">
        <f>SUMIF(RAW_File!D:D,C:C,RAW_File!M:M)</f>
        <v>0</v>
      </c>
      <c r="I1276" s="40">
        <f t="shared" si="21"/>
        <v>0</v>
      </c>
    </row>
    <row r="1277" spans="1:9" hidden="1" x14ac:dyDescent="0.25">
      <c r="A1277" s="36" t="s">
        <v>62</v>
      </c>
      <c r="B1277" s="36" t="s">
        <v>459</v>
      </c>
      <c r="C1277" s="36" t="s">
        <v>460</v>
      </c>
      <c r="D1277" s="37">
        <f>SUMIF(RAW_File!D:D,C:C,RAW_File!F:F)</f>
        <v>13779.151555233389</v>
      </c>
      <c r="E1277" s="38">
        <f>SUMIF(RAW_File!D:D,C:C,RAW_File!G:G)</f>
        <v>1000</v>
      </c>
      <c r="F1277" s="39">
        <f>SUMIF(RAW_File!D:D,C:C,RAW_File!I:I)</f>
        <v>8010</v>
      </c>
      <c r="G1277" s="40">
        <f>SUMIF(RAW_File!D:D,C:C,RAW_File!K:K)</f>
        <v>0</v>
      </c>
      <c r="H1277" s="41">
        <f>SUMIF(RAW_File!D:D,C:C,RAW_File!M:M)</f>
        <v>20000</v>
      </c>
      <c r="I1277" s="40">
        <f t="shared" si="21"/>
        <v>20000</v>
      </c>
    </row>
    <row r="1278" spans="1:9" hidden="1" x14ac:dyDescent="0.25">
      <c r="A1278" s="36" t="s">
        <v>62</v>
      </c>
      <c r="B1278" s="36" t="s">
        <v>533</v>
      </c>
      <c r="C1278" s="36" t="s">
        <v>534</v>
      </c>
      <c r="D1278" s="37">
        <f>SUMIF(RAW_File!D:D,C:C,RAW_File!F:F)</f>
        <v>8945.2049045814292</v>
      </c>
      <c r="E1278" s="38">
        <f>SUMIF(RAW_File!D:D,C:C,RAW_File!G:G)</f>
        <v>0</v>
      </c>
      <c r="F1278" s="39">
        <f>SUMIF(RAW_File!D:D,C:C,RAW_File!I:I)</f>
        <v>1670</v>
      </c>
      <c r="G1278" s="40">
        <f>SUMIF(RAW_File!D:D,C:C,RAW_File!K:K)</f>
        <v>5000</v>
      </c>
      <c r="H1278" s="41">
        <f>SUMIF(RAW_File!D:D,C:C,RAW_File!M:M)</f>
        <v>0</v>
      </c>
      <c r="I1278" s="40">
        <f t="shared" si="21"/>
        <v>5000</v>
      </c>
    </row>
    <row r="1279" spans="1:9" hidden="1" x14ac:dyDescent="0.25">
      <c r="A1279" s="36" t="s">
        <v>62</v>
      </c>
      <c r="B1279" s="36" t="s">
        <v>580</v>
      </c>
      <c r="C1279" s="36" t="s">
        <v>581</v>
      </c>
      <c r="D1279" s="37">
        <f>SUMIF(RAW_File!D:D,C:C,RAW_File!F:F)</f>
        <v>38.796700000000001</v>
      </c>
      <c r="E1279" s="38">
        <f>SUMIF(RAW_File!D:D,C:C,RAW_File!G:G)</f>
        <v>5240</v>
      </c>
      <c r="F1279" s="39">
        <f>SUMIF(RAW_File!D:D,C:C,RAW_File!I:I)</f>
        <v>5480</v>
      </c>
      <c r="G1279" s="40">
        <f>SUMIF(RAW_File!D:D,C:C,RAW_File!K:K)</f>
        <v>5000</v>
      </c>
      <c r="H1279" s="41">
        <f>SUMIF(RAW_File!D:D,C:C,RAW_File!M:M)</f>
        <v>0</v>
      </c>
      <c r="I1279" s="40">
        <f t="shared" si="21"/>
        <v>5000</v>
      </c>
    </row>
    <row r="1280" spans="1:9" hidden="1" x14ac:dyDescent="0.25">
      <c r="A1280" s="36" t="s">
        <v>62</v>
      </c>
      <c r="B1280" s="36" t="s">
        <v>147</v>
      </c>
      <c r="C1280" s="36" t="s">
        <v>640</v>
      </c>
      <c r="D1280" s="37">
        <f>SUMIF(RAW_File!D:D,C:C,RAW_File!F:F)</f>
        <v>5064.4233000000004</v>
      </c>
      <c r="E1280" s="38">
        <f>SUMIF(RAW_File!D:D,C:C,RAW_File!G:G)</f>
        <v>1013</v>
      </c>
      <c r="F1280" s="39">
        <f>SUMIF(RAW_File!D:D,C:C,RAW_File!I:I)</f>
        <v>7363</v>
      </c>
      <c r="G1280" s="40">
        <f>SUMIF(RAW_File!D:D,C:C,RAW_File!K:K)</f>
        <v>0</v>
      </c>
      <c r="H1280" s="41">
        <f>SUMIF(RAW_File!D:D,C:C,RAW_File!M:M)</f>
        <v>6000</v>
      </c>
      <c r="I1280" s="40">
        <f t="shared" si="21"/>
        <v>6000</v>
      </c>
    </row>
    <row r="1281" spans="1:9" hidden="1" x14ac:dyDescent="0.25">
      <c r="A1281" s="36" t="s">
        <v>62</v>
      </c>
      <c r="B1281" s="36" t="s">
        <v>649</v>
      </c>
      <c r="C1281" s="36" t="s">
        <v>650</v>
      </c>
      <c r="D1281" s="37">
        <f>SUMIF(RAW_File!D:D,C:C,RAW_File!F:F)</f>
        <v>1553.7336263560769</v>
      </c>
      <c r="E1281" s="38">
        <f>SUMIF(RAW_File!D:D,C:C,RAW_File!G:G)</f>
        <v>26930</v>
      </c>
      <c r="F1281" s="39">
        <f>SUMIF(RAW_File!D:D,C:C,RAW_File!I:I)</f>
        <v>49115</v>
      </c>
      <c r="G1281" s="40">
        <f>SUMIF(RAW_File!D:D,C:C,RAW_File!K:K)</f>
        <v>0</v>
      </c>
      <c r="H1281" s="41">
        <f>SUMIF(RAW_File!D:D,C:C,RAW_File!M:M)</f>
        <v>10000</v>
      </c>
      <c r="I1281" s="40">
        <f t="shared" si="21"/>
        <v>10000</v>
      </c>
    </row>
    <row r="1282" spans="1:9" hidden="1" x14ac:dyDescent="0.25">
      <c r="A1282" s="36" t="s">
        <v>62</v>
      </c>
      <c r="B1282" s="36" t="s">
        <v>695</v>
      </c>
      <c r="C1282" s="36" t="s">
        <v>696</v>
      </c>
      <c r="D1282" s="37">
        <f>SUMIF(RAW_File!D:D,C:C,RAW_File!F:F)</f>
        <v>5892.9798000000001</v>
      </c>
      <c r="E1282" s="38">
        <f>SUMIF(RAW_File!D:D,C:C,RAW_File!G:G)</f>
        <v>1330</v>
      </c>
      <c r="F1282" s="39">
        <f>SUMIF(RAW_File!D:D,C:C,RAW_File!I:I)</f>
        <v>2429</v>
      </c>
      <c r="G1282" s="40">
        <f>SUMIF(RAW_File!D:D,C:C,RAW_File!K:K)</f>
        <v>6000</v>
      </c>
      <c r="H1282" s="41">
        <f>SUMIF(RAW_File!D:D,C:C,RAW_File!M:M)</f>
        <v>0</v>
      </c>
      <c r="I1282" s="40">
        <f t="shared" si="21"/>
        <v>6000</v>
      </c>
    </row>
    <row r="1283" spans="1:9" hidden="1" x14ac:dyDescent="0.25">
      <c r="A1283" s="36" t="s">
        <v>62</v>
      </c>
      <c r="B1283" s="36" t="s">
        <v>709</v>
      </c>
      <c r="C1283" s="36" t="s">
        <v>710</v>
      </c>
      <c r="D1283" s="37">
        <f>SUMIF(RAW_File!D:D,C:C,RAW_File!F:F)</f>
        <v>1702.9507557689251</v>
      </c>
      <c r="E1283" s="38">
        <f>SUMIF(RAW_File!D:D,C:C,RAW_File!G:G)</f>
        <v>300</v>
      </c>
      <c r="F1283" s="39">
        <f>SUMIF(RAW_File!D:D,C:C,RAW_File!I:I)</f>
        <v>1915</v>
      </c>
      <c r="G1283" s="40">
        <f>SUMIF(RAW_File!D:D,C:C,RAW_File!K:K)</f>
        <v>0</v>
      </c>
      <c r="H1283" s="41">
        <f>SUMIF(RAW_File!D:D,C:C,RAW_File!M:M)</f>
        <v>35000</v>
      </c>
      <c r="I1283" s="40">
        <f t="shared" ref="I1283:I1346" si="22">ABS(G1283-H1283)</f>
        <v>35000</v>
      </c>
    </row>
    <row r="1284" spans="1:9" hidden="1" x14ac:dyDescent="0.25">
      <c r="A1284" s="36" t="s">
        <v>62</v>
      </c>
      <c r="B1284" s="36" t="s">
        <v>713</v>
      </c>
      <c r="C1284" s="36" t="s">
        <v>714</v>
      </c>
      <c r="D1284" s="37">
        <f>SUMIF(RAW_File!D:D,C:C,RAW_File!F:F)</f>
        <v>25733.789818441212</v>
      </c>
      <c r="E1284" s="38">
        <f>SUMIF(RAW_File!D:D,C:C,RAW_File!G:G)</f>
        <v>0</v>
      </c>
      <c r="F1284" s="39">
        <f>SUMIF(RAW_File!D:D,C:C,RAW_File!I:I)</f>
        <v>0</v>
      </c>
      <c r="G1284" s="40">
        <f>SUMIF(RAW_File!D:D,C:C,RAW_File!K:K)</f>
        <v>0</v>
      </c>
      <c r="H1284" s="41">
        <f>SUMIF(RAW_File!D:D,C:C,RAW_File!M:M)</f>
        <v>0</v>
      </c>
      <c r="I1284" s="40">
        <f t="shared" si="22"/>
        <v>0</v>
      </c>
    </row>
    <row r="1285" spans="1:9" hidden="1" x14ac:dyDescent="0.25">
      <c r="A1285" s="36" t="s">
        <v>62</v>
      </c>
      <c r="B1285" s="36" t="s">
        <v>728</v>
      </c>
      <c r="C1285" s="36" t="s">
        <v>729</v>
      </c>
      <c r="D1285" s="37">
        <f>SUMIF(RAW_File!D:D,C:C,RAW_File!F:F)</f>
        <v>14041.603515652199</v>
      </c>
      <c r="E1285" s="38">
        <f>SUMIF(RAW_File!D:D,C:C,RAW_File!G:G)</f>
        <v>0</v>
      </c>
      <c r="F1285" s="39">
        <f>SUMIF(RAW_File!D:D,C:C,RAW_File!I:I)</f>
        <v>9555</v>
      </c>
      <c r="G1285" s="40">
        <f>SUMIF(RAW_File!D:D,C:C,RAW_File!K:K)</f>
        <v>0</v>
      </c>
      <c r="H1285" s="41">
        <f>SUMIF(RAW_File!D:D,C:C,RAW_File!M:M)</f>
        <v>7000</v>
      </c>
      <c r="I1285" s="40">
        <f t="shared" si="22"/>
        <v>7000</v>
      </c>
    </row>
    <row r="1286" spans="1:9" hidden="1" x14ac:dyDescent="0.25">
      <c r="A1286" s="36" t="s">
        <v>62</v>
      </c>
      <c r="B1286" s="36" t="s">
        <v>799</v>
      </c>
      <c r="C1286" s="36" t="s">
        <v>800</v>
      </c>
      <c r="D1286" s="37">
        <f>SUMIF(RAW_File!D:D,C:C,RAW_File!F:F)</f>
        <v>5635.5269017650453</v>
      </c>
      <c r="E1286" s="38">
        <f>SUMIF(RAW_File!D:D,C:C,RAW_File!G:G)</f>
        <v>900</v>
      </c>
      <c r="F1286" s="39">
        <f>SUMIF(RAW_File!D:D,C:C,RAW_File!I:I)</f>
        <v>900</v>
      </c>
      <c r="G1286" s="40">
        <f>SUMIF(RAW_File!D:D,C:C,RAW_File!K:K)</f>
        <v>5000</v>
      </c>
      <c r="H1286" s="41">
        <f>SUMIF(RAW_File!D:D,C:C,RAW_File!M:M)</f>
        <v>0</v>
      </c>
      <c r="I1286" s="40">
        <f t="shared" si="22"/>
        <v>5000</v>
      </c>
    </row>
    <row r="1287" spans="1:9" hidden="1" x14ac:dyDescent="0.25">
      <c r="A1287" s="36" t="s">
        <v>62</v>
      </c>
      <c r="B1287" s="36" t="s">
        <v>807</v>
      </c>
      <c r="C1287" s="36" t="s">
        <v>808</v>
      </c>
      <c r="D1287" s="37">
        <f>SUMIF(RAW_File!D:D,C:C,RAW_File!F:F)</f>
        <v>4.9859350409373698E-2</v>
      </c>
      <c r="E1287" s="38">
        <f>SUMIF(RAW_File!D:D,C:C,RAW_File!G:G)</f>
        <v>2115</v>
      </c>
      <c r="F1287" s="39">
        <f>SUMIF(RAW_File!D:D,C:C,RAW_File!I:I)</f>
        <v>6360</v>
      </c>
      <c r="G1287" s="40">
        <f>SUMIF(RAW_File!D:D,C:C,RAW_File!K:K)</f>
        <v>0</v>
      </c>
      <c r="H1287" s="41">
        <f>SUMIF(RAW_File!D:D,C:C,RAW_File!M:M)</f>
        <v>6000</v>
      </c>
      <c r="I1287" s="40">
        <f t="shared" si="22"/>
        <v>6000</v>
      </c>
    </row>
    <row r="1288" spans="1:9" hidden="1" x14ac:dyDescent="0.25">
      <c r="A1288" s="36" t="s">
        <v>62</v>
      </c>
      <c r="B1288" s="36" t="s">
        <v>959</v>
      </c>
      <c r="C1288" s="36" t="s">
        <v>960</v>
      </c>
      <c r="D1288" s="37">
        <f>SUMIF(RAW_File!D:D,C:C,RAW_File!F:F)</f>
        <v>8920.3791625062422</v>
      </c>
      <c r="E1288" s="38">
        <f>SUMIF(RAW_File!D:D,C:C,RAW_File!G:G)</f>
        <v>0</v>
      </c>
      <c r="F1288" s="39">
        <f>SUMIF(RAW_File!D:D,C:C,RAW_File!I:I)</f>
        <v>0</v>
      </c>
      <c r="G1288" s="40">
        <f>SUMIF(RAW_File!D:D,C:C,RAW_File!K:K)</f>
        <v>5000</v>
      </c>
      <c r="H1288" s="41">
        <f>SUMIF(RAW_File!D:D,C:C,RAW_File!M:M)</f>
        <v>0</v>
      </c>
      <c r="I1288" s="40">
        <f t="shared" si="22"/>
        <v>5000</v>
      </c>
    </row>
    <row r="1289" spans="1:9" hidden="1" x14ac:dyDescent="0.25">
      <c r="A1289" s="36" t="s">
        <v>62</v>
      </c>
      <c r="B1289" s="36" t="s">
        <v>971</v>
      </c>
      <c r="C1289" s="36" t="s">
        <v>972</v>
      </c>
      <c r="D1289" s="37">
        <f>SUMIF(RAW_File!D:D,C:C,RAW_File!F:F)</f>
        <v>3004.3482497206001</v>
      </c>
      <c r="E1289" s="38">
        <f>SUMIF(RAW_File!D:D,C:C,RAW_File!G:G)</f>
        <v>0</v>
      </c>
      <c r="F1289" s="39">
        <f>SUMIF(RAW_File!D:D,C:C,RAW_File!I:I)</f>
        <v>11850</v>
      </c>
      <c r="G1289" s="40">
        <f>SUMIF(RAW_File!D:D,C:C,RAW_File!K:K)</f>
        <v>0</v>
      </c>
      <c r="H1289" s="41">
        <f>SUMIF(RAW_File!D:D,C:C,RAW_File!M:M)</f>
        <v>19000</v>
      </c>
      <c r="I1289" s="40">
        <f t="shared" si="22"/>
        <v>19000</v>
      </c>
    </row>
    <row r="1290" spans="1:9" hidden="1" x14ac:dyDescent="0.25">
      <c r="A1290" s="36" t="s">
        <v>62</v>
      </c>
      <c r="B1290" s="36" t="s">
        <v>1091</v>
      </c>
      <c r="C1290" s="36" t="s">
        <v>1092</v>
      </c>
      <c r="D1290" s="37">
        <f>SUMIF(RAW_File!D:D,C:C,RAW_File!F:F)</f>
        <v>2719.1269000000002</v>
      </c>
      <c r="E1290" s="38">
        <f>SUMIF(RAW_File!D:D,C:C,RAW_File!G:G)</f>
        <v>0</v>
      </c>
      <c r="F1290" s="39">
        <f>SUMIF(RAW_File!D:D,C:C,RAW_File!I:I)</f>
        <v>1700</v>
      </c>
      <c r="G1290" s="40">
        <f>SUMIF(RAW_File!D:D,C:C,RAW_File!K:K)</f>
        <v>5000</v>
      </c>
      <c r="H1290" s="41">
        <f>SUMIF(RAW_File!D:D,C:C,RAW_File!M:M)</f>
        <v>10000</v>
      </c>
      <c r="I1290" s="40">
        <f t="shared" si="22"/>
        <v>5000</v>
      </c>
    </row>
    <row r="1291" spans="1:9" hidden="1" x14ac:dyDescent="0.25">
      <c r="A1291" s="36" t="s">
        <v>62</v>
      </c>
      <c r="B1291" s="36" t="s">
        <v>1095</v>
      </c>
      <c r="C1291" s="36" t="s">
        <v>1096</v>
      </c>
      <c r="D1291" s="37">
        <f>SUMIF(RAW_File!D:D,C:C,RAW_File!F:F)</f>
        <v>65.080314922193324</v>
      </c>
      <c r="E1291" s="38">
        <f>SUMIF(RAW_File!D:D,C:C,RAW_File!G:G)</f>
        <v>0</v>
      </c>
      <c r="F1291" s="39">
        <f>SUMIF(RAW_File!D:D,C:C,RAW_File!I:I)</f>
        <v>6500</v>
      </c>
      <c r="G1291" s="40">
        <f>SUMIF(RAW_File!D:D,C:C,RAW_File!K:K)</f>
        <v>0</v>
      </c>
      <c r="H1291" s="41">
        <f>SUMIF(RAW_File!D:D,C:C,RAW_File!M:M)</f>
        <v>60000</v>
      </c>
      <c r="I1291" s="40">
        <f t="shared" si="22"/>
        <v>60000</v>
      </c>
    </row>
    <row r="1292" spans="1:9" hidden="1" x14ac:dyDescent="0.25">
      <c r="A1292" s="36" t="s">
        <v>62</v>
      </c>
      <c r="B1292" s="36" t="s">
        <v>1126</v>
      </c>
      <c r="C1292" s="36" t="s">
        <v>1127</v>
      </c>
      <c r="D1292" s="37">
        <f>SUMIF(RAW_File!D:D,C:C,RAW_File!F:F)</f>
        <v>11519.298976346379</v>
      </c>
      <c r="E1292" s="38">
        <f>SUMIF(RAW_File!D:D,C:C,RAW_File!G:G)</f>
        <v>10450</v>
      </c>
      <c r="F1292" s="39">
        <f>SUMIF(RAW_File!D:D,C:C,RAW_File!I:I)</f>
        <v>20350</v>
      </c>
      <c r="G1292" s="40">
        <f>SUMIF(RAW_File!D:D,C:C,RAW_File!K:K)</f>
        <v>0</v>
      </c>
      <c r="H1292" s="41">
        <f>SUMIF(RAW_File!D:D,C:C,RAW_File!M:M)</f>
        <v>15000</v>
      </c>
      <c r="I1292" s="40">
        <f t="shared" si="22"/>
        <v>15000</v>
      </c>
    </row>
    <row r="1293" spans="1:9" hidden="1" x14ac:dyDescent="0.25">
      <c r="A1293" s="36" t="s">
        <v>62</v>
      </c>
      <c r="B1293" s="36" t="s">
        <v>1157</v>
      </c>
      <c r="C1293" s="36" t="s">
        <v>1158</v>
      </c>
      <c r="D1293" s="37">
        <f>SUMIF(RAW_File!D:D,C:C,RAW_File!F:F)</f>
        <v>11304.766971733219</v>
      </c>
      <c r="E1293" s="38">
        <f>SUMIF(RAW_File!D:D,C:C,RAW_File!G:G)</f>
        <v>100</v>
      </c>
      <c r="F1293" s="39">
        <f>SUMIF(RAW_File!D:D,C:C,RAW_File!I:I)</f>
        <v>25610</v>
      </c>
      <c r="G1293" s="40">
        <f>SUMIF(RAW_File!D:D,C:C,RAW_File!K:K)</f>
        <v>0</v>
      </c>
      <c r="H1293" s="41">
        <f>SUMIF(RAW_File!D:D,C:C,RAW_File!M:M)</f>
        <v>20000</v>
      </c>
      <c r="I1293" s="40">
        <f t="shared" si="22"/>
        <v>20000</v>
      </c>
    </row>
    <row r="1294" spans="1:9" hidden="1" x14ac:dyDescent="0.25">
      <c r="A1294" s="36" t="s">
        <v>62</v>
      </c>
      <c r="B1294" s="36" t="s">
        <v>1168</v>
      </c>
      <c r="C1294" s="36" t="s">
        <v>1169</v>
      </c>
      <c r="D1294" s="37">
        <f>SUMIF(RAW_File!D:D,C:C,RAW_File!F:F)</f>
        <v>8211.5769204319367</v>
      </c>
      <c r="E1294" s="38">
        <f>SUMIF(RAW_File!D:D,C:C,RAW_File!G:G)</f>
        <v>0</v>
      </c>
      <c r="F1294" s="39">
        <f>SUMIF(RAW_File!D:D,C:C,RAW_File!I:I)</f>
        <v>0</v>
      </c>
      <c r="G1294" s="40">
        <f>SUMIF(RAW_File!D:D,C:C,RAW_File!K:K)</f>
        <v>0</v>
      </c>
      <c r="H1294" s="41">
        <f>SUMIF(RAW_File!D:D,C:C,RAW_File!M:M)</f>
        <v>5000</v>
      </c>
      <c r="I1294" s="40">
        <f t="shared" si="22"/>
        <v>5000</v>
      </c>
    </row>
    <row r="1295" spans="1:9" hidden="1" x14ac:dyDescent="0.25">
      <c r="A1295" s="36" t="s">
        <v>62</v>
      </c>
      <c r="B1295" s="36" t="s">
        <v>887</v>
      </c>
      <c r="C1295" s="36" t="s">
        <v>1230</v>
      </c>
      <c r="D1295" s="37">
        <f>SUMIF(RAW_File!D:D,C:C,RAW_File!F:F)</f>
        <v>7930.9172828665369</v>
      </c>
      <c r="E1295" s="38">
        <f>SUMIF(RAW_File!D:D,C:C,RAW_File!G:G)</f>
        <v>0</v>
      </c>
      <c r="F1295" s="39">
        <f>SUMIF(RAW_File!D:D,C:C,RAW_File!I:I)</f>
        <v>8920</v>
      </c>
      <c r="G1295" s="40">
        <f>SUMIF(RAW_File!D:D,C:C,RAW_File!K:K)</f>
        <v>0</v>
      </c>
      <c r="H1295" s="41">
        <f>SUMIF(RAW_File!D:D,C:C,RAW_File!M:M)</f>
        <v>9000</v>
      </c>
      <c r="I1295" s="40">
        <f t="shared" si="22"/>
        <v>9000</v>
      </c>
    </row>
    <row r="1296" spans="1:9" hidden="1" x14ac:dyDescent="0.25">
      <c r="A1296" s="36" t="s">
        <v>62</v>
      </c>
      <c r="B1296" s="36" t="s">
        <v>1303</v>
      </c>
      <c r="C1296" s="36" t="s">
        <v>1304</v>
      </c>
      <c r="D1296" s="37">
        <f>SUMIF(RAW_File!D:D,C:C,RAW_File!F:F)</f>
        <v>2730.572673369425</v>
      </c>
      <c r="E1296" s="38">
        <f>SUMIF(RAW_File!D:D,C:C,RAW_File!G:G)</f>
        <v>0</v>
      </c>
      <c r="F1296" s="39">
        <f>SUMIF(RAW_File!D:D,C:C,RAW_File!I:I)</f>
        <v>0</v>
      </c>
      <c r="G1296" s="40">
        <f>SUMIF(RAW_File!D:D,C:C,RAW_File!K:K)</f>
        <v>0</v>
      </c>
      <c r="H1296" s="41">
        <f>SUMIF(RAW_File!D:D,C:C,RAW_File!M:M)</f>
        <v>5000</v>
      </c>
      <c r="I1296" s="40">
        <f t="shared" si="22"/>
        <v>5000</v>
      </c>
    </row>
    <row r="1297" spans="1:9" hidden="1" x14ac:dyDescent="0.25">
      <c r="A1297" s="36" t="s">
        <v>62</v>
      </c>
      <c r="B1297" s="36" t="s">
        <v>1352</v>
      </c>
      <c r="C1297" s="36" t="s">
        <v>1353</v>
      </c>
      <c r="D1297" s="37">
        <f>SUMIF(RAW_File!D:D,C:C,RAW_File!F:F)</f>
        <v>532.48878988647846</v>
      </c>
      <c r="E1297" s="38">
        <f>SUMIF(RAW_File!D:D,C:C,RAW_File!G:G)</f>
        <v>1400</v>
      </c>
      <c r="F1297" s="39">
        <f>SUMIF(RAW_File!D:D,C:C,RAW_File!I:I)</f>
        <v>2380</v>
      </c>
      <c r="G1297" s="40">
        <f>SUMIF(RAW_File!D:D,C:C,RAW_File!K:K)</f>
        <v>0</v>
      </c>
      <c r="H1297" s="41">
        <f>SUMIF(RAW_File!D:D,C:C,RAW_File!M:M)</f>
        <v>6000</v>
      </c>
      <c r="I1297" s="40">
        <f t="shared" si="22"/>
        <v>6000</v>
      </c>
    </row>
    <row r="1298" spans="1:9" hidden="1" x14ac:dyDescent="0.25">
      <c r="A1298" s="36" t="s">
        <v>62</v>
      </c>
      <c r="B1298" s="36" t="s">
        <v>1491</v>
      </c>
      <c r="C1298" s="36" t="s">
        <v>1492</v>
      </c>
      <c r="D1298" s="37">
        <f>SUMIF(RAW_File!D:D,C:C,RAW_File!F:F)</f>
        <v>6181.4543000000003</v>
      </c>
      <c r="E1298" s="38">
        <f>SUMIF(RAW_File!D:D,C:C,RAW_File!G:G)</f>
        <v>250</v>
      </c>
      <c r="F1298" s="39">
        <f>SUMIF(RAW_File!D:D,C:C,RAW_File!I:I)</f>
        <v>6570</v>
      </c>
      <c r="G1298" s="40">
        <f>SUMIF(RAW_File!D:D,C:C,RAW_File!K:K)</f>
        <v>0</v>
      </c>
      <c r="H1298" s="41">
        <f>SUMIF(RAW_File!D:D,C:C,RAW_File!M:M)</f>
        <v>0</v>
      </c>
      <c r="I1298" s="40">
        <f t="shared" si="22"/>
        <v>0</v>
      </c>
    </row>
    <row r="1299" spans="1:9" hidden="1" x14ac:dyDescent="0.25">
      <c r="A1299" s="36" t="s">
        <v>62</v>
      </c>
      <c r="B1299" s="36" t="s">
        <v>1522</v>
      </c>
      <c r="C1299" s="36" t="s">
        <v>1523</v>
      </c>
      <c r="D1299" s="37">
        <f>SUMIF(RAW_File!D:D,C:C,RAW_File!F:F)</f>
        <v>2.4910999999999999</v>
      </c>
      <c r="E1299" s="38">
        <f>SUMIF(RAW_File!D:D,C:C,RAW_File!G:G)</f>
        <v>1050</v>
      </c>
      <c r="F1299" s="39">
        <f>SUMIF(RAW_File!D:D,C:C,RAW_File!I:I)</f>
        <v>1662</v>
      </c>
      <c r="G1299" s="40">
        <f>SUMIF(RAW_File!D:D,C:C,RAW_File!K:K)</f>
        <v>0</v>
      </c>
      <c r="H1299" s="41">
        <f>SUMIF(RAW_File!D:D,C:C,RAW_File!M:M)</f>
        <v>0</v>
      </c>
      <c r="I1299" s="40">
        <f t="shared" si="22"/>
        <v>0</v>
      </c>
    </row>
    <row r="1300" spans="1:9" hidden="1" x14ac:dyDescent="0.25">
      <c r="A1300" s="36" t="s">
        <v>62</v>
      </c>
      <c r="B1300" s="36" t="s">
        <v>1536</v>
      </c>
      <c r="C1300" s="36" t="s">
        <v>1537</v>
      </c>
      <c r="D1300" s="37">
        <f>SUMIF(RAW_File!D:D,C:C,RAW_File!F:F)</f>
        <v>3799.501106729213</v>
      </c>
      <c r="E1300" s="38">
        <f>SUMIF(RAW_File!D:D,C:C,RAW_File!G:G)</f>
        <v>2600</v>
      </c>
      <c r="F1300" s="39">
        <f>SUMIF(RAW_File!D:D,C:C,RAW_File!I:I)</f>
        <v>5905</v>
      </c>
      <c r="G1300" s="40">
        <f>SUMIF(RAW_File!D:D,C:C,RAW_File!K:K)</f>
        <v>0</v>
      </c>
      <c r="H1300" s="41">
        <f>SUMIF(RAW_File!D:D,C:C,RAW_File!M:M)</f>
        <v>7000</v>
      </c>
      <c r="I1300" s="40">
        <f t="shared" si="22"/>
        <v>7000</v>
      </c>
    </row>
    <row r="1301" spans="1:9" hidden="1" x14ac:dyDescent="0.25">
      <c r="A1301" s="36" t="s">
        <v>62</v>
      </c>
      <c r="B1301" s="36" t="s">
        <v>1552</v>
      </c>
      <c r="C1301" s="36" t="s">
        <v>1553</v>
      </c>
      <c r="D1301" s="37">
        <f>SUMIF(RAW_File!D:D,C:C,RAW_File!F:F)</f>
        <v>4117.6409000000003</v>
      </c>
      <c r="E1301" s="38">
        <f>SUMIF(RAW_File!D:D,C:C,RAW_File!G:G)</f>
        <v>2700</v>
      </c>
      <c r="F1301" s="39">
        <f>SUMIF(RAW_File!D:D,C:C,RAW_File!I:I)</f>
        <v>10635</v>
      </c>
      <c r="G1301" s="40">
        <f>SUMIF(RAW_File!D:D,C:C,RAW_File!K:K)</f>
        <v>4000</v>
      </c>
      <c r="H1301" s="41">
        <f>SUMIF(RAW_File!D:D,C:C,RAW_File!M:M)</f>
        <v>9000</v>
      </c>
      <c r="I1301" s="40">
        <f t="shared" si="22"/>
        <v>5000</v>
      </c>
    </row>
    <row r="1302" spans="1:9" hidden="1" x14ac:dyDescent="0.25">
      <c r="A1302" s="36" t="s">
        <v>62</v>
      </c>
      <c r="B1302" s="36" t="s">
        <v>1601</v>
      </c>
      <c r="C1302" s="36" t="s">
        <v>1602</v>
      </c>
      <c r="D1302" s="37">
        <f>SUMIF(RAW_File!D:D,C:C,RAW_File!F:F)</f>
        <v>519.99040000000002</v>
      </c>
      <c r="E1302" s="38">
        <f>SUMIF(RAW_File!D:D,C:C,RAW_File!G:G)</f>
        <v>0</v>
      </c>
      <c r="F1302" s="39">
        <f>SUMIF(RAW_File!D:D,C:C,RAW_File!I:I)</f>
        <v>0</v>
      </c>
      <c r="G1302" s="40">
        <f>SUMIF(RAW_File!D:D,C:C,RAW_File!K:K)</f>
        <v>0</v>
      </c>
      <c r="H1302" s="41">
        <f>SUMIF(RAW_File!D:D,C:C,RAW_File!M:M)</f>
        <v>6000</v>
      </c>
      <c r="I1302" s="40">
        <f t="shared" si="22"/>
        <v>6000</v>
      </c>
    </row>
    <row r="1303" spans="1:9" hidden="1" x14ac:dyDescent="0.25">
      <c r="A1303" s="36" t="s">
        <v>62</v>
      </c>
      <c r="B1303" s="36" t="s">
        <v>1670</v>
      </c>
      <c r="C1303" s="36" t="s">
        <v>1671</v>
      </c>
      <c r="D1303" s="37">
        <f>SUMIF(RAW_File!D:D,C:C,RAW_File!F:F)</f>
        <v>12835.48581870952</v>
      </c>
      <c r="E1303" s="38">
        <f>SUMIF(RAW_File!D:D,C:C,RAW_File!G:G)</f>
        <v>960</v>
      </c>
      <c r="F1303" s="39">
        <f>SUMIF(RAW_File!D:D,C:C,RAW_File!I:I)</f>
        <v>26070</v>
      </c>
      <c r="G1303" s="40">
        <f>SUMIF(RAW_File!D:D,C:C,RAW_File!K:K)</f>
        <v>0</v>
      </c>
      <c r="H1303" s="41">
        <f>SUMIF(RAW_File!D:D,C:C,RAW_File!M:M)</f>
        <v>26000</v>
      </c>
      <c r="I1303" s="40">
        <f t="shared" si="22"/>
        <v>26000</v>
      </c>
    </row>
    <row r="1304" spans="1:9" hidden="1" x14ac:dyDescent="0.25">
      <c r="A1304" s="36" t="s">
        <v>62</v>
      </c>
      <c r="B1304" s="36" t="s">
        <v>1728</v>
      </c>
      <c r="C1304" s="36" t="s">
        <v>1729</v>
      </c>
      <c r="D1304" s="37">
        <f>SUMIF(RAW_File!D:D,C:C,RAW_File!F:F)</f>
        <v>5124.5189</v>
      </c>
      <c r="E1304" s="38">
        <f>SUMIF(RAW_File!D:D,C:C,RAW_File!G:G)</f>
        <v>1190</v>
      </c>
      <c r="F1304" s="39">
        <f>SUMIF(RAW_File!D:D,C:C,RAW_File!I:I)</f>
        <v>31560</v>
      </c>
      <c r="G1304" s="40">
        <f>SUMIF(RAW_File!D:D,C:C,RAW_File!K:K)</f>
        <v>0</v>
      </c>
      <c r="H1304" s="41">
        <f>SUMIF(RAW_File!D:D,C:C,RAW_File!M:M)</f>
        <v>30000</v>
      </c>
      <c r="I1304" s="40">
        <f t="shared" si="22"/>
        <v>30000</v>
      </c>
    </row>
    <row r="1305" spans="1:9" hidden="1" x14ac:dyDescent="0.25">
      <c r="A1305" s="36" t="s">
        <v>62</v>
      </c>
      <c r="B1305" s="36" t="s">
        <v>1839</v>
      </c>
      <c r="C1305" s="36" t="s">
        <v>1840</v>
      </c>
      <c r="D1305" s="37">
        <f>SUMIF(RAW_File!D:D,C:C,RAW_File!F:F)</f>
        <v>2756.2143994766279</v>
      </c>
      <c r="E1305" s="38">
        <f>SUMIF(RAW_File!D:D,C:C,RAW_File!G:G)</f>
        <v>0</v>
      </c>
      <c r="F1305" s="39">
        <f>SUMIF(RAW_File!D:D,C:C,RAW_File!I:I)</f>
        <v>10000</v>
      </c>
      <c r="G1305" s="40">
        <f>SUMIF(RAW_File!D:D,C:C,RAW_File!K:K)</f>
        <v>0</v>
      </c>
      <c r="H1305" s="41">
        <f>SUMIF(RAW_File!D:D,C:C,RAW_File!M:M)</f>
        <v>15000</v>
      </c>
      <c r="I1305" s="40">
        <f t="shared" si="22"/>
        <v>15000</v>
      </c>
    </row>
    <row r="1306" spans="1:9" hidden="1" x14ac:dyDescent="0.25">
      <c r="A1306" s="36" t="s">
        <v>62</v>
      </c>
      <c r="B1306" s="36" t="s">
        <v>1872</v>
      </c>
      <c r="C1306" s="36" t="s">
        <v>1873</v>
      </c>
      <c r="D1306" s="37">
        <f>SUMIF(RAW_File!D:D,C:C,RAW_File!F:F)</f>
        <v>4.6153000000000004</v>
      </c>
      <c r="E1306" s="38">
        <f>SUMIF(RAW_File!D:D,C:C,RAW_File!G:G)</f>
        <v>0</v>
      </c>
      <c r="F1306" s="39">
        <f>SUMIF(RAW_File!D:D,C:C,RAW_File!I:I)</f>
        <v>0</v>
      </c>
      <c r="G1306" s="40">
        <f>SUMIF(RAW_File!D:D,C:C,RAW_File!K:K)</f>
        <v>0</v>
      </c>
      <c r="H1306" s="41">
        <f>SUMIF(RAW_File!D:D,C:C,RAW_File!M:M)</f>
        <v>0</v>
      </c>
      <c r="I1306" s="40">
        <f t="shared" si="22"/>
        <v>0</v>
      </c>
    </row>
    <row r="1307" spans="1:9" hidden="1" x14ac:dyDescent="0.25">
      <c r="A1307" s="36" t="s">
        <v>62</v>
      </c>
      <c r="B1307" s="36" t="s">
        <v>1893</v>
      </c>
      <c r="C1307" s="36" t="s">
        <v>1894</v>
      </c>
      <c r="D1307" s="37">
        <f>SUMIF(RAW_File!D:D,C:C,RAW_File!F:F)</f>
        <v>33.195900000000002</v>
      </c>
      <c r="E1307" s="38">
        <f>SUMIF(RAW_File!D:D,C:C,RAW_File!G:G)</f>
        <v>0</v>
      </c>
      <c r="F1307" s="39">
        <f>SUMIF(RAW_File!D:D,C:C,RAW_File!I:I)</f>
        <v>0</v>
      </c>
      <c r="G1307" s="40">
        <f>SUMIF(RAW_File!D:D,C:C,RAW_File!K:K)</f>
        <v>0</v>
      </c>
      <c r="H1307" s="41">
        <f>SUMIF(RAW_File!D:D,C:C,RAW_File!M:M)</f>
        <v>0</v>
      </c>
      <c r="I1307" s="40">
        <f t="shared" si="22"/>
        <v>0</v>
      </c>
    </row>
    <row r="1308" spans="1:9" hidden="1" x14ac:dyDescent="0.25">
      <c r="A1308" s="36" t="s">
        <v>62</v>
      </c>
      <c r="B1308" s="36" t="s">
        <v>1909</v>
      </c>
      <c r="C1308" s="36" t="s">
        <v>1910</v>
      </c>
      <c r="D1308" s="37">
        <f>SUMIF(RAW_File!D:D,C:C,RAW_File!F:F)</f>
        <v>3691.3110898164418</v>
      </c>
      <c r="E1308" s="38">
        <f>SUMIF(RAW_File!D:D,C:C,RAW_File!G:G)</f>
        <v>1000</v>
      </c>
      <c r="F1308" s="39">
        <f>SUMIF(RAW_File!D:D,C:C,RAW_File!I:I)</f>
        <v>11470</v>
      </c>
      <c r="G1308" s="40">
        <f>SUMIF(RAW_File!D:D,C:C,RAW_File!K:K)</f>
        <v>0</v>
      </c>
      <c r="H1308" s="41">
        <f>SUMIF(RAW_File!D:D,C:C,RAW_File!M:M)</f>
        <v>30000</v>
      </c>
      <c r="I1308" s="40">
        <f t="shared" si="22"/>
        <v>30000</v>
      </c>
    </row>
    <row r="1309" spans="1:9" hidden="1" x14ac:dyDescent="0.25">
      <c r="A1309" s="36" t="s">
        <v>62</v>
      </c>
      <c r="B1309" s="36" t="s">
        <v>2137</v>
      </c>
      <c r="C1309" s="36" t="s">
        <v>2138</v>
      </c>
      <c r="D1309" s="37">
        <f>SUMIF(RAW_File!D:D,C:C,RAW_File!F:F)</f>
        <v>452.78745531517228</v>
      </c>
      <c r="E1309" s="38">
        <f>SUMIF(RAW_File!D:D,C:C,RAW_File!G:G)</f>
        <v>100</v>
      </c>
      <c r="F1309" s="39">
        <f>SUMIF(RAW_File!D:D,C:C,RAW_File!I:I)</f>
        <v>7920</v>
      </c>
      <c r="G1309" s="40">
        <f>SUMIF(RAW_File!D:D,C:C,RAW_File!K:K)</f>
        <v>0</v>
      </c>
      <c r="H1309" s="41">
        <f>SUMIF(RAW_File!D:D,C:C,RAW_File!M:M)</f>
        <v>16000</v>
      </c>
      <c r="I1309" s="40">
        <f t="shared" si="22"/>
        <v>16000</v>
      </c>
    </row>
    <row r="1310" spans="1:9" hidden="1" x14ac:dyDescent="0.25">
      <c r="A1310" s="36" t="s">
        <v>62</v>
      </c>
      <c r="B1310" s="36" t="s">
        <v>2272</v>
      </c>
      <c r="C1310" s="36" t="s">
        <v>2273</v>
      </c>
      <c r="D1310" s="37">
        <f>SUMIF(RAW_File!D:D,C:C,RAW_File!F:F)</f>
        <v>6333.0167363653036</v>
      </c>
      <c r="E1310" s="38">
        <f>SUMIF(RAW_File!D:D,C:C,RAW_File!G:G)</f>
        <v>0</v>
      </c>
      <c r="F1310" s="39">
        <f>SUMIF(RAW_File!D:D,C:C,RAW_File!I:I)</f>
        <v>11000</v>
      </c>
      <c r="G1310" s="40">
        <f>SUMIF(RAW_File!D:D,C:C,RAW_File!K:K)</f>
        <v>0</v>
      </c>
      <c r="H1310" s="41">
        <f>SUMIF(RAW_File!D:D,C:C,RAW_File!M:M)</f>
        <v>15000</v>
      </c>
      <c r="I1310" s="40">
        <f t="shared" si="22"/>
        <v>15000</v>
      </c>
    </row>
    <row r="1311" spans="1:9" hidden="1" x14ac:dyDescent="0.25">
      <c r="A1311" s="36" t="s">
        <v>62</v>
      </c>
      <c r="B1311" s="36" t="s">
        <v>2550</v>
      </c>
      <c r="C1311" s="36" t="s">
        <v>2551</v>
      </c>
      <c r="D1311" s="37">
        <f>SUMIF(RAW_File!D:D,C:C,RAW_File!F:F)</f>
        <v>14319.239769972821</v>
      </c>
      <c r="E1311" s="38">
        <f>SUMIF(RAW_File!D:D,C:C,RAW_File!G:G)</f>
        <v>5955</v>
      </c>
      <c r="F1311" s="39">
        <f>SUMIF(RAW_File!D:D,C:C,RAW_File!I:I)</f>
        <v>23845</v>
      </c>
      <c r="G1311" s="40">
        <f>SUMIF(RAW_File!D:D,C:C,RAW_File!K:K)</f>
        <v>0</v>
      </c>
      <c r="H1311" s="41">
        <f>SUMIF(RAW_File!D:D,C:C,RAW_File!M:M)</f>
        <v>10000</v>
      </c>
      <c r="I1311" s="40">
        <f t="shared" si="22"/>
        <v>10000</v>
      </c>
    </row>
    <row r="1312" spans="1:9" hidden="1" x14ac:dyDescent="0.25">
      <c r="A1312" s="36" t="s">
        <v>62</v>
      </c>
      <c r="B1312" s="36" t="s">
        <v>2638</v>
      </c>
      <c r="C1312" s="36" t="s">
        <v>2639</v>
      </c>
      <c r="D1312" s="37">
        <f>SUMIF(RAW_File!D:D,C:C,RAW_File!F:F)</f>
        <v>36376.463300000003</v>
      </c>
      <c r="E1312" s="38">
        <f>SUMIF(RAW_File!D:D,C:C,RAW_File!G:G)</f>
        <v>11015</v>
      </c>
      <c r="F1312" s="39">
        <f>SUMIF(RAW_File!D:D,C:C,RAW_File!I:I)</f>
        <v>34980</v>
      </c>
      <c r="G1312" s="40">
        <f>SUMIF(RAW_File!D:D,C:C,RAW_File!K:K)</f>
        <v>0</v>
      </c>
      <c r="H1312" s="41">
        <f>SUMIF(RAW_File!D:D,C:C,RAW_File!M:M)</f>
        <v>10000</v>
      </c>
      <c r="I1312" s="40">
        <f t="shared" si="22"/>
        <v>10000</v>
      </c>
    </row>
    <row r="1313" spans="1:9" hidden="1" x14ac:dyDescent="0.25">
      <c r="A1313" s="36" t="s">
        <v>62</v>
      </c>
      <c r="B1313" s="36" t="s">
        <v>2653</v>
      </c>
      <c r="C1313" s="36" t="s">
        <v>2654</v>
      </c>
      <c r="D1313" s="37">
        <f>SUMIF(RAW_File!D:D,C:C,RAW_File!F:F)</f>
        <v>7829.9633000000003</v>
      </c>
      <c r="E1313" s="38">
        <f>SUMIF(RAW_File!D:D,C:C,RAW_File!G:G)</f>
        <v>1650</v>
      </c>
      <c r="F1313" s="39">
        <f>SUMIF(RAW_File!D:D,C:C,RAW_File!I:I)</f>
        <v>1850</v>
      </c>
      <c r="G1313" s="40">
        <f>SUMIF(RAW_File!D:D,C:C,RAW_File!K:K)</f>
        <v>0</v>
      </c>
      <c r="H1313" s="41">
        <f>SUMIF(RAW_File!D:D,C:C,RAW_File!M:M)</f>
        <v>10000</v>
      </c>
      <c r="I1313" s="40">
        <f t="shared" si="22"/>
        <v>10000</v>
      </c>
    </row>
    <row r="1314" spans="1:9" hidden="1" x14ac:dyDescent="0.25">
      <c r="A1314" s="36" t="s">
        <v>62</v>
      </c>
      <c r="B1314" s="36" t="s">
        <v>2659</v>
      </c>
      <c r="C1314" s="36" t="s">
        <v>2660</v>
      </c>
      <c r="D1314" s="37">
        <f>SUMIF(RAW_File!D:D,C:C,RAW_File!F:F)</f>
        <v>3890.2255</v>
      </c>
      <c r="E1314" s="38">
        <f>SUMIF(RAW_File!D:D,C:C,RAW_File!G:G)</f>
        <v>3350</v>
      </c>
      <c r="F1314" s="39">
        <f>SUMIF(RAW_File!D:D,C:C,RAW_File!I:I)</f>
        <v>5520</v>
      </c>
      <c r="G1314" s="40">
        <f>SUMIF(RAW_File!D:D,C:C,RAW_File!K:K)</f>
        <v>5000</v>
      </c>
      <c r="H1314" s="41">
        <f>SUMIF(RAW_File!D:D,C:C,RAW_File!M:M)</f>
        <v>0</v>
      </c>
      <c r="I1314" s="40">
        <f t="shared" si="22"/>
        <v>5000</v>
      </c>
    </row>
    <row r="1315" spans="1:9" hidden="1" x14ac:dyDescent="0.25">
      <c r="A1315" s="36" t="s">
        <v>62</v>
      </c>
      <c r="B1315" s="36" t="s">
        <v>2794</v>
      </c>
      <c r="C1315" s="36" t="s">
        <v>2795</v>
      </c>
      <c r="D1315" s="37">
        <f>SUMIF(RAW_File!D:D,C:C,RAW_File!F:F)</f>
        <v>4303.6819618262916</v>
      </c>
      <c r="E1315" s="38">
        <f>SUMIF(RAW_File!D:D,C:C,RAW_File!G:G)</f>
        <v>5167</v>
      </c>
      <c r="F1315" s="39">
        <f>SUMIF(RAW_File!D:D,C:C,RAW_File!I:I)</f>
        <v>7117</v>
      </c>
      <c r="G1315" s="40">
        <f>SUMIF(RAW_File!D:D,C:C,RAW_File!K:K)</f>
        <v>5000</v>
      </c>
      <c r="H1315" s="41">
        <f>SUMIF(RAW_File!D:D,C:C,RAW_File!M:M)</f>
        <v>0</v>
      </c>
      <c r="I1315" s="40">
        <f t="shared" si="22"/>
        <v>5000</v>
      </c>
    </row>
    <row r="1316" spans="1:9" hidden="1" x14ac:dyDescent="0.25">
      <c r="A1316" s="36" t="s">
        <v>62</v>
      </c>
      <c r="B1316" s="36" t="s">
        <v>2886</v>
      </c>
      <c r="C1316" s="36" t="s">
        <v>2887</v>
      </c>
      <c r="D1316" s="37">
        <f>SUMIF(RAW_File!D:D,C:C,RAW_File!F:F)</f>
        <v>25940.234899999999</v>
      </c>
      <c r="E1316" s="38">
        <f>SUMIF(RAW_File!D:D,C:C,RAW_File!G:G)</f>
        <v>5015</v>
      </c>
      <c r="F1316" s="39">
        <f>SUMIF(RAW_File!D:D,C:C,RAW_File!I:I)</f>
        <v>18065</v>
      </c>
      <c r="G1316" s="40">
        <f>SUMIF(RAW_File!D:D,C:C,RAW_File!K:K)</f>
        <v>0</v>
      </c>
      <c r="H1316" s="41">
        <f>SUMIF(RAW_File!D:D,C:C,RAW_File!M:M)</f>
        <v>5000</v>
      </c>
      <c r="I1316" s="40">
        <f t="shared" si="22"/>
        <v>5000</v>
      </c>
    </row>
    <row r="1317" spans="1:9" hidden="1" x14ac:dyDescent="0.25">
      <c r="A1317" s="36" t="s">
        <v>62</v>
      </c>
      <c r="B1317" s="36" t="s">
        <v>2967</v>
      </c>
      <c r="C1317" s="36" t="s">
        <v>2968</v>
      </c>
      <c r="D1317" s="37">
        <f>SUMIF(RAW_File!D:D,C:C,RAW_File!F:F)</f>
        <v>5499.3559491130027</v>
      </c>
      <c r="E1317" s="38">
        <f>SUMIF(RAW_File!D:D,C:C,RAW_File!G:G)</f>
        <v>0</v>
      </c>
      <c r="F1317" s="39">
        <f>SUMIF(RAW_File!D:D,C:C,RAW_File!I:I)</f>
        <v>1980</v>
      </c>
      <c r="G1317" s="40">
        <f>SUMIF(RAW_File!D:D,C:C,RAW_File!K:K)</f>
        <v>0</v>
      </c>
      <c r="H1317" s="41">
        <f>SUMIF(RAW_File!D:D,C:C,RAW_File!M:M)</f>
        <v>10000</v>
      </c>
      <c r="I1317" s="40">
        <f t="shared" si="22"/>
        <v>10000</v>
      </c>
    </row>
    <row r="1318" spans="1:9" hidden="1" x14ac:dyDescent="0.25">
      <c r="A1318" s="36" t="s">
        <v>62</v>
      </c>
      <c r="B1318" s="36" t="s">
        <v>2981</v>
      </c>
      <c r="C1318" s="36" t="s">
        <v>2982</v>
      </c>
      <c r="D1318" s="37">
        <f>SUMIF(RAW_File!D:D,C:C,RAW_File!F:F)</f>
        <v>15232.28001174547</v>
      </c>
      <c r="E1318" s="38">
        <f>SUMIF(RAW_File!D:D,C:C,RAW_File!G:G)</f>
        <v>11000</v>
      </c>
      <c r="F1318" s="39">
        <f>SUMIF(RAW_File!D:D,C:C,RAW_File!I:I)</f>
        <v>11500</v>
      </c>
      <c r="G1318" s="40">
        <f>SUMIF(RAW_File!D:D,C:C,RAW_File!K:K)</f>
        <v>25000</v>
      </c>
      <c r="H1318" s="41">
        <f>SUMIF(RAW_File!D:D,C:C,RAW_File!M:M)</f>
        <v>0</v>
      </c>
      <c r="I1318" s="40">
        <f t="shared" si="22"/>
        <v>25000</v>
      </c>
    </row>
    <row r="1319" spans="1:9" hidden="1" x14ac:dyDescent="0.25">
      <c r="A1319" s="42" t="s">
        <v>62</v>
      </c>
      <c r="B1319" s="36" t="s">
        <v>2985</v>
      </c>
      <c r="C1319" s="42" t="s">
        <v>2986</v>
      </c>
      <c r="D1319" s="37">
        <f>SUMIF(RAW_File!D:D,C:C,RAW_File!F:F)</f>
        <v>1710.109008658188</v>
      </c>
      <c r="E1319" s="38">
        <f>SUMIF(RAW_File!D:D,C:C,RAW_File!G:G)</f>
        <v>0</v>
      </c>
      <c r="F1319" s="39">
        <f>SUMIF(RAW_File!D:D,C:C,RAW_File!I:I)</f>
        <v>500</v>
      </c>
      <c r="G1319" s="40">
        <f>SUMIF(RAW_File!D:D,C:C,RAW_File!K:K)</f>
        <v>0</v>
      </c>
      <c r="H1319" s="41">
        <f>SUMIF(RAW_File!D:D,C:C,RAW_File!M:M)</f>
        <v>6000</v>
      </c>
      <c r="I1319" s="40">
        <f t="shared" si="22"/>
        <v>6000</v>
      </c>
    </row>
    <row r="1320" spans="1:9" hidden="1" x14ac:dyDescent="0.25">
      <c r="A1320" s="36" t="s">
        <v>62</v>
      </c>
      <c r="B1320" s="36" t="s">
        <v>2995</v>
      </c>
      <c r="C1320" s="36" t="s">
        <v>2996</v>
      </c>
      <c r="D1320" s="37">
        <f>SUMIF(RAW_File!D:D,C:C,RAW_File!F:F)</f>
        <v>20030.830660869498</v>
      </c>
      <c r="E1320" s="38">
        <f>SUMIF(RAW_File!D:D,C:C,RAW_File!G:G)</f>
        <v>0</v>
      </c>
      <c r="F1320" s="39">
        <f>SUMIF(RAW_File!D:D,C:C,RAW_File!I:I)</f>
        <v>34942</v>
      </c>
      <c r="G1320" s="40">
        <f>SUMIF(RAW_File!D:D,C:C,RAW_File!K:K)</f>
        <v>0</v>
      </c>
      <c r="H1320" s="41">
        <f>SUMIF(RAW_File!D:D,C:C,RAW_File!M:M)</f>
        <v>25000</v>
      </c>
      <c r="I1320" s="40">
        <f t="shared" si="22"/>
        <v>25000</v>
      </c>
    </row>
    <row r="1321" spans="1:9" hidden="1" x14ac:dyDescent="0.25">
      <c r="A1321" s="36" t="s">
        <v>62</v>
      </c>
      <c r="B1321" s="36" t="s">
        <v>3026</v>
      </c>
      <c r="C1321" s="36" t="s">
        <v>3027</v>
      </c>
      <c r="D1321" s="37">
        <f>SUMIF(RAW_File!D:D,C:C,RAW_File!F:F)</f>
        <v>9251.6769999999997</v>
      </c>
      <c r="E1321" s="38">
        <f>SUMIF(RAW_File!D:D,C:C,RAW_File!G:G)</f>
        <v>0</v>
      </c>
      <c r="F1321" s="39">
        <f>SUMIF(RAW_File!D:D,C:C,RAW_File!I:I)</f>
        <v>0</v>
      </c>
      <c r="G1321" s="40">
        <f>SUMIF(RAW_File!D:D,C:C,RAW_File!K:K)</f>
        <v>5000</v>
      </c>
      <c r="H1321" s="41">
        <f>SUMIF(RAW_File!D:D,C:C,RAW_File!M:M)</f>
        <v>0</v>
      </c>
      <c r="I1321" s="40">
        <f t="shared" si="22"/>
        <v>5000</v>
      </c>
    </row>
    <row r="1322" spans="1:9" hidden="1" x14ac:dyDescent="0.25">
      <c r="A1322" s="36" t="s">
        <v>62</v>
      </c>
      <c r="B1322" s="36" t="s">
        <v>3038</v>
      </c>
      <c r="C1322" s="36" t="s">
        <v>3039</v>
      </c>
      <c r="D1322" s="37">
        <f>SUMIF(RAW_File!D:D,C:C,RAW_File!F:F)</f>
        <v>34.285226000000002</v>
      </c>
      <c r="E1322" s="38">
        <f>SUMIF(RAW_File!D:D,C:C,RAW_File!G:G)</f>
        <v>2000</v>
      </c>
      <c r="F1322" s="39">
        <f>SUMIF(RAW_File!D:D,C:C,RAW_File!I:I)</f>
        <v>8990</v>
      </c>
      <c r="G1322" s="40">
        <f>SUMIF(RAW_File!D:D,C:C,RAW_File!K:K)</f>
        <v>5000</v>
      </c>
      <c r="H1322" s="41">
        <f>SUMIF(RAW_File!D:D,C:C,RAW_File!M:M)</f>
        <v>10000</v>
      </c>
      <c r="I1322" s="40">
        <f t="shared" si="22"/>
        <v>5000</v>
      </c>
    </row>
    <row r="1323" spans="1:9" hidden="1" x14ac:dyDescent="0.25">
      <c r="A1323" s="36" t="s">
        <v>62</v>
      </c>
      <c r="B1323" s="36" t="s">
        <v>3195</v>
      </c>
      <c r="C1323" s="36" t="s">
        <v>3196</v>
      </c>
      <c r="D1323" s="37">
        <f>SUMIF(RAW_File!D:D,C:C,RAW_File!F:F)</f>
        <v>10869.70286774236</v>
      </c>
      <c r="E1323" s="38">
        <f>SUMIF(RAW_File!D:D,C:C,RAW_File!G:G)</f>
        <v>0</v>
      </c>
      <c r="F1323" s="39">
        <f>SUMIF(RAW_File!D:D,C:C,RAW_File!I:I)</f>
        <v>0</v>
      </c>
      <c r="G1323" s="40">
        <f>SUMIF(RAW_File!D:D,C:C,RAW_File!K:K)</f>
        <v>0</v>
      </c>
      <c r="H1323" s="41">
        <f>SUMIF(RAW_File!D:D,C:C,RAW_File!M:M)</f>
        <v>14000</v>
      </c>
      <c r="I1323" s="40">
        <f t="shared" si="22"/>
        <v>14000</v>
      </c>
    </row>
    <row r="1324" spans="1:9" hidden="1" x14ac:dyDescent="0.25">
      <c r="A1324" s="36" t="s">
        <v>62</v>
      </c>
      <c r="B1324" s="36" t="s">
        <v>3289</v>
      </c>
      <c r="C1324" s="36" t="s">
        <v>3290</v>
      </c>
      <c r="D1324" s="37">
        <f>SUMIF(RAW_File!D:D,C:C,RAW_File!F:F)</f>
        <v>13598.52392675712</v>
      </c>
      <c r="E1324" s="38">
        <f>SUMIF(RAW_File!D:D,C:C,RAW_File!G:G)</f>
        <v>200</v>
      </c>
      <c r="F1324" s="39">
        <f>SUMIF(RAW_File!D:D,C:C,RAW_File!I:I)</f>
        <v>14600</v>
      </c>
      <c r="G1324" s="40">
        <f>SUMIF(RAW_File!D:D,C:C,RAW_File!K:K)</f>
        <v>0</v>
      </c>
      <c r="H1324" s="41">
        <f>SUMIF(RAW_File!D:D,C:C,RAW_File!M:M)</f>
        <v>10000</v>
      </c>
      <c r="I1324" s="40">
        <f t="shared" si="22"/>
        <v>10000</v>
      </c>
    </row>
    <row r="1325" spans="1:9" hidden="1" x14ac:dyDescent="0.25">
      <c r="A1325" s="36" t="s">
        <v>62</v>
      </c>
      <c r="B1325" s="36" t="s">
        <v>3393</v>
      </c>
      <c r="C1325" s="36" t="s">
        <v>3394</v>
      </c>
      <c r="D1325" s="37">
        <f>SUMIF(RAW_File!D:D,C:C,RAW_File!F:F)</f>
        <v>6384.5424117105104</v>
      </c>
      <c r="E1325" s="38">
        <f>SUMIF(RAW_File!D:D,C:C,RAW_File!G:G)</f>
        <v>0</v>
      </c>
      <c r="F1325" s="39">
        <f>SUMIF(RAW_File!D:D,C:C,RAW_File!I:I)</f>
        <v>0</v>
      </c>
      <c r="G1325" s="40">
        <f>SUMIF(RAW_File!D:D,C:C,RAW_File!K:K)</f>
        <v>0</v>
      </c>
      <c r="H1325" s="41">
        <f>SUMIF(RAW_File!D:D,C:C,RAW_File!M:M)</f>
        <v>8000</v>
      </c>
      <c r="I1325" s="40">
        <f t="shared" si="22"/>
        <v>8000</v>
      </c>
    </row>
    <row r="1326" spans="1:9" hidden="1" x14ac:dyDescent="0.25">
      <c r="A1326" s="36" t="s">
        <v>62</v>
      </c>
      <c r="B1326" s="36" t="s">
        <v>3468</v>
      </c>
      <c r="C1326" s="36" t="s">
        <v>3469</v>
      </c>
      <c r="D1326" s="37">
        <f>SUMIF(RAW_File!D:D,C:C,RAW_File!F:F)</f>
        <v>7503.2346023140281</v>
      </c>
      <c r="E1326" s="38">
        <f>SUMIF(RAW_File!D:D,C:C,RAW_File!G:G)</f>
        <v>0</v>
      </c>
      <c r="F1326" s="39">
        <f>SUMIF(RAW_File!D:D,C:C,RAW_File!I:I)</f>
        <v>1300</v>
      </c>
      <c r="G1326" s="40">
        <f>SUMIF(RAW_File!D:D,C:C,RAW_File!K:K)</f>
        <v>0</v>
      </c>
      <c r="H1326" s="41">
        <f>SUMIF(RAW_File!D:D,C:C,RAW_File!M:M)</f>
        <v>0</v>
      </c>
      <c r="I1326" s="40">
        <f t="shared" si="22"/>
        <v>0</v>
      </c>
    </row>
    <row r="1327" spans="1:9" hidden="1" x14ac:dyDescent="0.25">
      <c r="A1327" s="36" t="s">
        <v>84</v>
      </c>
      <c r="B1327" s="36" t="s">
        <v>233</v>
      </c>
      <c r="C1327" s="36" t="s">
        <v>234</v>
      </c>
      <c r="D1327" s="37">
        <f>SUMIF(RAW_File!D:D,C:C,RAW_File!F:F)</f>
        <v>7.6929762235890484</v>
      </c>
      <c r="E1327" s="38">
        <f>SUMIF(RAW_File!D:D,C:C,RAW_File!G:G)</f>
        <v>0</v>
      </c>
      <c r="F1327" s="39">
        <f>SUMIF(RAW_File!D:D,C:C,RAW_File!I:I)</f>
        <v>0</v>
      </c>
      <c r="G1327" s="40">
        <f>SUMIF(RAW_File!D:D,C:C,RAW_File!K:K)</f>
        <v>0</v>
      </c>
      <c r="H1327" s="41">
        <f>SUMIF(RAW_File!D:D,C:C,RAW_File!M:M)</f>
        <v>0</v>
      </c>
      <c r="I1327" s="40">
        <f t="shared" si="22"/>
        <v>0</v>
      </c>
    </row>
    <row r="1328" spans="1:9" hidden="1" x14ac:dyDescent="0.25">
      <c r="A1328" s="36" t="s">
        <v>84</v>
      </c>
      <c r="B1328" s="36" t="s">
        <v>237</v>
      </c>
      <c r="C1328" s="36" t="s">
        <v>238</v>
      </c>
      <c r="D1328" s="37">
        <f>SUMIF(RAW_File!D:D,C:C,RAW_File!F:F)</f>
        <v>21.330100000000002</v>
      </c>
      <c r="E1328" s="38">
        <f>SUMIF(RAW_File!D:D,C:C,RAW_File!G:G)</f>
        <v>0</v>
      </c>
      <c r="F1328" s="39">
        <f>SUMIF(RAW_File!D:D,C:C,RAW_File!I:I)</f>
        <v>0</v>
      </c>
      <c r="G1328" s="40">
        <f>SUMIF(RAW_File!D:D,C:C,RAW_File!K:K)</f>
        <v>0</v>
      </c>
      <c r="H1328" s="41">
        <f>SUMIF(RAW_File!D:D,C:C,RAW_File!M:M)</f>
        <v>0</v>
      </c>
      <c r="I1328" s="40">
        <f t="shared" si="22"/>
        <v>0</v>
      </c>
    </row>
    <row r="1329" spans="1:9" hidden="1" x14ac:dyDescent="0.25">
      <c r="A1329" s="36" t="s">
        <v>84</v>
      </c>
      <c r="B1329" s="36" t="s">
        <v>243</v>
      </c>
      <c r="C1329" s="36" t="s">
        <v>244</v>
      </c>
      <c r="D1329" s="37">
        <f>SUMIF(RAW_File!D:D,C:C,RAW_File!F:F)</f>
        <v>23.153199999999998</v>
      </c>
      <c r="E1329" s="38">
        <f>SUMIF(RAW_File!D:D,C:C,RAW_File!G:G)</f>
        <v>0</v>
      </c>
      <c r="F1329" s="39">
        <f>SUMIF(RAW_File!D:D,C:C,RAW_File!I:I)</f>
        <v>0</v>
      </c>
      <c r="G1329" s="40">
        <f>SUMIF(RAW_File!D:D,C:C,RAW_File!K:K)</f>
        <v>0</v>
      </c>
      <c r="H1329" s="41">
        <f>SUMIF(RAW_File!D:D,C:C,RAW_File!M:M)</f>
        <v>0</v>
      </c>
      <c r="I1329" s="40">
        <f t="shared" si="22"/>
        <v>0</v>
      </c>
    </row>
    <row r="1330" spans="1:9" hidden="1" x14ac:dyDescent="0.25">
      <c r="A1330" s="36" t="s">
        <v>84</v>
      </c>
      <c r="B1330" s="36" t="s">
        <v>260</v>
      </c>
      <c r="C1330" s="36" t="s">
        <v>261</v>
      </c>
      <c r="D1330" s="37">
        <f>SUMIF(RAW_File!D:D,C:C,RAW_File!F:F)</f>
        <v>0.84252473400000005</v>
      </c>
      <c r="E1330" s="38">
        <f>SUMIF(RAW_File!D:D,C:C,RAW_File!G:G)</f>
        <v>0</v>
      </c>
      <c r="F1330" s="39">
        <f>SUMIF(RAW_File!D:D,C:C,RAW_File!I:I)</f>
        <v>0</v>
      </c>
      <c r="G1330" s="40">
        <f>SUMIF(RAW_File!D:D,C:C,RAW_File!K:K)</f>
        <v>0</v>
      </c>
      <c r="H1330" s="41">
        <f>SUMIF(RAW_File!D:D,C:C,RAW_File!M:M)</f>
        <v>0</v>
      </c>
      <c r="I1330" s="40">
        <f t="shared" si="22"/>
        <v>0</v>
      </c>
    </row>
    <row r="1331" spans="1:9" hidden="1" x14ac:dyDescent="0.25">
      <c r="A1331" s="36" t="s">
        <v>84</v>
      </c>
      <c r="B1331" s="36" t="s">
        <v>286</v>
      </c>
      <c r="C1331" s="36" t="s">
        <v>287</v>
      </c>
      <c r="D1331" s="37">
        <f>SUMIF(RAW_File!D:D,C:C,RAW_File!F:F)</f>
        <v>4849.5386717254878</v>
      </c>
      <c r="E1331" s="38">
        <f>SUMIF(RAW_File!D:D,C:C,RAW_File!G:G)</f>
        <v>1900</v>
      </c>
      <c r="F1331" s="39">
        <f>SUMIF(RAW_File!D:D,C:C,RAW_File!I:I)</f>
        <v>1900</v>
      </c>
      <c r="G1331" s="40">
        <f>SUMIF(RAW_File!D:D,C:C,RAW_File!K:K)</f>
        <v>5000</v>
      </c>
      <c r="H1331" s="41">
        <f>SUMIF(RAW_File!D:D,C:C,RAW_File!M:M)</f>
        <v>0</v>
      </c>
      <c r="I1331" s="40">
        <f t="shared" si="22"/>
        <v>5000</v>
      </c>
    </row>
    <row r="1332" spans="1:9" hidden="1" x14ac:dyDescent="0.25">
      <c r="A1332" s="36" t="s">
        <v>84</v>
      </c>
      <c r="B1332" s="36" t="s">
        <v>511</v>
      </c>
      <c r="C1332" s="36" t="s">
        <v>512</v>
      </c>
      <c r="D1332" s="37">
        <f>SUMIF(RAW_File!D:D,C:C,RAW_File!F:F)</f>
        <v>7047.3766858915506</v>
      </c>
      <c r="E1332" s="38">
        <f>SUMIF(RAW_File!D:D,C:C,RAW_File!G:G)</f>
        <v>1800</v>
      </c>
      <c r="F1332" s="39">
        <f>SUMIF(RAW_File!D:D,C:C,RAW_File!I:I)</f>
        <v>14110</v>
      </c>
      <c r="G1332" s="40">
        <f>SUMIF(RAW_File!D:D,C:C,RAW_File!K:K)</f>
        <v>0</v>
      </c>
      <c r="H1332" s="41">
        <f>SUMIF(RAW_File!D:D,C:C,RAW_File!M:M)</f>
        <v>11000</v>
      </c>
      <c r="I1332" s="40">
        <f t="shared" si="22"/>
        <v>11000</v>
      </c>
    </row>
    <row r="1333" spans="1:9" hidden="1" x14ac:dyDescent="0.25">
      <c r="A1333" s="36" t="s">
        <v>84</v>
      </c>
      <c r="B1333" s="36" t="s">
        <v>749</v>
      </c>
      <c r="C1333" s="36" t="s">
        <v>750</v>
      </c>
      <c r="D1333" s="37">
        <f>SUMIF(RAW_File!D:D,C:C,RAW_File!F:F)</f>
        <v>5421.8720082600366</v>
      </c>
      <c r="E1333" s="38">
        <f>SUMIF(RAW_File!D:D,C:C,RAW_File!G:G)</f>
        <v>1400</v>
      </c>
      <c r="F1333" s="39">
        <f>SUMIF(RAW_File!D:D,C:C,RAW_File!I:I)</f>
        <v>3700</v>
      </c>
      <c r="G1333" s="40">
        <f>SUMIF(RAW_File!D:D,C:C,RAW_File!K:K)</f>
        <v>0</v>
      </c>
      <c r="H1333" s="41">
        <f>SUMIF(RAW_File!D:D,C:C,RAW_File!M:M)</f>
        <v>55000</v>
      </c>
      <c r="I1333" s="40">
        <f t="shared" si="22"/>
        <v>55000</v>
      </c>
    </row>
    <row r="1334" spans="1:9" hidden="1" x14ac:dyDescent="0.25">
      <c r="A1334" s="36" t="s">
        <v>84</v>
      </c>
      <c r="B1334" s="36" t="s">
        <v>897</v>
      </c>
      <c r="C1334" s="36" t="s">
        <v>898</v>
      </c>
      <c r="D1334" s="37">
        <f>SUMIF(RAW_File!D:D,C:C,RAW_File!F:F)</f>
        <v>16.91872475038771</v>
      </c>
      <c r="E1334" s="38">
        <f>SUMIF(RAW_File!D:D,C:C,RAW_File!G:G)</f>
        <v>240</v>
      </c>
      <c r="F1334" s="39">
        <f>SUMIF(RAW_File!D:D,C:C,RAW_File!I:I)</f>
        <v>11120</v>
      </c>
      <c r="G1334" s="40">
        <f>SUMIF(RAW_File!D:D,C:C,RAW_File!K:K)</f>
        <v>0</v>
      </c>
      <c r="H1334" s="41">
        <f>SUMIF(RAW_File!D:D,C:C,RAW_File!M:M)</f>
        <v>15000</v>
      </c>
      <c r="I1334" s="40">
        <f t="shared" si="22"/>
        <v>15000</v>
      </c>
    </row>
    <row r="1335" spans="1:9" hidden="1" x14ac:dyDescent="0.25">
      <c r="A1335" s="36" t="s">
        <v>84</v>
      </c>
      <c r="B1335" s="36" t="s">
        <v>905</v>
      </c>
      <c r="C1335" s="36" t="s">
        <v>906</v>
      </c>
      <c r="D1335" s="37">
        <f>SUMIF(RAW_File!D:D,C:C,RAW_File!F:F)</f>
        <v>1452.8426000004999</v>
      </c>
      <c r="E1335" s="38">
        <f>SUMIF(RAW_File!D:D,C:C,RAW_File!G:G)</f>
        <v>14130</v>
      </c>
      <c r="F1335" s="39">
        <f>SUMIF(RAW_File!D:D,C:C,RAW_File!I:I)</f>
        <v>18080</v>
      </c>
      <c r="G1335" s="40">
        <f>SUMIF(RAW_File!D:D,C:C,RAW_File!K:K)</f>
        <v>10000</v>
      </c>
      <c r="H1335" s="41">
        <f>SUMIF(RAW_File!D:D,C:C,RAW_File!M:M)</f>
        <v>0</v>
      </c>
      <c r="I1335" s="40">
        <f t="shared" si="22"/>
        <v>10000</v>
      </c>
    </row>
    <row r="1336" spans="1:9" hidden="1" x14ac:dyDescent="0.25">
      <c r="A1336" s="36" t="s">
        <v>84</v>
      </c>
      <c r="B1336" s="36" t="s">
        <v>995</v>
      </c>
      <c r="C1336" s="36" t="s">
        <v>996</v>
      </c>
      <c r="D1336" s="37">
        <f>SUMIF(RAW_File!D:D,C:C,RAW_File!F:F)</f>
        <v>11990.785489535599</v>
      </c>
      <c r="E1336" s="38">
        <f>SUMIF(RAW_File!D:D,C:C,RAW_File!G:G)</f>
        <v>2100</v>
      </c>
      <c r="F1336" s="39">
        <f>SUMIF(RAW_File!D:D,C:C,RAW_File!I:I)</f>
        <v>4700</v>
      </c>
      <c r="G1336" s="40">
        <f>SUMIF(RAW_File!D:D,C:C,RAW_File!K:K)</f>
        <v>5000</v>
      </c>
      <c r="H1336" s="41">
        <f>SUMIF(RAW_File!D:D,C:C,RAW_File!M:M)</f>
        <v>0</v>
      </c>
      <c r="I1336" s="40">
        <f t="shared" si="22"/>
        <v>5000</v>
      </c>
    </row>
    <row r="1337" spans="1:9" hidden="1" x14ac:dyDescent="0.25">
      <c r="A1337" s="36" t="s">
        <v>84</v>
      </c>
      <c r="B1337" s="36" t="s">
        <v>1135</v>
      </c>
      <c r="C1337" s="36" t="s">
        <v>1136</v>
      </c>
      <c r="D1337" s="37">
        <f>SUMIF(RAW_File!D:D,C:C,RAW_File!F:F)</f>
        <v>8.0041784072059681</v>
      </c>
      <c r="E1337" s="38">
        <f>SUMIF(RAW_File!D:D,C:C,RAW_File!G:G)</f>
        <v>0</v>
      </c>
      <c r="F1337" s="39">
        <f>SUMIF(RAW_File!D:D,C:C,RAW_File!I:I)</f>
        <v>0</v>
      </c>
      <c r="G1337" s="40">
        <f>SUMIF(RAW_File!D:D,C:C,RAW_File!K:K)</f>
        <v>0</v>
      </c>
      <c r="H1337" s="41">
        <f>SUMIF(RAW_File!D:D,C:C,RAW_File!M:M)</f>
        <v>0</v>
      </c>
      <c r="I1337" s="40">
        <f t="shared" si="22"/>
        <v>0</v>
      </c>
    </row>
    <row r="1338" spans="1:9" hidden="1" x14ac:dyDescent="0.25">
      <c r="A1338" s="36" t="s">
        <v>84</v>
      </c>
      <c r="B1338" s="36" t="s">
        <v>1409</v>
      </c>
      <c r="C1338" s="36" t="s">
        <v>1410</v>
      </c>
      <c r="D1338" s="37">
        <f>SUMIF(RAW_File!D:D,C:C,RAW_File!F:F)</f>
        <v>4701.4128509384</v>
      </c>
      <c r="E1338" s="38">
        <f>SUMIF(RAW_File!D:D,C:C,RAW_File!G:G)</f>
        <v>4250</v>
      </c>
      <c r="F1338" s="39">
        <f>SUMIF(RAW_File!D:D,C:C,RAW_File!I:I)</f>
        <v>40205</v>
      </c>
      <c r="G1338" s="40">
        <f>SUMIF(RAW_File!D:D,C:C,RAW_File!K:K)</f>
        <v>0</v>
      </c>
      <c r="H1338" s="41">
        <f>SUMIF(RAW_File!D:D,C:C,RAW_File!M:M)</f>
        <v>30000</v>
      </c>
      <c r="I1338" s="40">
        <f t="shared" si="22"/>
        <v>30000</v>
      </c>
    </row>
    <row r="1339" spans="1:9" hidden="1" x14ac:dyDescent="0.25">
      <c r="A1339" s="36" t="s">
        <v>84</v>
      </c>
      <c r="B1339" s="36" t="s">
        <v>1411</v>
      </c>
      <c r="C1339" s="36" t="s">
        <v>1412</v>
      </c>
      <c r="D1339" s="37">
        <f>SUMIF(RAW_File!D:D,C:C,RAW_File!F:F)</f>
        <v>13940.4877</v>
      </c>
      <c r="E1339" s="38">
        <f>SUMIF(RAW_File!D:D,C:C,RAW_File!G:G)</f>
        <v>1550</v>
      </c>
      <c r="F1339" s="39">
        <f>SUMIF(RAW_File!D:D,C:C,RAW_File!I:I)</f>
        <v>5050</v>
      </c>
      <c r="G1339" s="40">
        <f>SUMIF(RAW_File!D:D,C:C,RAW_File!K:K)</f>
        <v>5000</v>
      </c>
      <c r="H1339" s="41">
        <f>SUMIF(RAW_File!D:D,C:C,RAW_File!M:M)</f>
        <v>0</v>
      </c>
      <c r="I1339" s="40">
        <f t="shared" si="22"/>
        <v>5000</v>
      </c>
    </row>
    <row r="1340" spans="1:9" hidden="1" x14ac:dyDescent="0.25">
      <c r="A1340" s="36" t="s">
        <v>84</v>
      </c>
      <c r="B1340" s="36" t="s">
        <v>1570</v>
      </c>
      <c r="C1340" s="36" t="s">
        <v>1571</v>
      </c>
      <c r="D1340" s="37">
        <f>SUMIF(RAW_File!D:D,C:C,RAW_File!F:F)</f>
        <v>1677.9648</v>
      </c>
      <c r="E1340" s="38">
        <f>SUMIF(RAW_File!D:D,C:C,RAW_File!G:G)</f>
        <v>16295</v>
      </c>
      <c r="F1340" s="39">
        <f>SUMIF(RAW_File!D:D,C:C,RAW_File!I:I)</f>
        <v>17095</v>
      </c>
      <c r="G1340" s="40">
        <f>SUMIF(RAW_File!D:D,C:C,RAW_File!K:K)</f>
        <v>0</v>
      </c>
      <c r="H1340" s="41">
        <f>SUMIF(RAW_File!D:D,C:C,RAW_File!M:M)</f>
        <v>0</v>
      </c>
      <c r="I1340" s="40">
        <f t="shared" si="22"/>
        <v>0</v>
      </c>
    </row>
    <row r="1341" spans="1:9" hidden="1" x14ac:dyDescent="0.25">
      <c r="A1341" s="36" t="s">
        <v>84</v>
      </c>
      <c r="B1341" s="36" t="s">
        <v>1643</v>
      </c>
      <c r="C1341" s="36" t="s">
        <v>1644</v>
      </c>
      <c r="D1341" s="37">
        <f>SUMIF(RAW_File!D:D,C:C,RAW_File!F:F)</f>
        <v>5127.2174851779309</v>
      </c>
      <c r="E1341" s="38">
        <f>SUMIF(RAW_File!D:D,C:C,RAW_File!G:G)</f>
        <v>500</v>
      </c>
      <c r="F1341" s="39">
        <f>SUMIF(RAW_File!D:D,C:C,RAW_File!I:I)</f>
        <v>500</v>
      </c>
      <c r="G1341" s="40">
        <f>SUMIF(RAW_File!D:D,C:C,RAW_File!K:K)</f>
        <v>0</v>
      </c>
      <c r="H1341" s="41">
        <f>SUMIF(RAW_File!D:D,C:C,RAW_File!M:M)</f>
        <v>0</v>
      </c>
      <c r="I1341" s="40">
        <f t="shared" si="22"/>
        <v>0</v>
      </c>
    </row>
    <row r="1342" spans="1:9" hidden="1" x14ac:dyDescent="0.25">
      <c r="A1342" s="36" t="s">
        <v>84</v>
      </c>
      <c r="B1342" s="36" t="s">
        <v>1702</v>
      </c>
      <c r="C1342" s="36" t="s">
        <v>1703</v>
      </c>
      <c r="D1342" s="37">
        <f>SUMIF(RAW_File!D:D,C:C,RAW_File!F:F)</f>
        <v>95.189058148740855</v>
      </c>
      <c r="E1342" s="38">
        <f>SUMIF(RAW_File!D:D,C:C,RAW_File!G:G)</f>
        <v>0</v>
      </c>
      <c r="F1342" s="39">
        <f>SUMIF(RAW_File!D:D,C:C,RAW_File!I:I)</f>
        <v>0</v>
      </c>
      <c r="G1342" s="40">
        <f>SUMIF(RAW_File!D:D,C:C,RAW_File!K:K)</f>
        <v>0</v>
      </c>
      <c r="H1342" s="41">
        <f>SUMIF(RAW_File!D:D,C:C,RAW_File!M:M)</f>
        <v>0</v>
      </c>
      <c r="I1342" s="40">
        <f t="shared" si="22"/>
        <v>0</v>
      </c>
    </row>
    <row r="1343" spans="1:9" hidden="1" x14ac:dyDescent="0.25">
      <c r="A1343" s="36" t="s">
        <v>84</v>
      </c>
      <c r="B1343" s="36" t="s">
        <v>1708</v>
      </c>
      <c r="C1343" s="36" t="s">
        <v>1709</v>
      </c>
      <c r="D1343" s="37">
        <f>SUMIF(RAW_File!D:D,C:C,RAW_File!F:F)</f>
        <v>8.1326000000000001</v>
      </c>
      <c r="E1343" s="38">
        <f>SUMIF(RAW_File!D:D,C:C,RAW_File!G:G)</f>
        <v>5790</v>
      </c>
      <c r="F1343" s="39">
        <f>SUMIF(RAW_File!D:D,C:C,RAW_File!I:I)</f>
        <v>11215</v>
      </c>
      <c r="G1343" s="40">
        <f>SUMIF(RAW_File!D:D,C:C,RAW_File!K:K)</f>
        <v>5000</v>
      </c>
      <c r="H1343" s="41">
        <f>SUMIF(RAW_File!D:D,C:C,RAW_File!M:M)</f>
        <v>10000</v>
      </c>
      <c r="I1343" s="40">
        <f t="shared" si="22"/>
        <v>5000</v>
      </c>
    </row>
    <row r="1344" spans="1:9" hidden="1" x14ac:dyDescent="0.25">
      <c r="A1344" s="36" t="s">
        <v>84</v>
      </c>
      <c r="B1344" s="36" t="s">
        <v>1794</v>
      </c>
      <c r="C1344" s="36" t="s">
        <v>1795</v>
      </c>
      <c r="D1344" s="37">
        <f>SUMIF(RAW_File!D:D,C:C,RAW_File!F:F)</f>
        <v>22320.81825927283</v>
      </c>
      <c r="E1344" s="38">
        <f>SUMIF(RAW_File!D:D,C:C,RAW_File!G:G)</f>
        <v>6500</v>
      </c>
      <c r="F1344" s="39">
        <f>SUMIF(RAW_File!D:D,C:C,RAW_File!I:I)</f>
        <v>11835</v>
      </c>
      <c r="G1344" s="40">
        <f>SUMIF(RAW_File!D:D,C:C,RAW_File!K:K)</f>
        <v>0</v>
      </c>
      <c r="H1344" s="41">
        <f>SUMIF(RAW_File!D:D,C:C,RAW_File!M:M)</f>
        <v>0</v>
      </c>
      <c r="I1344" s="40">
        <f t="shared" si="22"/>
        <v>0</v>
      </c>
    </row>
    <row r="1345" spans="1:9" hidden="1" x14ac:dyDescent="0.25">
      <c r="A1345" s="36" t="s">
        <v>84</v>
      </c>
      <c r="B1345" s="36" t="s">
        <v>1845</v>
      </c>
      <c r="C1345" s="36" t="s">
        <v>1846</v>
      </c>
      <c r="D1345" s="37">
        <f>SUMIF(RAW_File!D:D,C:C,RAW_File!F:F)</f>
        <v>7423.3048440629154</v>
      </c>
      <c r="E1345" s="38">
        <f>SUMIF(RAW_File!D:D,C:C,RAW_File!G:G)</f>
        <v>300</v>
      </c>
      <c r="F1345" s="39">
        <f>SUMIF(RAW_File!D:D,C:C,RAW_File!I:I)</f>
        <v>3000</v>
      </c>
      <c r="G1345" s="40">
        <f>SUMIF(RAW_File!D:D,C:C,RAW_File!K:K)</f>
        <v>5000</v>
      </c>
      <c r="H1345" s="41">
        <f>SUMIF(RAW_File!D:D,C:C,RAW_File!M:M)</f>
        <v>0</v>
      </c>
      <c r="I1345" s="40">
        <f t="shared" si="22"/>
        <v>5000</v>
      </c>
    </row>
    <row r="1346" spans="1:9" hidden="1" x14ac:dyDescent="0.25">
      <c r="A1346" s="36" t="s">
        <v>84</v>
      </c>
      <c r="B1346" s="36" t="s">
        <v>1853</v>
      </c>
      <c r="C1346" s="36" t="s">
        <v>1854</v>
      </c>
      <c r="D1346" s="37">
        <f>SUMIF(RAW_File!D:D,C:C,RAW_File!F:F)</f>
        <v>3751.304543015227</v>
      </c>
      <c r="E1346" s="38">
        <f>SUMIF(RAW_File!D:D,C:C,RAW_File!G:G)</f>
        <v>6720</v>
      </c>
      <c r="F1346" s="39">
        <f>SUMIF(RAW_File!D:D,C:C,RAW_File!I:I)</f>
        <v>10040</v>
      </c>
      <c r="G1346" s="40">
        <f>SUMIF(RAW_File!D:D,C:C,RAW_File!K:K)</f>
        <v>5000</v>
      </c>
      <c r="H1346" s="41">
        <f>SUMIF(RAW_File!D:D,C:C,RAW_File!M:M)</f>
        <v>0</v>
      </c>
      <c r="I1346" s="40">
        <f t="shared" si="22"/>
        <v>5000</v>
      </c>
    </row>
    <row r="1347" spans="1:9" hidden="1" x14ac:dyDescent="0.25">
      <c r="A1347" s="36" t="s">
        <v>84</v>
      </c>
      <c r="B1347" s="36" t="s">
        <v>1889</v>
      </c>
      <c r="C1347" s="36" t="s">
        <v>1890</v>
      </c>
      <c r="D1347" s="37">
        <f>SUMIF(RAW_File!D:D,C:C,RAW_File!F:F)</f>
        <v>523.99220598112004</v>
      </c>
      <c r="E1347" s="38">
        <f>SUMIF(RAW_File!D:D,C:C,RAW_File!G:G)</f>
        <v>3500</v>
      </c>
      <c r="F1347" s="39">
        <f>SUMIF(RAW_File!D:D,C:C,RAW_File!I:I)</f>
        <v>7190</v>
      </c>
      <c r="G1347" s="40">
        <f>SUMIF(RAW_File!D:D,C:C,RAW_File!K:K)</f>
        <v>5000</v>
      </c>
      <c r="H1347" s="41">
        <f>SUMIF(RAW_File!D:D,C:C,RAW_File!M:M)</f>
        <v>11000</v>
      </c>
      <c r="I1347" s="40">
        <f t="shared" ref="I1347:I1410" si="23">ABS(G1347-H1347)</f>
        <v>6000</v>
      </c>
    </row>
    <row r="1348" spans="1:9" hidden="1" x14ac:dyDescent="0.25">
      <c r="A1348" s="36" t="s">
        <v>84</v>
      </c>
      <c r="B1348" s="36" t="s">
        <v>1897</v>
      </c>
      <c r="C1348" s="36" t="s">
        <v>1898</v>
      </c>
      <c r="D1348" s="37">
        <f>SUMIF(RAW_File!D:D,C:C,RAW_File!F:F)</f>
        <v>2375.814309419844</v>
      </c>
      <c r="E1348" s="38">
        <f>SUMIF(RAW_File!D:D,C:C,RAW_File!G:G)</f>
        <v>0</v>
      </c>
      <c r="F1348" s="39">
        <f>SUMIF(RAW_File!D:D,C:C,RAW_File!I:I)</f>
        <v>7250</v>
      </c>
      <c r="G1348" s="40">
        <f>SUMIF(RAW_File!D:D,C:C,RAW_File!K:K)</f>
        <v>0</v>
      </c>
      <c r="H1348" s="41">
        <f>SUMIF(RAW_File!D:D,C:C,RAW_File!M:M)</f>
        <v>5000</v>
      </c>
      <c r="I1348" s="40">
        <f t="shared" si="23"/>
        <v>5000</v>
      </c>
    </row>
    <row r="1349" spans="1:9" hidden="1" x14ac:dyDescent="0.25">
      <c r="A1349" s="36" t="s">
        <v>84</v>
      </c>
      <c r="B1349" s="36" t="s">
        <v>1921</v>
      </c>
      <c r="C1349" s="36" t="s">
        <v>1922</v>
      </c>
      <c r="D1349" s="37">
        <f>SUMIF(RAW_File!D:D,C:C,RAW_File!F:F)</f>
        <v>6621.1877531660684</v>
      </c>
      <c r="E1349" s="38">
        <f>SUMIF(RAW_File!D:D,C:C,RAW_File!G:G)</f>
        <v>150</v>
      </c>
      <c r="F1349" s="39">
        <f>SUMIF(RAW_File!D:D,C:C,RAW_File!I:I)</f>
        <v>31450</v>
      </c>
      <c r="G1349" s="40">
        <f>SUMIF(RAW_File!D:D,C:C,RAW_File!K:K)</f>
        <v>5000</v>
      </c>
      <c r="H1349" s="41">
        <f>SUMIF(RAW_File!D:D,C:C,RAW_File!M:M)</f>
        <v>50000</v>
      </c>
      <c r="I1349" s="40">
        <f t="shared" si="23"/>
        <v>45000</v>
      </c>
    </row>
    <row r="1350" spans="1:9" hidden="1" x14ac:dyDescent="0.25">
      <c r="A1350" s="36" t="s">
        <v>84</v>
      </c>
      <c r="B1350" s="36" t="s">
        <v>2075</v>
      </c>
      <c r="C1350" s="36" t="s">
        <v>2076</v>
      </c>
      <c r="D1350" s="37">
        <f>SUMIF(RAW_File!D:D,C:C,RAW_File!F:F)</f>
        <v>703.62114968130004</v>
      </c>
      <c r="E1350" s="38">
        <f>SUMIF(RAW_File!D:D,C:C,RAW_File!G:G)</f>
        <v>0</v>
      </c>
      <c r="F1350" s="39">
        <f>SUMIF(RAW_File!D:D,C:C,RAW_File!I:I)</f>
        <v>14250</v>
      </c>
      <c r="G1350" s="40">
        <f>SUMIF(RAW_File!D:D,C:C,RAW_File!K:K)</f>
        <v>5000</v>
      </c>
      <c r="H1350" s="41">
        <f>SUMIF(RAW_File!D:D,C:C,RAW_File!M:M)</f>
        <v>20000</v>
      </c>
      <c r="I1350" s="40">
        <f t="shared" si="23"/>
        <v>15000</v>
      </c>
    </row>
    <row r="1351" spans="1:9" hidden="1" x14ac:dyDescent="0.25">
      <c r="A1351" s="36" t="s">
        <v>84</v>
      </c>
      <c r="B1351" s="36" t="s">
        <v>2113</v>
      </c>
      <c r="C1351" s="36" t="s">
        <v>2114</v>
      </c>
      <c r="D1351" s="37">
        <f>SUMIF(RAW_File!D:D,C:C,RAW_File!F:F)</f>
        <v>2511.0676837969472</v>
      </c>
      <c r="E1351" s="38">
        <f>SUMIF(RAW_File!D:D,C:C,RAW_File!G:G)</f>
        <v>0</v>
      </c>
      <c r="F1351" s="39">
        <f>SUMIF(RAW_File!D:D,C:C,RAW_File!I:I)</f>
        <v>100</v>
      </c>
      <c r="G1351" s="40">
        <f>SUMIF(RAW_File!D:D,C:C,RAW_File!K:K)</f>
        <v>0</v>
      </c>
      <c r="H1351" s="41">
        <f>SUMIF(RAW_File!D:D,C:C,RAW_File!M:M)</f>
        <v>5000</v>
      </c>
      <c r="I1351" s="40">
        <f t="shared" si="23"/>
        <v>5000</v>
      </c>
    </row>
    <row r="1352" spans="1:9" hidden="1" x14ac:dyDescent="0.25">
      <c r="A1352" s="36" t="s">
        <v>84</v>
      </c>
      <c r="B1352" s="36" t="s">
        <v>2176</v>
      </c>
      <c r="C1352" s="36" t="s">
        <v>2177</v>
      </c>
      <c r="D1352" s="37">
        <f>SUMIF(RAW_File!D:D,C:C,RAW_File!F:F)</f>
        <v>13811.23644831558</v>
      </c>
      <c r="E1352" s="38">
        <f>SUMIF(RAW_File!D:D,C:C,RAW_File!G:G)</f>
        <v>8240</v>
      </c>
      <c r="F1352" s="39">
        <f>SUMIF(RAW_File!D:D,C:C,RAW_File!I:I)</f>
        <v>66930</v>
      </c>
      <c r="G1352" s="40">
        <f>SUMIF(RAW_File!D:D,C:C,RAW_File!K:K)</f>
        <v>0</v>
      </c>
      <c r="H1352" s="41">
        <f>SUMIF(RAW_File!D:D,C:C,RAW_File!M:M)</f>
        <v>55000</v>
      </c>
      <c r="I1352" s="40">
        <f t="shared" si="23"/>
        <v>55000</v>
      </c>
    </row>
    <row r="1353" spans="1:9" hidden="1" x14ac:dyDescent="0.25">
      <c r="A1353" s="36" t="s">
        <v>84</v>
      </c>
      <c r="B1353" s="36" t="s">
        <v>2339</v>
      </c>
      <c r="C1353" s="36" t="s">
        <v>2340</v>
      </c>
      <c r="D1353" s="37">
        <f>SUMIF(RAW_File!D:D,C:C,RAW_File!F:F)</f>
        <v>11079.7583</v>
      </c>
      <c r="E1353" s="38">
        <f>SUMIF(RAW_File!D:D,C:C,RAW_File!G:G)</f>
        <v>700</v>
      </c>
      <c r="F1353" s="39">
        <f>SUMIF(RAW_File!D:D,C:C,RAW_File!I:I)</f>
        <v>700</v>
      </c>
      <c r="G1353" s="40">
        <f>SUMIF(RAW_File!D:D,C:C,RAW_File!K:K)</f>
        <v>5000</v>
      </c>
      <c r="H1353" s="41">
        <f>SUMIF(RAW_File!D:D,C:C,RAW_File!M:M)</f>
        <v>0</v>
      </c>
      <c r="I1353" s="40">
        <f t="shared" si="23"/>
        <v>5000</v>
      </c>
    </row>
    <row r="1354" spans="1:9" hidden="1" x14ac:dyDescent="0.25">
      <c r="A1354" s="36" t="s">
        <v>84</v>
      </c>
      <c r="B1354" s="36" t="s">
        <v>2367</v>
      </c>
      <c r="C1354" s="36" t="s">
        <v>2368</v>
      </c>
      <c r="D1354" s="37">
        <f>SUMIF(RAW_File!D:D,C:C,RAW_File!F:F)</f>
        <v>453.58720605505101</v>
      </c>
      <c r="E1354" s="38">
        <f>SUMIF(RAW_File!D:D,C:C,RAW_File!G:G)</f>
        <v>0</v>
      </c>
      <c r="F1354" s="39">
        <f>SUMIF(RAW_File!D:D,C:C,RAW_File!I:I)</f>
        <v>5120</v>
      </c>
      <c r="G1354" s="40">
        <f>SUMIF(RAW_File!D:D,C:C,RAW_File!K:K)</f>
        <v>0</v>
      </c>
      <c r="H1354" s="41">
        <f>SUMIF(RAW_File!D:D,C:C,RAW_File!M:M)</f>
        <v>5000</v>
      </c>
      <c r="I1354" s="40">
        <f t="shared" si="23"/>
        <v>5000</v>
      </c>
    </row>
    <row r="1355" spans="1:9" hidden="1" x14ac:dyDescent="0.25">
      <c r="A1355" s="36" t="s">
        <v>84</v>
      </c>
      <c r="B1355" s="36" t="s">
        <v>145</v>
      </c>
      <c r="C1355" s="36" t="s">
        <v>2394</v>
      </c>
      <c r="D1355" s="37">
        <f>SUMIF(RAW_File!D:D,C:C,RAW_File!F:F)</f>
        <v>2.4694048</v>
      </c>
      <c r="E1355" s="38">
        <f>SUMIF(RAW_File!D:D,C:C,RAW_File!G:G)</f>
        <v>0</v>
      </c>
      <c r="F1355" s="39">
        <f>SUMIF(RAW_File!D:D,C:C,RAW_File!I:I)</f>
        <v>0</v>
      </c>
      <c r="G1355" s="40">
        <f>SUMIF(RAW_File!D:D,C:C,RAW_File!K:K)</f>
        <v>0</v>
      </c>
      <c r="H1355" s="41">
        <f>SUMIF(RAW_File!D:D,C:C,RAW_File!M:M)</f>
        <v>0</v>
      </c>
      <c r="I1355" s="40">
        <f t="shared" si="23"/>
        <v>0</v>
      </c>
    </row>
    <row r="1356" spans="1:9" hidden="1" x14ac:dyDescent="0.25">
      <c r="A1356" s="36" t="s">
        <v>84</v>
      </c>
      <c r="B1356" s="36" t="s">
        <v>2441</v>
      </c>
      <c r="C1356" s="36" t="s">
        <v>2442</v>
      </c>
      <c r="D1356" s="37">
        <f>SUMIF(RAW_File!D:D,C:C,RAW_File!F:F)</f>
        <v>25578.333699999999</v>
      </c>
      <c r="E1356" s="38">
        <f>SUMIF(RAW_File!D:D,C:C,RAW_File!G:G)</f>
        <v>5480</v>
      </c>
      <c r="F1356" s="39">
        <f>SUMIF(RAW_File!D:D,C:C,RAW_File!I:I)</f>
        <v>11380</v>
      </c>
      <c r="G1356" s="40">
        <f>SUMIF(RAW_File!D:D,C:C,RAW_File!K:K)</f>
        <v>5000</v>
      </c>
      <c r="H1356" s="41">
        <f>SUMIF(RAW_File!D:D,C:C,RAW_File!M:M)</f>
        <v>0</v>
      </c>
      <c r="I1356" s="40">
        <f t="shared" si="23"/>
        <v>5000</v>
      </c>
    </row>
    <row r="1357" spans="1:9" hidden="1" x14ac:dyDescent="0.25">
      <c r="A1357" s="36" t="s">
        <v>84</v>
      </c>
      <c r="B1357" s="36" t="s">
        <v>903</v>
      </c>
      <c r="C1357" s="36" t="s">
        <v>2461</v>
      </c>
      <c r="D1357" s="37">
        <f>SUMIF(RAW_File!D:D,C:C,RAW_File!F:F)</f>
        <v>69532.245899450907</v>
      </c>
      <c r="E1357" s="38">
        <f>SUMIF(RAW_File!D:D,C:C,RAW_File!G:G)</f>
        <v>25601</v>
      </c>
      <c r="F1357" s="39">
        <f>SUMIF(RAW_File!D:D,C:C,RAW_File!I:I)</f>
        <v>61681</v>
      </c>
      <c r="G1357" s="40">
        <f>SUMIF(RAW_File!D:D,C:C,RAW_File!K:K)</f>
        <v>10000</v>
      </c>
      <c r="H1357" s="41">
        <f>SUMIF(RAW_File!D:D,C:C,RAW_File!M:M)</f>
        <v>0</v>
      </c>
      <c r="I1357" s="40">
        <f t="shared" si="23"/>
        <v>10000</v>
      </c>
    </row>
    <row r="1358" spans="1:9" hidden="1" x14ac:dyDescent="0.25">
      <c r="A1358" s="36" t="s">
        <v>84</v>
      </c>
      <c r="B1358" s="36" t="s">
        <v>2523</v>
      </c>
      <c r="C1358" s="36" t="s">
        <v>2524</v>
      </c>
      <c r="D1358" s="37">
        <f>SUMIF(RAW_File!D:D,C:C,RAW_File!F:F)</f>
        <v>2.629</v>
      </c>
      <c r="E1358" s="38">
        <f>SUMIF(RAW_File!D:D,C:C,RAW_File!G:G)</f>
        <v>14680</v>
      </c>
      <c r="F1358" s="39">
        <f>SUMIF(RAW_File!D:D,C:C,RAW_File!I:I)</f>
        <v>20230</v>
      </c>
      <c r="G1358" s="40">
        <f>SUMIF(RAW_File!D:D,C:C,RAW_File!K:K)</f>
        <v>9000</v>
      </c>
      <c r="H1358" s="41">
        <f>SUMIF(RAW_File!D:D,C:C,RAW_File!M:M)</f>
        <v>0</v>
      </c>
      <c r="I1358" s="40">
        <f t="shared" si="23"/>
        <v>9000</v>
      </c>
    </row>
    <row r="1359" spans="1:9" hidden="1" x14ac:dyDescent="0.25">
      <c r="A1359" s="36" t="s">
        <v>84</v>
      </c>
      <c r="B1359" s="36" t="s">
        <v>2594</v>
      </c>
      <c r="C1359" s="36" t="s">
        <v>2595</v>
      </c>
      <c r="D1359" s="37">
        <f>SUMIF(RAW_File!D:D,C:C,RAW_File!F:F)</f>
        <v>1878.104322149931</v>
      </c>
      <c r="E1359" s="38">
        <f>SUMIF(RAW_File!D:D,C:C,RAW_File!G:G)</f>
        <v>6000</v>
      </c>
      <c r="F1359" s="39">
        <f>SUMIF(RAW_File!D:D,C:C,RAW_File!I:I)</f>
        <v>22210</v>
      </c>
      <c r="G1359" s="40">
        <f>SUMIF(RAW_File!D:D,C:C,RAW_File!K:K)</f>
        <v>5000</v>
      </c>
      <c r="H1359" s="41">
        <f>SUMIF(RAW_File!D:D,C:C,RAW_File!M:M)</f>
        <v>28000</v>
      </c>
      <c r="I1359" s="40">
        <f t="shared" si="23"/>
        <v>23000</v>
      </c>
    </row>
    <row r="1360" spans="1:9" hidden="1" x14ac:dyDescent="0.25">
      <c r="A1360" s="36" t="s">
        <v>84</v>
      </c>
      <c r="B1360" s="36" t="s">
        <v>393</v>
      </c>
      <c r="C1360" s="36" t="s">
        <v>2619</v>
      </c>
      <c r="D1360" s="37">
        <f>SUMIF(RAW_File!D:D,C:C,RAW_File!F:F)</f>
        <v>984.18349999999998</v>
      </c>
      <c r="E1360" s="38">
        <f>SUMIF(RAW_File!D:D,C:C,RAW_File!G:G)</f>
        <v>10700</v>
      </c>
      <c r="F1360" s="39">
        <f>SUMIF(RAW_File!D:D,C:C,RAW_File!I:I)</f>
        <v>14985</v>
      </c>
      <c r="G1360" s="40">
        <f>SUMIF(RAW_File!D:D,C:C,RAW_File!K:K)</f>
        <v>5000</v>
      </c>
      <c r="H1360" s="41">
        <f>SUMIF(RAW_File!D:D,C:C,RAW_File!M:M)</f>
        <v>0</v>
      </c>
      <c r="I1360" s="40">
        <f t="shared" si="23"/>
        <v>5000</v>
      </c>
    </row>
    <row r="1361" spans="1:9" hidden="1" x14ac:dyDescent="0.25">
      <c r="A1361" s="36" t="s">
        <v>84</v>
      </c>
      <c r="B1361" s="36" t="s">
        <v>2640</v>
      </c>
      <c r="C1361" s="36" t="s">
        <v>2641</v>
      </c>
      <c r="D1361" s="37">
        <f>SUMIF(RAW_File!D:D,C:C,RAW_File!F:F)</f>
        <v>13815.101719252199</v>
      </c>
      <c r="E1361" s="38">
        <f>SUMIF(RAW_File!D:D,C:C,RAW_File!G:G)</f>
        <v>5250</v>
      </c>
      <c r="F1361" s="39">
        <f>SUMIF(RAW_File!D:D,C:C,RAW_File!I:I)</f>
        <v>10650</v>
      </c>
      <c r="G1361" s="40">
        <f>SUMIF(RAW_File!D:D,C:C,RAW_File!K:K)</f>
        <v>13000</v>
      </c>
      <c r="H1361" s="41">
        <f>SUMIF(RAW_File!D:D,C:C,RAW_File!M:M)</f>
        <v>0</v>
      </c>
      <c r="I1361" s="40">
        <f t="shared" si="23"/>
        <v>13000</v>
      </c>
    </row>
    <row r="1362" spans="1:9" hidden="1" x14ac:dyDescent="0.25">
      <c r="A1362" s="36" t="s">
        <v>84</v>
      </c>
      <c r="B1362" s="36" t="s">
        <v>2716</v>
      </c>
      <c r="C1362" s="36" t="s">
        <v>2717</v>
      </c>
      <c r="D1362" s="37">
        <f>SUMIF(RAW_File!D:D,C:C,RAW_File!F:F)</f>
        <v>5450.5685999999996</v>
      </c>
      <c r="E1362" s="38">
        <f>SUMIF(RAW_File!D:D,C:C,RAW_File!G:G)</f>
        <v>11250</v>
      </c>
      <c r="F1362" s="39">
        <f>SUMIF(RAW_File!D:D,C:C,RAW_File!I:I)</f>
        <v>13550</v>
      </c>
      <c r="G1362" s="40">
        <f>SUMIF(RAW_File!D:D,C:C,RAW_File!K:K)</f>
        <v>10000</v>
      </c>
      <c r="H1362" s="41">
        <f>SUMIF(RAW_File!D:D,C:C,RAW_File!M:M)</f>
        <v>0</v>
      </c>
      <c r="I1362" s="40">
        <f t="shared" si="23"/>
        <v>10000</v>
      </c>
    </row>
    <row r="1363" spans="1:9" hidden="1" x14ac:dyDescent="0.25">
      <c r="A1363" s="36" t="s">
        <v>84</v>
      </c>
      <c r="B1363" s="36" t="s">
        <v>2720</v>
      </c>
      <c r="C1363" s="36" t="s">
        <v>2721</v>
      </c>
      <c r="D1363" s="37">
        <f>SUMIF(RAW_File!D:D,C:C,RAW_File!F:F)</f>
        <v>11196.975207521</v>
      </c>
      <c r="E1363" s="38">
        <f>SUMIF(RAW_File!D:D,C:C,RAW_File!G:G)</f>
        <v>0</v>
      </c>
      <c r="F1363" s="39">
        <f>SUMIF(RAW_File!D:D,C:C,RAW_File!I:I)</f>
        <v>0</v>
      </c>
      <c r="G1363" s="40">
        <f>SUMIF(RAW_File!D:D,C:C,RAW_File!K:K)</f>
        <v>0</v>
      </c>
      <c r="H1363" s="41">
        <f>SUMIF(RAW_File!D:D,C:C,RAW_File!M:M)</f>
        <v>0</v>
      </c>
      <c r="I1363" s="40">
        <f t="shared" si="23"/>
        <v>0</v>
      </c>
    </row>
    <row r="1364" spans="1:9" hidden="1" x14ac:dyDescent="0.25">
      <c r="A1364" s="36" t="s">
        <v>84</v>
      </c>
      <c r="B1364" s="36" t="s">
        <v>2784</v>
      </c>
      <c r="C1364" s="36" t="s">
        <v>2785</v>
      </c>
      <c r="D1364" s="37">
        <f>SUMIF(RAW_File!D:D,C:C,RAW_File!F:F)</f>
        <v>5546.564316027353</v>
      </c>
      <c r="E1364" s="38">
        <f>SUMIF(RAW_File!D:D,C:C,RAW_File!G:G)</f>
        <v>1500</v>
      </c>
      <c r="F1364" s="39">
        <f>SUMIF(RAW_File!D:D,C:C,RAW_File!I:I)</f>
        <v>29114</v>
      </c>
      <c r="G1364" s="40">
        <f>SUMIF(RAW_File!D:D,C:C,RAW_File!K:K)</f>
        <v>5000</v>
      </c>
      <c r="H1364" s="41">
        <f>SUMIF(RAW_File!D:D,C:C,RAW_File!M:M)</f>
        <v>35000</v>
      </c>
      <c r="I1364" s="40">
        <f t="shared" si="23"/>
        <v>30000</v>
      </c>
    </row>
    <row r="1365" spans="1:9" hidden="1" x14ac:dyDescent="0.25">
      <c r="A1365" s="36" t="s">
        <v>84</v>
      </c>
      <c r="B1365" s="36" t="s">
        <v>2808</v>
      </c>
      <c r="C1365" s="36" t="s">
        <v>2809</v>
      </c>
      <c r="D1365" s="37">
        <f>SUMIF(RAW_File!D:D,C:C,RAW_File!F:F)</f>
        <v>6056.5021999999999</v>
      </c>
      <c r="E1365" s="38">
        <f>SUMIF(RAW_File!D:D,C:C,RAW_File!G:G)</f>
        <v>2500</v>
      </c>
      <c r="F1365" s="39">
        <f>SUMIF(RAW_File!D:D,C:C,RAW_File!I:I)</f>
        <v>5940</v>
      </c>
      <c r="G1365" s="40">
        <f>SUMIF(RAW_File!D:D,C:C,RAW_File!K:K)</f>
        <v>5000</v>
      </c>
      <c r="H1365" s="41">
        <f>SUMIF(RAW_File!D:D,C:C,RAW_File!M:M)</f>
        <v>0</v>
      </c>
      <c r="I1365" s="40">
        <f t="shared" si="23"/>
        <v>5000</v>
      </c>
    </row>
    <row r="1366" spans="1:9" hidden="1" x14ac:dyDescent="0.25">
      <c r="A1366" s="36" t="s">
        <v>84</v>
      </c>
      <c r="B1366" s="36" t="s">
        <v>2859</v>
      </c>
      <c r="C1366" s="36" t="s">
        <v>2860</v>
      </c>
      <c r="D1366" s="37">
        <f>SUMIF(RAW_File!D:D,C:C,RAW_File!F:F)</f>
        <v>10.986944771928981</v>
      </c>
      <c r="E1366" s="38">
        <f>SUMIF(RAW_File!D:D,C:C,RAW_File!G:G)</f>
        <v>1030</v>
      </c>
      <c r="F1366" s="39">
        <f>SUMIF(RAW_File!D:D,C:C,RAW_File!I:I)</f>
        <v>2030</v>
      </c>
      <c r="G1366" s="40">
        <f>SUMIF(RAW_File!D:D,C:C,RAW_File!K:K)</f>
        <v>5000</v>
      </c>
      <c r="H1366" s="41">
        <f>SUMIF(RAW_File!D:D,C:C,RAW_File!M:M)</f>
        <v>10000</v>
      </c>
      <c r="I1366" s="40">
        <f t="shared" si="23"/>
        <v>5000</v>
      </c>
    </row>
    <row r="1367" spans="1:9" hidden="1" x14ac:dyDescent="0.25">
      <c r="A1367" s="36" t="s">
        <v>84</v>
      </c>
      <c r="B1367" s="36" t="s">
        <v>2868</v>
      </c>
      <c r="C1367" s="36" t="s">
        <v>2869</v>
      </c>
      <c r="D1367" s="37">
        <f>SUMIF(RAW_File!D:D,C:C,RAW_File!F:F)</f>
        <v>4487.8159317953287</v>
      </c>
      <c r="E1367" s="38">
        <f>SUMIF(RAW_File!D:D,C:C,RAW_File!G:G)</f>
        <v>5295</v>
      </c>
      <c r="F1367" s="39">
        <f>SUMIF(RAW_File!D:D,C:C,RAW_File!I:I)</f>
        <v>90055</v>
      </c>
      <c r="G1367" s="40">
        <f>SUMIF(RAW_File!D:D,C:C,RAW_File!K:K)</f>
        <v>0</v>
      </c>
      <c r="H1367" s="41">
        <f>SUMIF(RAW_File!D:D,C:C,RAW_File!M:M)</f>
        <v>114000</v>
      </c>
      <c r="I1367" s="40">
        <f t="shared" si="23"/>
        <v>114000</v>
      </c>
    </row>
    <row r="1368" spans="1:9" hidden="1" x14ac:dyDescent="0.25">
      <c r="A1368" s="36" t="s">
        <v>84</v>
      </c>
      <c r="B1368" s="36" t="s">
        <v>2894</v>
      </c>
      <c r="C1368" s="36" t="s">
        <v>2895</v>
      </c>
      <c r="D1368" s="37">
        <f>SUMIF(RAW_File!D:D,C:C,RAW_File!F:F)</f>
        <v>253.21143453018939</v>
      </c>
      <c r="E1368" s="38">
        <f>SUMIF(RAW_File!D:D,C:C,RAW_File!G:G)</f>
        <v>5130</v>
      </c>
      <c r="F1368" s="39">
        <f>SUMIF(RAW_File!D:D,C:C,RAW_File!I:I)</f>
        <v>13462</v>
      </c>
      <c r="G1368" s="40">
        <f>SUMIF(RAW_File!D:D,C:C,RAW_File!K:K)</f>
        <v>5000</v>
      </c>
      <c r="H1368" s="41">
        <f>SUMIF(RAW_File!D:D,C:C,RAW_File!M:M)</f>
        <v>10000</v>
      </c>
      <c r="I1368" s="40">
        <f t="shared" si="23"/>
        <v>5000</v>
      </c>
    </row>
    <row r="1369" spans="1:9" hidden="1" x14ac:dyDescent="0.25">
      <c r="A1369" s="36" t="s">
        <v>84</v>
      </c>
      <c r="B1369" s="36" t="s">
        <v>2991</v>
      </c>
      <c r="C1369" s="36" t="s">
        <v>2992</v>
      </c>
      <c r="D1369" s="37">
        <f>SUMIF(RAW_File!D:D,C:C,RAW_File!F:F)</f>
        <v>4524.4545754462224</v>
      </c>
      <c r="E1369" s="38">
        <f>SUMIF(RAW_File!D:D,C:C,RAW_File!G:G)</f>
        <v>1300</v>
      </c>
      <c r="F1369" s="39">
        <f>SUMIF(RAW_File!D:D,C:C,RAW_File!I:I)</f>
        <v>10403</v>
      </c>
      <c r="G1369" s="40">
        <f>SUMIF(RAW_File!D:D,C:C,RAW_File!K:K)</f>
        <v>0</v>
      </c>
      <c r="H1369" s="41">
        <f>SUMIF(RAW_File!D:D,C:C,RAW_File!M:M)</f>
        <v>25000</v>
      </c>
      <c r="I1369" s="40">
        <f t="shared" si="23"/>
        <v>25000</v>
      </c>
    </row>
    <row r="1370" spans="1:9" hidden="1" x14ac:dyDescent="0.25">
      <c r="A1370" s="36" t="s">
        <v>84</v>
      </c>
      <c r="B1370" s="36" t="s">
        <v>3030</v>
      </c>
      <c r="C1370" s="36" t="s">
        <v>3031</v>
      </c>
      <c r="D1370" s="37">
        <f>SUMIF(RAW_File!D:D,C:C,RAW_File!F:F)</f>
        <v>2162.8238999999999</v>
      </c>
      <c r="E1370" s="38">
        <f>SUMIF(RAW_File!D:D,C:C,RAW_File!G:G)</f>
        <v>3720</v>
      </c>
      <c r="F1370" s="39">
        <f>SUMIF(RAW_File!D:D,C:C,RAW_File!I:I)</f>
        <v>24095</v>
      </c>
      <c r="G1370" s="40">
        <f>SUMIF(RAW_File!D:D,C:C,RAW_File!K:K)</f>
        <v>0</v>
      </c>
      <c r="H1370" s="41">
        <f>SUMIF(RAW_File!D:D,C:C,RAW_File!M:M)</f>
        <v>55000</v>
      </c>
      <c r="I1370" s="40">
        <f t="shared" si="23"/>
        <v>55000</v>
      </c>
    </row>
    <row r="1371" spans="1:9" hidden="1" x14ac:dyDescent="0.25">
      <c r="A1371" s="36" t="s">
        <v>84</v>
      </c>
      <c r="B1371" s="36" t="s">
        <v>3062</v>
      </c>
      <c r="C1371" s="36" t="s">
        <v>3063</v>
      </c>
      <c r="D1371" s="37">
        <f>SUMIF(RAW_File!D:D,C:C,RAW_File!F:F)</f>
        <v>862.61634788824574</v>
      </c>
      <c r="E1371" s="38">
        <f>SUMIF(RAW_File!D:D,C:C,RAW_File!G:G)</f>
        <v>3570</v>
      </c>
      <c r="F1371" s="39">
        <f>SUMIF(RAW_File!D:D,C:C,RAW_File!I:I)</f>
        <v>13070</v>
      </c>
      <c r="G1371" s="40">
        <f>SUMIF(RAW_File!D:D,C:C,RAW_File!K:K)</f>
        <v>5000</v>
      </c>
      <c r="H1371" s="41">
        <f>SUMIF(RAW_File!D:D,C:C,RAW_File!M:M)</f>
        <v>25000</v>
      </c>
      <c r="I1371" s="40">
        <f t="shared" si="23"/>
        <v>20000</v>
      </c>
    </row>
    <row r="1372" spans="1:9" hidden="1" x14ac:dyDescent="0.25">
      <c r="A1372" s="36" t="s">
        <v>84</v>
      </c>
      <c r="B1372" s="36" t="s">
        <v>3077</v>
      </c>
      <c r="C1372" s="36" t="s">
        <v>3078</v>
      </c>
      <c r="D1372" s="37">
        <f>SUMIF(RAW_File!D:D,C:C,RAW_File!F:F)</f>
        <v>7194.3175000000001</v>
      </c>
      <c r="E1372" s="38">
        <f>SUMIF(RAW_File!D:D,C:C,RAW_File!G:G)</f>
        <v>100</v>
      </c>
      <c r="F1372" s="39">
        <f>SUMIF(RAW_File!D:D,C:C,RAW_File!I:I)</f>
        <v>4000</v>
      </c>
      <c r="G1372" s="40">
        <f>SUMIF(RAW_File!D:D,C:C,RAW_File!K:K)</f>
        <v>0</v>
      </c>
      <c r="H1372" s="41">
        <f>SUMIF(RAW_File!D:D,C:C,RAW_File!M:M)</f>
        <v>15000</v>
      </c>
      <c r="I1372" s="40">
        <f t="shared" si="23"/>
        <v>15000</v>
      </c>
    </row>
    <row r="1373" spans="1:9" hidden="1" x14ac:dyDescent="0.25">
      <c r="A1373" s="36" t="s">
        <v>84</v>
      </c>
      <c r="B1373" s="36" t="s">
        <v>3169</v>
      </c>
      <c r="C1373" s="36" t="s">
        <v>3170</v>
      </c>
      <c r="D1373" s="37">
        <f>SUMIF(RAW_File!D:D,C:C,RAW_File!F:F)</f>
        <v>5938.3826369751441</v>
      </c>
      <c r="E1373" s="38">
        <f>SUMIF(RAW_File!D:D,C:C,RAW_File!G:G)</f>
        <v>0</v>
      </c>
      <c r="F1373" s="39">
        <f>SUMIF(RAW_File!D:D,C:C,RAW_File!I:I)</f>
        <v>4500</v>
      </c>
      <c r="G1373" s="40">
        <f>SUMIF(RAW_File!D:D,C:C,RAW_File!K:K)</f>
        <v>0</v>
      </c>
      <c r="H1373" s="41">
        <f>SUMIF(RAW_File!D:D,C:C,RAW_File!M:M)</f>
        <v>16000</v>
      </c>
      <c r="I1373" s="40">
        <f t="shared" si="23"/>
        <v>16000</v>
      </c>
    </row>
    <row r="1374" spans="1:9" hidden="1" x14ac:dyDescent="0.25">
      <c r="A1374" s="36" t="s">
        <v>84</v>
      </c>
      <c r="B1374" s="36" t="s">
        <v>3246</v>
      </c>
      <c r="C1374" s="36" t="s">
        <v>3247</v>
      </c>
      <c r="D1374" s="37">
        <f>SUMIF(RAW_File!D:D,C:C,RAW_File!F:F)</f>
        <v>1730.5792500504999</v>
      </c>
      <c r="E1374" s="38">
        <f>SUMIF(RAW_File!D:D,C:C,RAW_File!G:G)</f>
        <v>0</v>
      </c>
      <c r="F1374" s="39">
        <f>SUMIF(RAW_File!D:D,C:C,RAW_File!I:I)</f>
        <v>1880</v>
      </c>
      <c r="G1374" s="40">
        <f>SUMIF(RAW_File!D:D,C:C,RAW_File!K:K)</f>
        <v>0</v>
      </c>
      <c r="H1374" s="41">
        <f>SUMIF(RAW_File!D:D,C:C,RAW_File!M:M)</f>
        <v>5000</v>
      </c>
      <c r="I1374" s="40">
        <f t="shared" si="23"/>
        <v>5000</v>
      </c>
    </row>
    <row r="1375" spans="1:9" hidden="1" x14ac:dyDescent="0.25">
      <c r="A1375" s="36" t="s">
        <v>84</v>
      </c>
      <c r="B1375" s="36" t="s">
        <v>3406</v>
      </c>
      <c r="C1375" s="36" t="s">
        <v>3407</v>
      </c>
      <c r="D1375" s="37">
        <f>SUMIF(RAW_File!D:D,C:C,RAW_File!F:F)</f>
        <v>3106.9578504058081</v>
      </c>
      <c r="E1375" s="38">
        <f>SUMIF(RAW_File!D:D,C:C,RAW_File!G:G)</f>
        <v>200</v>
      </c>
      <c r="F1375" s="39">
        <f>SUMIF(RAW_File!D:D,C:C,RAW_File!I:I)</f>
        <v>9740</v>
      </c>
      <c r="G1375" s="40">
        <f>SUMIF(RAW_File!D:D,C:C,RAW_File!K:K)</f>
        <v>0</v>
      </c>
      <c r="H1375" s="41">
        <f>SUMIF(RAW_File!D:D,C:C,RAW_File!M:M)</f>
        <v>10000</v>
      </c>
      <c r="I1375" s="40">
        <f t="shared" si="23"/>
        <v>10000</v>
      </c>
    </row>
    <row r="1376" spans="1:9" hidden="1" x14ac:dyDescent="0.25">
      <c r="A1376" s="36" t="s">
        <v>84</v>
      </c>
      <c r="B1376" s="36" t="s">
        <v>3530</v>
      </c>
      <c r="C1376" s="36" t="s">
        <v>3531</v>
      </c>
      <c r="D1376" s="37">
        <f>SUMIF(RAW_File!D:D,C:C,RAW_File!F:F)</f>
        <v>4220.5757999999996</v>
      </c>
      <c r="E1376" s="38">
        <f>SUMIF(RAW_File!D:D,C:C,RAW_File!G:G)</f>
        <v>800</v>
      </c>
      <c r="F1376" s="39">
        <f>SUMIF(RAW_File!D:D,C:C,RAW_File!I:I)</f>
        <v>800</v>
      </c>
      <c r="G1376" s="40">
        <f>SUMIF(RAW_File!D:D,C:C,RAW_File!K:K)</f>
        <v>5000</v>
      </c>
      <c r="H1376" s="41">
        <f>SUMIF(RAW_File!D:D,C:C,RAW_File!M:M)</f>
        <v>0</v>
      </c>
      <c r="I1376" s="40">
        <f t="shared" si="23"/>
        <v>5000</v>
      </c>
    </row>
    <row r="1377" spans="1:9" hidden="1" x14ac:dyDescent="0.25">
      <c r="A1377" s="36" t="s">
        <v>71</v>
      </c>
      <c r="B1377" s="36" t="s">
        <v>217</v>
      </c>
      <c r="C1377" s="36" t="s">
        <v>218</v>
      </c>
      <c r="D1377" s="37">
        <f>SUMIF(RAW_File!D:D,C:C,RAW_File!F:F)</f>
        <v>4.8179040861872418</v>
      </c>
      <c r="E1377" s="38">
        <f>SUMIF(RAW_File!D:D,C:C,RAW_File!G:G)</f>
        <v>0</v>
      </c>
      <c r="F1377" s="39">
        <f>SUMIF(RAW_File!D:D,C:C,RAW_File!I:I)</f>
        <v>0</v>
      </c>
      <c r="G1377" s="40">
        <f>SUMIF(RAW_File!D:D,C:C,RAW_File!K:K)</f>
        <v>0</v>
      </c>
      <c r="H1377" s="41">
        <f>SUMIF(RAW_File!D:D,C:C,RAW_File!M:M)</f>
        <v>0</v>
      </c>
      <c r="I1377" s="40">
        <f t="shared" si="23"/>
        <v>0</v>
      </c>
    </row>
    <row r="1378" spans="1:9" hidden="1" x14ac:dyDescent="0.25">
      <c r="A1378" s="36" t="s">
        <v>71</v>
      </c>
      <c r="B1378" s="36" t="s">
        <v>231</v>
      </c>
      <c r="C1378" s="36" t="s">
        <v>232</v>
      </c>
      <c r="D1378" s="37">
        <f>SUMIF(RAW_File!D:D,C:C,RAW_File!F:F)</f>
        <v>0.66503482163446237</v>
      </c>
      <c r="E1378" s="38">
        <f>SUMIF(RAW_File!D:D,C:C,RAW_File!G:G)</f>
        <v>0</v>
      </c>
      <c r="F1378" s="39">
        <f>SUMIF(RAW_File!D:D,C:C,RAW_File!I:I)</f>
        <v>0</v>
      </c>
      <c r="G1378" s="40">
        <f>SUMIF(RAW_File!D:D,C:C,RAW_File!K:K)</f>
        <v>0</v>
      </c>
      <c r="H1378" s="41">
        <f>SUMIF(RAW_File!D:D,C:C,RAW_File!M:M)</f>
        <v>0</v>
      </c>
      <c r="I1378" s="40">
        <f t="shared" si="23"/>
        <v>0</v>
      </c>
    </row>
    <row r="1379" spans="1:9" hidden="1" x14ac:dyDescent="0.25">
      <c r="A1379" s="36" t="s">
        <v>71</v>
      </c>
      <c r="B1379" s="36" t="s">
        <v>352</v>
      </c>
      <c r="C1379" s="36" t="s">
        <v>353</v>
      </c>
      <c r="D1379" s="37">
        <f>SUMIF(RAW_File!D:D,C:C,RAW_File!F:F)</f>
        <v>8.4363608694999996</v>
      </c>
      <c r="E1379" s="38">
        <f>SUMIF(RAW_File!D:D,C:C,RAW_File!G:G)</f>
        <v>0</v>
      </c>
      <c r="F1379" s="39">
        <f>SUMIF(RAW_File!D:D,C:C,RAW_File!I:I)</f>
        <v>630</v>
      </c>
      <c r="G1379" s="40">
        <f>SUMIF(RAW_File!D:D,C:C,RAW_File!K:K)</f>
        <v>0</v>
      </c>
      <c r="H1379" s="41">
        <f>SUMIF(RAW_File!D:D,C:C,RAW_File!M:M)</f>
        <v>10000</v>
      </c>
      <c r="I1379" s="40">
        <f t="shared" si="23"/>
        <v>10000</v>
      </c>
    </row>
    <row r="1380" spans="1:9" hidden="1" x14ac:dyDescent="0.25">
      <c r="A1380" s="36" t="s">
        <v>71</v>
      </c>
      <c r="B1380" s="36" t="s">
        <v>476</v>
      </c>
      <c r="C1380" s="36" t="s">
        <v>477</v>
      </c>
      <c r="D1380" s="37">
        <f>SUMIF(RAW_File!D:D,C:C,RAW_File!F:F)</f>
        <v>8736.0738500000007</v>
      </c>
      <c r="E1380" s="38">
        <f>SUMIF(RAW_File!D:D,C:C,RAW_File!G:G)</f>
        <v>0</v>
      </c>
      <c r="F1380" s="39">
        <f>SUMIF(RAW_File!D:D,C:C,RAW_File!I:I)</f>
        <v>2690</v>
      </c>
      <c r="G1380" s="40">
        <f>SUMIF(RAW_File!D:D,C:C,RAW_File!K:K)</f>
        <v>6000</v>
      </c>
      <c r="H1380" s="41">
        <f>SUMIF(RAW_File!D:D,C:C,RAW_File!M:M)</f>
        <v>0</v>
      </c>
      <c r="I1380" s="40">
        <f t="shared" si="23"/>
        <v>6000</v>
      </c>
    </row>
    <row r="1381" spans="1:9" hidden="1" x14ac:dyDescent="0.25">
      <c r="A1381" s="36" t="s">
        <v>71</v>
      </c>
      <c r="B1381" s="36" t="s">
        <v>677</v>
      </c>
      <c r="C1381" s="36" t="s">
        <v>678</v>
      </c>
      <c r="D1381" s="37">
        <f>SUMIF(RAW_File!D:D,C:C,RAW_File!F:F)</f>
        <v>134.74359999999999</v>
      </c>
      <c r="E1381" s="38">
        <f>SUMIF(RAW_File!D:D,C:C,RAW_File!G:G)</f>
        <v>2050</v>
      </c>
      <c r="F1381" s="39">
        <f>SUMIF(RAW_File!D:D,C:C,RAW_File!I:I)</f>
        <v>9050</v>
      </c>
      <c r="G1381" s="40">
        <f>SUMIF(RAW_File!D:D,C:C,RAW_File!K:K)</f>
        <v>5000</v>
      </c>
      <c r="H1381" s="41">
        <f>SUMIF(RAW_File!D:D,C:C,RAW_File!M:M)</f>
        <v>10000</v>
      </c>
      <c r="I1381" s="40">
        <f t="shared" si="23"/>
        <v>5000</v>
      </c>
    </row>
    <row r="1382" spans="1:9" hidden="1" x14ac:dyDescent="0.25">
      <c r="A1382" s="36" t="s">
        <v>71</v>
      </c>
      <c r="B1382" s="36" t="s">
        <v>707</v>
      </c>
      <c r="C1382" s="36" t="s">
        <v>708</v>
      </c>
      <c r="D1382" s="37">
        <f>SUMIF(RAW_File!D:D,C:C,RAW_File!F:F)</f>
        <v>49.298795383740533</v>
      </c>
      <c r="E1382" s="38">
        <f>SUMIF(RAW_File!D:D,C:C,RAW_File!G:G)</f>
        <v>0</v>
      </c>
      <c r="F1382" s="39">
        <f>SUMIF(RAW_File!D:D,C:C,RAW_File!I:I)</f>
        <v>0</v>
      </c>
      <c r="G1382" s="40">
        <f>SUMIF(RAW_File!D:D,C:C,RAW_File!K:K)</f>
        <v>0</v>
      </c>
      <c r="H1382" s="41">
        <f>SUMIF(RAW_File!D:D,C:C,RAW_File!M:M)</f>
        <v>0</v>
      </c>
      <c r="I1382" s="40">
        <f t="shared" si="23"/>
        <v>0</v>
      </c>
    </row>
    <row r="1383" spans="1:9" hidden="1" x14ac:dyDescent="0.25">
      <c r="A1383" s="36" t="s">
        <v>71</v>
      </c>
      <c r="B1383" s="36" t="s">
        <v>901</v>
      </c>
      <c r="C1383" s="36" t="s">
        <v>902</v>
      </c>
      <c r="D1383" s="37">
        <f>SUMIF(RAW_File!D:D,C:C,RAW_File!F:F)</f>
        <v>6.6529157773006196</v>
      </c>
      <c r="E1383" s="38">
        <f>SUMIF(RAW_File!D:D,C:C,RAW_File!G:G)</f>
        <v>3035</v>
      </c>
      <c r="F1383" s="39">
        <f>SUMIF(RAW_File!D:D,C:C,RAW_File!I:I)</f>
        <v>8230</v>
      </c>
      <c r="G1383" s="40">
        <f>SUMIF(RAW_File!D:D,C:C,RAW_File!K:K)</f>
        <v>0</v>
      </c>
      <c r="H1383" s="41">
        <f>SUMIF(RAW_File!D:D,C:C,RAW_File!M:M)</f>
        <v>10000</v>
      </c>
      <c r="I1383" s="40">
        <f t="shared" si="23"/>
        <v>10000</v>
      </c>
    </row>
    <row r="1384" spans="1:9" hidden="1" x14ac:dyDescent="0.25">
      <c r="A1384" s="36" t="s">
        <v>71</v>
      </c>
      <c r="B1384" s="36" t="s">
        <v>987</v>
      </c>
      <c r="C1384" s="36" t="s">
        <v>988</v>
      </c>
      <c r="D1384" s="37">
        <f>SUMIF(RAW_File!D:D,C:C,RAW_File!F:F)</f>
        <v>1245.7513824518601</v>
      </c>
      <c r="E1384" s="38">
        <f>SUMIF(RAW_File!D:D,C:C,RAW_File!G:G)</f>
        <v>13690</v>
      </c>
      <c r="F1384" s="39">
        <f>SUMIF(RAW_File!D:D,C:C,RAW_File!I:I)</f>
        <v>16555</v>
      </c>
      <c r="G1384" s="40">
        <f>SUMIF(RAW_File!D:D,C:C,RAW_File!K:K)</f>
        <v>8000</v>
      </c>
      <c r="H1384" s="41">
        <f>SUMIF(RAW_File!D:D,C:C,RAW_File!M:M)</f>
        <v>0</v>
      </c>
      <c r="I1384" s="40">
        <f t="shared" si="23"/>
        <v>8000</v>
      </c>
    </row>
    <row r="1385" spans="1:9" hidden="1" x14ac:dyDescent="0.25">
      <c r="A1385" s="36" t="s">
        <v>71</v>
      </c>
      <c r="B1385" s="36" t="s">
        <v>1110</v>
      </c>
      <c r="C1385" s="36" t="s">
        <v>1111</v>
      </c>
      <c r="D1385" s="37">
        <f>SUMIF(RAW_File!D:D,C:C,RAW_File!F:F)</f>
        <v>31.383846229432478</v>
      </c>
      <c r="E1385" s="38">
        <f>SUMIF(RAW_File!D:D,C:C,RAW_File!G:G)</f>
        <v>0</v>
      </c>
      <c r="F1385" s="39">
        <f>SUMIF(RAW_File!D:D,C:C,RAW_File!I:I)</f>
        <v>0</v>
      </c>
      <c r="G1385" s="40">
        <f>SUMIF(RAW_File!D:D,C:C,RAW_File!K:K)</f>
        <v>0</v>
      </c>
      <c r="H1385" s="41">
        <f>SUMIF(RAW_File!D:D,C:C,RAW_File!M:M)</f>
        <v>0</v>
      </c>
      <c r="I1385" s="40">
        <f t="shared" si="23"/>
        <v>0</v>
      </c>
    </row>
    <row r="1386" spans="1:9" hidden="1" x14ac:dyDescent="0.25">
      <c r="A1386" s="36" t="s">
        <v>71</v>
      </c>
      <c r="B1386" s="36" t="s">
        <v>1122</v>
      </c>
      <c r="C1386" s="36" t="s">
        <v>1123</v>
      </c>
      <c r="D1386" s="37">
        <f>SUMIF(RAW_File!D:D,C:C,RAW_File!F:F)</f>
        <v>6953.5216367133717</v>
      </c>
      <c r="E1386" s="38">
        <f>SUMIF(RAW_File!D:D,C:C,RAW_File!G:G)</f>
        <v>0</v>
      </c>
      <c r="F1386" s="39">
        <f>SUMIF(RAW_File!D:D,C:C,RAW_File!I:I)</f>
        <v>0</v>
      </c>
      <c r="G1386" s="40">
        <f>SUMIF(RAW_File!D:D,C:C,RAW_File!K:K)</f>
        <v>5000</v>
      </c>
      <c r="H1386" s="41">
        <f>SUMIF(RAW_File!D:D,C:C,RAW_File!M:M)</f>
        <v>0</v>
      </c>
      <c r="I1386" s="40">
        <f t="shared" si="23"/>
        <v>5000</v>
      </c>
    </row>
    <row r="1387" spans="1:9" hidden="1" x14ac:dyDescent="0.25">
      <c r="A1387" s="36" t="s">
        <v>71</v>
      </c>
      <c r="B1387" s="36" t="s">
        <v>1218</v>
      </c>
      <c r="C1387" s="36" t="s">
        <v>1219</v>
      </c>
      <c r="D1387" s="37">
        <f>SUMIF(RAW_File!D:D,C:C,RAW_File!F:F)</f>
        <v>58.547685000000001</v>
      </c>
      <c r="E1387" s="38">
        <f>SUMIF(RAW_File!D:D,C:C,RAW_File!G:G)</f>
        <v>0</v>
      </c>
      <c r="F1387" s="39">
        <f>SUMIF(RAW_File!D:D,C:C,RAW_File!I:I)</f>
        <v>6022</v>
      </c>
      <c r="G1387" s="40">
        <f>SUMIF(RAW_File!D:D,C:C,RAW_File!K:K)</f>
        <v>0</v>
      </c>
      <c r="H1387" s="41">
        <f>SUMIF(RAW_File!D:D,C:C,RAW_File!M:M)</f>
        <v>10000</v>
      </c>
      <c r="I1387" s="40">
        <f t="shared" si="23"/>
        <v>10000</v>
      </c>
    </row>
    <row r="1388" spans="1:9" hidden="1" x14ac:dyDescent="0.25">
      <c r="A1388" s="36" t="s">
        <v>71</v>
      </c>
      <c r="B1388" s="36" t="s">
        <v>1277</v>
      </c>
      <c r="C1388" s="36" t="s">
        <v>1278</v>
      </c>
      <c r="D1388" s="37">
        <f>SUMIF(RAW_File!D:D,C:C,RAW_File!F:F)</f>
        <v>26865.402546648289</v>
      </c>
      <c r="E1388" s="38">
        <f>SUMIF(RAW_File!D:D,C:C,RAW_File!G:G)</f>
        <v>4450</v>
      </c>
      <c r="F1388" s="39">
        <f>SUMIF(RAW_File!D:D,C:C,RAW_File!I:I)</f>
        <v>18110</v>
      </c>
      <c r="G1388" s="40">
        <f>SUMIF(RAW_File!D:D,C:C,RAW_File!K:K)</f>
        <v>0</v>
      </c>
      <c r="H1388" s="41">
        <f>SUMIF(RAW_File!D:D,C:C,RAW_File!M:M)</f>
        <v>10000</v>
      </c>
      <c r="I1388" s="40">
        <f t="shared" si="23"/>
        <v>10000</v>
      </c>
    </row>
    <row r="1389" spans="1:9" hidden="1" x14ac:dyDescent="0.25">
      <c r="A1389" s="36" t="s">
        <v>71</v>
      </c>
      <c r="B1389" s="36" t="s">
        <v>1497</v>
      </c>
      <c r="C1389" s="36" t="s">
        <v>1498</v>
      </c>
      <c r="D1389" s="37">
        <f>SUMIF(RAW_File!D:D,C:C,RAW_File!F:F)</f>
        <v>4649.1729500000001</v>
      </c>
      <c r="E1389" s="38">
        <f>SUMIF(RAW_File!D:D,C:C,RAW_File!G:G)</f>
        <v>6100</v>
      </c>
      <c r="F1389" s="39">
        <f>SUMIF(RAW_File!D:D,C:C,RAW_File!I:I)</f>
        <v>6100</v>
      </c>
      <c r="G1389" s="40">
        <f>SUMIF(RAW_File!D:D,C:C,RAW_File!K:K)</f>
        <v>6000</v>
      </c>
      <c r="H1389" s="41">
        <f>SUMIF(RAW_File!D:D,C:C,RAW_File!M:M)</f>
        <v>0</v>
      </c>
      <c r="I1389" s="40">
        <f t="shared" si="23"/>
        <v>6000</v>
      </c>
    </row>
    <row r="1390" spans="1:9" hidden="1" x14ac:dyDescent="0.25">
      <c r="A1390" s="36" t="s">
        <v>71</v>
      </c>
      <c r="B1390" s="36" t="s">
        <v>1514</v>
      </c>
      <c r="C1390" s="36" t="s">
        <v>1515</v>
      </c>
      <c r="D1390" s="37">
        <f>SUMIF(RAW_File!D:D,C:C,RAW_File!F:F)</f>
        <v>12232.075077917791</v>
      </c>
      <c r="E1390" s="38">
        <f>SUMIF(RAW_File!D:D,C:C,RAW_File!G:G)</f>
        <v>0</v>
      </c>
      <c r="F1390" s="39">
        <f>SUMIF(RAW_File!D:D,C:C,RAW_File!I:I)</f>
        <v>20540</v>
      </c>
      <c r="G1390" s="40">
        <f>SUMIF(RAW_File!D:D,C:C,RAW_File!K:K)</f>
        <v>5000</v>
      </c>
      <c r="H1390" s="41">
        <f>SUMIF(RAW_File!D:D,C:C,RAW_File!M:M)</f>
        <v>35000</v>
      </c>
      <c r="I1390" s="40">
        <f t="shared" si="23"/>
        <v>30000</v>
      </c>
    </row>
    <row r="1391" spans="1:9" hidden="1" x14ac:dyDescent="0.25">
      <c r="A1391" s="36" t="s">
        <v>71</v>
      </c>
      <c r="B1391" s="36" t="s">
        <v>1591</v>
      </c>
      <c r="C1391" s="36" t="s">
        <v>1592</v>
      </c>
      <c r="D1391" s="37">
        <f>SUMIF(RAW_File!D:D,C:C,RAW_File!F:F)</f>
        <v>32978.1708</v>
      </c>
      <c r="E1391" s="38">
        <f>SUMIF(RAW_File!D:D,C:C,RAW_File!G:G)</f>
        <v>3715</v>
      </c>
      <c r="F1391" s="39">
        <f>SUMIF(RAW_File!D:D,C:C,RAW_File!I:I)</f>
        <v>17785</v>
      </c>
      <c r="G1391" s="40">
        <f>SUMIF(RAW_File!D:D,C:C,RAW_File!K:K)</f>
        <v>20000</v>
      </c>
      <c r="H1391" s="41">
        <f>SUMIF(RAW_File!D:D,C:C,RAW_File!M:M)</f>
        <v>0</v>
      </c>
      <c r="I1391" s="40">
        <f t="shared" si="23"/>
        <v>20000</v>
      </c>
    </row>
    <row r="1392" spans="1:9" hidden="1" x14ac:dyDescent="0.25">
      <c r="A1392" s="36" t="s">
        <v>71</v>
      </c>
      <c r="B1392" s="36" t="s">
        <v>1652</v>
      </c>
      <c r="C1392" s="36" t="s">
        <v>1653</v>
      </c>
      <c r="D1392" s="37">
        <f>SUMIF(RAW_File!D:D,C:C,RAW_File!F:F)</f>
        <v>2064.8532858694998</v>
      </c>
      <c r="E1392" s="38">
        <f>SUMIF(RAW_File!D:D,C:C,RAW_File!G:G)</f>
        <v>6500</v>
      </c>
      <c r="F1392" s="39">
        <f>SUMIF(RAW_File!D:D,C:C,RAW_File!I:I)</f>
        <v>7290</v>
      </c>
      <c r="G1392" s="40">
        <f>SUMIF(RAW_File!D:D,C:C,RAW_File!K:K)</f>
        <v>5000</v>
      </c>
      <c r="H1392" s="41">
        <f>SUMIF(RAW_File!D:D,C:C,RAW_File!M:M)</f>
        <v>0</v>
      </c>
      <c r="I1392" s="40">
        <f t="shared" si="23"/>
        <v>5000</v>
      </c>
    </row>
    <row r="1393" spans="1:9" hidden="1" x14ac:dyDescent="0.25">
      <c r="A1393" s="36" t="s">
        <v>71</v>
      </c>
      <c r="B1393" s="36" t="s">
        <v>1674</v>
      </c>
      <c r="C1393" s="36" t="s">
        <v>1675</v>
      </c>
      <c r="D1393" s="37">
        <f>SUMIF(RAW_File!D:D,C:C,RAW_File!F:F)</f>
        <v>5.6529499999999997</v>
      </c>
      <c r="E1393" s="38">
        <f>SUMIF(RAW_File!D:D,C:C,RAW_File!G:G)</f>
        <v>0</v>
      </c>
      <c r="F1393" s="39">
        <f>SUMIF(RAW_File!D:D,C:C,RAW_File!I:I)</f>
        <v>0</v>
      </c>
      <c r="G1393" s="40">
        <f>SUMIF(RAW_File!D:D,C:C,RAW_File!K:K)</f>
        <v>0</v>
      </c>
      <c r="H1393" s="41">
        <f>SUMIF(RAW_File!D:D,C:C,RAW_File!M:M)</f>
        <v>0</v>
      </c>
      <c r="I1393" s="40">
        <f t="shared" si="23"/>
        <v>0</v>
      </c>
    </row>
    <row r="1394" spans="1:9" hidden="1" x14ac:dyDescent="0.25">
      <c r="A1394" s="36" t="s">
        <v>71</v>
      </c>
      <c r="B1394" s="36" t="s">
        <v>1680</v>
      </c>
      <c r="C1394" s="36" t="s">
        <v>1681</v>
      </c>
      <c r="D1394" s="37">
        <f>SUMIF(RAW_File!D:D,C:C,RAW_File!F:F)</f>
        <v>50171.811034918028</v>
      </c>
      <c r="E1394" s="38">
        <f>SUMIF(RAW_File!D:D,C:C,RAW_File!G:G)</f>
        <v>9270</v>
      </c>
      <c r="F1394" s="39">
        <f>SUMIF(RAW_File!D:D,C:C,RAW_File!I:I)</f>
        <v>32990</v>
      </c>
      <c r="G1394" s="40">
        <f>SUMIF(RAW_File!D:D,C:C,RAW_File!K:K)</f>
        <v>5000</v>
      </c>
      <c r="H1394" s="41">
        <f>SUMIF(RAW_File!D:D,C:C,RAW_File!M:M)</f>
        <v>30000</v>
      </c>
      <c r="I1394" s="40">
        <f t="shared" si="23"/>
        <v>25000</v>
      </c>
    </row>
    <row r="1395" spans="1:9" hidden="1" x14ac:dyDescent="0.25">
      <c r="A1395" s="36" t="s">
        <v>71</v>
      </c>
      <c r="B1395" s="36" t="s">
        <v>1780</v>
      </c>
      <c r="C1395" s="36" t="s">
        <v>1781</v>
      </c>
      <c r="D1395" s="37">
        <f>SUMIF(RAW_File!D:D,C:C,RAW_File!F:F)</f>
        <v>345.38659999999999</v>
      </c>
      <c r="E1395" s="38">
        <f>SUMIF(RAW_File!D:D,C:C,RAW_File!G:G)</f>
        <v>450</v>
      </c>
      <c r="F1395" s="39">
        <f>SUMIF(RAW_File!D:D,C:C,RAW_File!I:I)</f>
        <v>450</v>
      </c>
      <c r="G1395" s="40">
        <f>SUMIF(RAW_File!D:D,C:C,RAW_File!K:K)</f>
        <v>0</v>
      </c>
      <c r="H1395" s="41">
        <f>SUMIF(RAW_File!D:D,C:C,RAW_File!M:M)</f>
        <v>17000</v>
      </c>
      <c r="I1395" s="40">
        <f t="shared" si="23"/>
        <v>17000</v>
      </c>
    </row>
    <row r="1396" spans="1:9" hidden="1" x14ac:dyDescent="0.25">
      <c r="A1396" s="36" t="s">
        <v>71</v>
      </c>
      <c r="B1396" s="36" t="s">
        <v>1861</v>
      </c>
      <c r="C1396" s="36" t="s">
        <v>1862</v>
      </c>
      <c r="D1396" s="37">
        <f>SUMIF(RAW_File!D:D,C:C,RAW_File!F:F)</f>
        <v>26165.977999999999</v>
      </c>
      <c r="E1396" s="38">
        <f>SUMIF(RAW_File!D:D,C:C,RAW_File!G:G)</f>
        <v>4530</v>
      </c>
      <c r="F1396" s="39">
        <f>SUMIF(RAW_File!D:D,C:C,RAW_File!I:I)</f>
        <v>4530</v>
      </c>
      <c r="G1396" s="40">
        <f>SUMIF(RAW_File!D:D,C:C,RAW_File!K:K)</f>
        <v>5000</v>
      </c>
      <c r="H1396" s="41">
        <f>SUMIF(RAW_File!D:D,C:C,RAW_File!M:M)</f>
        <v>0</v>
      </c>
      <c r="I1396" s="40">
        <f t="shared" si="23"/>
        <v>5000</v>
      </c>
    </row>
    <row r="1397" spans="1:9" hidden="1" x14ac:dyDescent="0.25">
      <c r="A1397" s="36" t="s">
        <v>71</v>
      </c>
      <c r="B1397" s="36" t="s">
        <v>1947</v>
      </c>
      <c r="C1397" s="36" t="s">
        <v>1948</v>
      </c>
      <c r="D1397" s="37">
        <f>SUMIF(RAW_File!D:D,C:C,RAW_File!F:F)</f>
        <v>5448.5019000000002</v>
      </c>
      <c r="E1397" s="38">
        <f>SUMIF(RAW_File!D:D,C:C,RAW_File!G:G)</f>
        <v>0</v>
      </c>
      <c r="F1397" s="39">
        <f>SUMIF(RAW_File!D:D,C:C,RAW_File!I:I)</f>
        <v>0</v>
      </c>
      <c r="G1397" s="40">
        <f>SUMIF(RAW_File!D:D,C:C,RAW_File!K:K)</f>
        <v>5000</v>
      </c>
      <c r="H1397" s="41">
        <f>SUMIF(RAW_File!D:D,C:C,RAW_File!M:M)</f>
        <v>0</v>
      </c>
      <c r="I1397" s="40">
        <f t="shared" si="23"/>
        <v>5000</v>
      </c>
    </row>
    <row r="1398" spans="1:9" hidden="1" x14ac:dyDescent="0.25">
      <c r="A1398" s="36" t="s">
        <v>71</v>
      </c>
      <c r="B1398" s="36" t="s">
        <v>2166</v>
      </c>
      <c r="C1398" s="36" t="s">
        <v>2167</v>
      </c>
      <c r="D1398" s="37">
        <f>SUMIF(RAW_File!D:D,C:C,RAW_File!F:F)</f>
        <v>7169.0685999999996</v>
      </c>
      <c r="E1398" s="38">
        <f>SUMIF(RAW_File!D:D,C:C,RAW_File!G:G)</f>
        <v>1110</v>
      </c>
      <c r="F1398" s="39">
        <f>SUMIF(RAW_File!D:D,C:C,RAW_File!I:I)</f>
        <v>1110</v>
      </c>
      <c r="G1398" s="40">
        <f>SUMIF(RAW_File!D:D,C:C,RAW_File!K:K)</f>
        <v>5000</v>
      </c>
      <c r="H1398" s="41">
        <f>SUMIF(RAW_File!D:D,C:C,RAW_File!M:M)</f>
        <v>0</v>
      </c>
      <c r="I1398" s="40">
        <f t="shared" si="23"/>
        <v>5000</v>
      </c>
    </row>
    <row r="1399" spans="1:9" hidden="1" x14ac:dyDescent="0.25">
      <c r="A1399" s="36" t="s">
        <v>71</v>
      </c>
      <c r="B1399" s="36" t="s">
        <v>2239</v>
      </c>
      <c r="C1399" s="36" t="s">
        <v>2240</v>
      </c>
      <c r="D1399" s="37">
        <f>SUMIF(RAW_File!D:D,C:C,RAW_File!F:F)</f>
        <v>357.69860652170001</v>
      </c>
      <c r="E1399" s="38">
        <f>SUMIF(RAW_File!D:D,C:C,RAW_File!G:G)</f>
        <v>330</v>
      </c>
      <c r="F1399" s="39">
        <f>SUMIF(RAW_File!D:D,C:C,RAW_File!I:I)</f>
        <v>7095</v>
      </c>
      <c r="G1399" s="40">
        <f>SUMIF(RAW_File!D:D,C:C,RAW_File!K:K)</f>
        <v>0</v>
      </c>
      <c r="H1399" s="41">
        <f>SUMIF(RAW_File!D:D,C:C,RAW_File!M:M)</f>
        <v>13000</v>
      </c>
      <c r="I1399" s="40">
        <f t="shared" si="23"/>
        <v>13000</v>
      </c>
    </row>
    <row r="1400" spans="1:9" hidden="1" x14ac:dyDescent="0.25">
      <c r="A1400" s="36" t="s">
        <v>71</v>
      </c>
      <c r="B1400" s="36" t="s">
        <v>2296</v>
      </c>
      <c r="C1400" s="36" t="s">
        <v>2297</v>
      </c>
      <c r="D1400" s="37">
        <f>SUMIF(RAW_File!D:D,C:C,RAW_File!F:F)</f>
        <v>375.92409316083251</v>
      </c>
      <c r="E1400" s="38">
        <f>SUMIF(RAW_File!D:D,C:C,RAW_File!G:G)</f>
        <v>0</v>
      </c>
      <c r="F1400" s="39">
        <f>SUMIF(RAW_File!D:D,C:C,RAW_File!I:I)</f>
        <v>10004</v>
      </c>
      <c r="G1400" s="40">
        <f>SUMIF(RAW_File!D:D,C:C,RAW_File!K:K)</f>
        <v>0</v>
      </c>
      <c r="H1400" s="41">
        <f>SUMIF(RAW_File!D:D,C:C,RAW_File!M:M)</f>
        <v>10000</v>
      </c>
      <c r="I1400" s="40">
        <f t="shared" si="23"/>
        <v>10000</v>
      </c>
    </row>
    <row r="1401" spans="1:9" hidden="1" x14ac:dyDescent="0.25">
      <c r="A1401" s="36" t="s">
        <v>71</v>
      </c>
      <c r="B1401" s="36" t="s">
        <v>2411</v>
      </c>
      <c r="C1401" s="36" t="s">
        <v>2412</v>
      </c>
      <c r="D1401" s="37">
        <f>SUMIF(RAW_File!D:D,C:C,RAW_File!F:F)</f>
        <v>488.64573806862438</v>
      </c>
      <c r="E1401" s="38">
        <f>SUMIF(RAW_File!D:D,C:C,RAW_File!G:G)</f>
        <v>9520</v>
      </c>
      <c r="F1401" s="39">
        <f>SUMIF(RAW_File!D:D,C:C,RAW_File!I:I)</f>
        <v>11170</v>
      </c>
      <c r="G1401" s="40">
        <f>SUMIF(RAW_File!D:D,C:C,RAW_File!K:K)</f>
        <v>5000</v>
      </c>
      <c r="H1401" s="41">
        <f>SUMIF(RAW_File!D:D,C:C,RAW_File!M:M)</f>
        <v>0</v>
      </c>
      <c r="I1401" s="40">
        <f t="shared" si="23"/>
        <v>5000</v>
      </c>
    </row>
    <row r="1402" spans="1:9" hidden="1" x14ac:dyDescent="0.25">
      <c r="A1402" s="36" t="s">
        <v>71</v>
      </c>
      <c r="B1402" s="36" t="s">
        <v>2467</v>
      </c>
      <c r="C1402" s="36" t="s">
        <v>2468</v>
      </c>
      <c r="D1402" s="37">
        <f>SUMIF(RAW_File!D:D,C:C,RAW_File!F:F)</f>
        <v>3839.7208875044998</v>
      </c>
      <c r="E1402" s="38">
        <f>SUMIF(RAW_File!D:D,C:C,RAW_File!G:G)</f>
        <v>2025</v>
      </c>
      <c r="F1402" s="39">
        <f>SUMIF(RAW_File!D:D,C:C,RAW_File!I:I)</f>
        <v>3125</v>
      </c>
      <c r="G1402" s="40">
        <f>SUMIF(RAW_File!D:D,C:C,RAW_File!K:K)</f>
        <v>4000</v>
      </c>
      <c r="H1402" s="41">
        <f>SUMIF(RAW_File!D:D,C:C,RAW_File!M:M)</f>
        <v>0</v>
      </c>
      <c r="I1402" s="40">
        <f t="shared" si="23"/>
        <v>4000</v>
      </c>
    </row>
    <row r="1403" spans="1:9" hidden="1" x14ac:dyDescent="0.25">
      <c r="A1403" s="36" t="s">
        <v>71</v>
      </c>
      <c r="B1403" s="36" t="s">
        <v>2471</v>
      </c>
      <c r="C1403" s="36" t="s">
        <v>2472</v>
      </c>
      <c r="D1403" s="37">
        <f>SUMIF(RAW_File!D:D,C:C,RAW_File!F:F)</f>
        <v>4241.4575500000001</v>
      </c>
      <c r="E1403" s="38">
        <f>SUMIF(RAW_File!D:D,C:C,RAW_File!G:G)</f>
        <v>2550</v>
      </c>
      <c r="F1403" s="39">
        <f>SUMIF(RAW_File!D:D,C:C,RAW_File!I:I)</f>
        <v>10345</v>
      </c>
      <c r="G1403" s="40">
        <f>SUMIF(RAW_File!D:D,C:C,RAW_File!K:K)</f>
        <v>5000</v>
      </c>
      <c r="H1403" s="41">
        <f>SUMIF(RAW_File!D:D,C:C,RAW_File!M:M)</f>
        <v>0</v>
      </c>
      <c r="I1403" s="40">
        <f t="shared" si="23"/>
        <v>5000</v>
      </c>
    </row>
    <row r="1404" spans="1:9" hidden="1" x14ac:dyDescent="0.25">
      <c r="A1404" s="36" t="s">
        <v>71</v>
      </c>
      <c r="B1404" s="36" t="s">
        <v>2679</v>
      </c>
      <c r="C1404" s="36" t="s">
        <v>2680</v>
      </c>
      <c r="D1404" s="37">
        <f>SUMIF(RAW_File!D:D,C:C,RAW_File!F:F)</f>
        <v>291.75970000000001</v>
      </c>
      <c r="E1404" s="38">
        <f>SUMIF(RAW_File!D:D,C:C,RAW_File!G:G)</f>
        <v>1100</v>
      </c>
      <c r="F1404" s="39">
        <f>SUMIF(RAW_File!D:D,C:C,RAW_File!I:I)</f>
        <v>1600</v>
      </c>
      <c r="G1404" s="40">
        <f>SUMIF(RAW_File!D:D,C:C,RAW_File!K:K)</f>
        <v>0</v>
      </c>
      <c r="H1404" s="41">
        <f>SUMIF(RAW_File!D:D,C:C,RAW_File!M:M)</f>
        <v>5000</v>
      </c>
      <c r="I1404" s="40">
        <f t="shared" si="23"/>
        <v>5000</v>
      </c>
    </row>
    <row r="1405" spans="1:9" hidden="1" x14ac:dyDescent="0.25">
      <c r="A1405" s="36" t="s">
        <v>71</v>
      </c>
      <c r="B1405" s="36" t="s">
        <v>2685</v>
      </c>
      <c r="C1405" s="36" t="s">
        <v>2686</v>
      </c>
      <c r="D1405" s="37">
        <f>SUMIF(RAW_File!D:D,C:C,RAW_File!F:F)</f>
        <v>459.96969999999999</v>
      </c>
      <c r="E1405" s="38">
        <f>SUMIF(RAW_File!D:D,C:C,RAW_File!G:G)</f>
        <v>1300</v>
      </c>
      <c r="F1405" s="39">
        <f>SUMIF(RAW_File!D:D,C:C,RAW_File!I:I)</f>
        <v>17900</v>
      </c>
      <c r="G1405" s="40">
        <f>SUMIF(RAW_File!D:D,C:C,RAW_File!K:K)</f>
        <v>5000</v>
      </c>
      <c r="H1405" s="41">
        <f>SUMIF(RAW_File!D:D,C:C,RAW_File!M:M)</f>
        <v>20000</v>
      </c>
      <c r="I1405" s="40">
        <f t="shared" si="23"/>
        <v>15000</v>
      </c>
    </row>
    <row r="1406" spans="1:9" hidden="1" x14ac:dyDescent="0.25">
      <c r="A1406" s="36" t="s">
        <v>71</v>
      </c>
      <c r="B1406" s="36" t="s">
        <v>765</v>
      </c>
      <c r="C1406" s="36" t="s">
        <v>2760</v>
      </c>
      <c r="D1406" s="37">
        <f>SUMIF(RAW_File!D:D,C:C,RAW_File!F:F)</f>
        <v>1547.7237428430619</v>
      </c>
      <c r="E1406" s="38">
        <f>SUMIF(RAW_File!D:D,C:C,RAW_File!G:G)</f>
        <v>0</v>
      </c>
      <c r="F1406" s="39">
        <f>SUMIF(RAW_File!D:D,C:C,RAW_File!I:I)</f>
        <v>10870</v>
      </c>
      <c r="G1406" s="40">
        <f>SUMIF(RAW_File!D:D,C:C,RAW_File!K:K)</f>
        <v>5000</v>
      </c>
      <c r="H1406" s="41">
        <f>SUMIF(RAW_File!D:D,C:C,RAW_File!M:M)</f>
        <v>16000</v>
      </c>
      <c r="I1406" s="40">
        <f t="shared" si="23"/>
        <v>11000</v>
      </c>
    </row>
    <row r="1407" spans="1:9" hidden="1" x14ac:dyDescent="0.25">
      <c r="A1407" s="36" t="s">
        <v>71</v>
      </c>
      <c r="B1407" s="36" t="s">
        <v>2816</v>
      </c>
      <c r="C1407" s="36" t="s">
        <v>2817</v>
      </c>
      <c r="D1407" s="37">
        <f>SUMIF(RAW_File!D:D,C:C,RAW_File!F:F)</f>
        <v>12609.60944411773</v>
      </c>
      <c r="E1407" s="38">
        <f>SUMIF(RAW_File!D:D,C:C,RAW_File!G:G)</f>
        <v>0</v>
      </c>
      <c r="F1407" s="39">
        <f>SUMIF(RAW_File!D:D,C:C,RAW_File!I:I)</f>
        <v>49318</v>
      </c>
      <c r="G1407" s="40">
        <f>SUMIF(RAW_File!D:D,C:C,RAW_File!K:K)</f>
        <v>5000</v>
      </c>
      <c r="H1407" s="41">
        <f>SUMIF(RAW_File!D:D,C:C,RAW_File!M:M)</f>
        <v>44000</v>
      </c>
      <c r="I1407" s="40">
        <f t="shared" si="23"/>
        <v>39000</v>
      </c>
    </row>
    <row r="1408" spans="1:9" hidden="1" x14ac:dyDescent="0.25">
      <c r="A1408" s="36" t="s">
        <v>71</v>
      </c>
      <c r="B1408" s="36" t="s">
        <v>2855</v>
      </c>
      <c r="C1408" s="36" t="s">
        <v>2856</v>
      </c>
      <c r="D1408" s="37">
        <f>SUMIF(RAW_File!D:D,C:C,RAW_File!F:F)</f>
        <v>21653.42094354513</v>
      </c>
      <c r="E1408" s="38">
        <f>SUMIF(RAW_File!D:D,C:C,RAW_File!G:G)</f>
        <v>7400</v>
      </c>
      <c r="F1408" s="39">
        <f>SUMIF(RAW_File!D:D,C:C,RAW_File!I:I)</f>
        <v>14950</v>
      </c>
      <c r="G1408" s="40">
        <f>SUMIF(RAW_File!D:D,C:C,RAW_File!K:K)</f>
        <v>5000</v>
      </c>
      <c r="H1408" s="41">
        <f>SUMIF(RAW_File!D:D,C:C,RAW_File!M:M)</f>
        <v>0</v>
      </c>
      <c r="I1408" s="40">
        <f t="shared" si="23"/>
        <v>5000</v>
      </c>
    </row>
    <row r="1409" spans="1:9" hidden="1" x14ac:dyDescent="0.25">
      <c r="A1409" s="36" t="s">
        <v>71</v>
      </c>
      <c r="B1409" s="36" t="s">
        <v>2884</v>
      </c>
      <c r="C1409" s="36" t="s">
        <v>2885</v>
      </c>
      <c r="D1409" s="37">
        <f>SUMIF(RAW_File!D:D,C:C,RAW_File!F:F)</f>
        <v>22178.679511999999</v>
      </c>
      <c r="E1409" s="38">
        <f>SUMIF(RAW_File!D:D,C:C,RAW_File!G:G)</f>
        <v>2020</v>
      </c>
      <c r="F1409" s="39">
        <f>SUMIF(RAW_File!D:D,C:C,RAW_File!I:I)</f>
        <v>2020</v>
      </c>
      <c r="G1409" s="40">
        <f>SUMIF(RAW_File!D:D,C:C,RAW_File!K:K)</f>
        <v>20000</v>
      </c>
      <c r="H1409" s="41">
        <f>SUMIF(RAW_File!D:D,C:C,RAW_File!M:M)</f>
        <v>0</v>
      </c>
      <c r="I1409" s="40">
        <f t="shared" si="23"/>
        <v>20000</v>
      </c>
    </row>
    <row r="1410" spans="1:9" hidden="1" x14ac:dyDescent="0.25">
      <c r="A1410" s="36" t="s">
        <v>71</v>
      </c>
      <c r="B1410" s="36" t="s">
        <v>2898</v>
      </c>
      <c r="C1410" s="36" t="s">
        <v>2899</v>
      </c>
      <c r="D1410" s="37">
        <f>SUMIF(RAW_File!D:D,C:C,RAW_File!F:F)</f>
        <v>2317.3845095495672</v>
      </c>
      <c r="E1410" s="38">
        <f>SUMIF(RAW_File!D:D,C:C,RAW_File!G:G)</f>
        <v>1010</v>
      </c>
      <c r="F1410" s="39">
        <f>SUMIF(RAW_File!D:D,C:C,RAW_File!I:I)</f>
        <v>9580</v>
      </c>
      <c r="G1410" s="40">
        <f>SUMIF(RAW_File!D:D,C:C,RAW_File!K:K)</f>
        <v>0</v>
      </c>
      <c r="H1410" s="41">
        <f>SUMIF(RAW_File!D:D,C:C,RAW_File!M:M)</f>
        <v>15000</v>
      </c>
      <c r="I1410" s="40">
        <f t="shared" si="23"/>
        <v>15000</v>
      </c>
    </row>
    <row r="1411" spans="1:9" hidden="1" x14ac:dyDescent="0.25">
      <c r="A1411" s="36" t="s">
        <v>71</v>
      </c>
      <c r="B1411" s="36" t="s">
        <v>2900</v>
      </c>
      <c r="C1411" s="36" t="s">
        <v>2901</v>
      </c>
      <c r="D1411" s="37">
        <f>SUMIF(RAW_File!D:D,C:C,RAW_File!F:F)</f>
        <v>1971.2163</v>
      </c>
      <c r="E1411" s="38">
        <f>SUMIF(RAW_File!D:D,C:C,RAW_File!G:G)</f>
        <v>1200</v>
      </c>
      <c r="F1411" s="39">
        <f>SUMIF(RAW_File!D:D,C:C,RAW_File!I:I)</f>
        <v>6380</v>
      </c>
      <c r="G1411" s="40">
        <f>SUMIF(RAW_File!D:D,C:C,RAW_File!K:K)</f>
        <v>0</v>
      </c>
      <c r="H1411" s="41">
        <f>SUMIF(RAW_File!D:D,C:C,RAW_File!M:M)</f>
        <v>15000</v>
      </c>
      <c r="I1411" s="40">
        <f t="shared" ref="I1411:I1474" si="24">ABS(G1411-H1411)</f>
        <v>15000</v>
      </c>
    </row>
    <row r="1412" spans="1:9" hidden="1" x14ac:dyDescent="0.25">
      <c r="A1412" s="36" t="s">
        <v>71</v>
      </c>
      <c r="B1412" s="36" t="s">
        <v>2941</v>
      </c>
      <c r="C1412" s="36" t="s">
        <v>2942</v>
      </c>
      <c r="D1412" s="37">
        <f>SUMIF(RAW_File!D:D,C:C,RAW_File!F:F)</f>
        <v>6132.8097843109626</v>
      </c>
      <c r="E1412" s="38">
        <f>SUMIF(RAW_File!D:D,C:C,RAW_File!G:G)</f>
        <v>1400</v>
      </c>
      <c r="F1412" s="39">
        <f>SUMIF(RAW_File!D:D,C:C,RAW_File!I:I)</f>
        <v>9270</v>
      </c>
      <c r="G1412" s="40">
        <f>SUMIF(RAW_File!D:D,C:C,RAW_File!K:K)</f>
        <v>0</v>
      </c>
      <c r="H1412" s="41">
        <f>SUMIF(RAW_File!D:D,C:C,RAW_File!M:M)</f>
        <v>10000</v>
      </c>
      <c r="I1412" s="40">
        <f t="shared" si="24"/>
        <v>10000</v>
      </c>
    </row>
    <row r="1413" spans="1:9" hidden="1" x14ac:dyDescent="0.25">
      <c r="A1413" s="36" t="s">
        <v>71</v>
      </c>
      <c r="B1413" s="36" t="s">
        <v>2965</v>
      </c>
      <c r="C1413" s="42" t="s">
        <v>2966</v>
      </c>
      <c r="D1413" s="37">
        <f>SUMIF(RAW_File!D:D,C:C,RAW_File!F:F)</f>
        <v>5840.600358152411</v>
      </c>
      <c r="E1413" s="38">
        <f>SUMIF(RAW_File!D:D,C:C,RAW_File!G:G)</f>
        <v>510</v>
      </c>
      <c r="F1413" s="39">
        <f>SUMIF(RAW_File!D:D,C:C,RAW_File!I:I)</f>
        <v>5280</v>
      </c>
      <c r="G1413" s="40">
        <f>SUMIF(RAW_File!D:D,C:C,RAW_File!K:K)</f>
        <v>5000</v>
      </c>
      <c r="H1413" s="41">
        <f>SUMIF(RAW_File!D:D,C:C,RAW_File!M:M)</f>
        <v>10000</v>
      </c>
      <c r="I1413" s="40">
        <f t="shared" si="24"/>
        <v>5000</v>
      </c>
    </row>
    <row r="1414" spans="1:9" hidden="1" x14ac:dyDescent="0.25">
      <c r="A1414" s="36" t="s">
        <v>71</v>
      </c>
      <c r="B1414" s="36" t="s">
        <v>3032</v>
      </c>
      <c r="C1414" s="36" t="s">
        <v>3033</v>
      </c>
      <c r="D1414" s="37">
        <f>SUMIF(RAW_File!D:D,C:C,RAW_File!F:F)</f>
        <v>14210.52088588369</v>
      </c>
      <c r="E1414" s="38">
        <f>SUMIF(RAW_File!D:D,C:C,RAW_File!G:G)</f>
        <v>12000</v>
      </c>
      <c r="F1414" s="39">
        <f>SUMIF(RAW_File!D:D,C:C,RAW_File!I:I)</f>
        <v>24480</v>
      </c>
      <c r="G1414" s="40">
        <f>SUMIF(RAW_File!D:D,C:C,RAW_File!K:K)</f>
        <v>0</v>
      </c>
      <c r="H1414" s="41">
        <f>SUMIF(RAW_File!D:D,C:C,RAW_File!M:M)</f>
        <v>5000</v>
      </c>
      <c r="I1414" s="40">
        <f t="shared" si="24"/>
        <v>5000</v>
      </c>
    </row>
    <row r="1415" spans="1:9" hidden="1" x14ac:dyDescent="0.25">
      <c r="A1415" s="36" t="s">
        <v>71</v>
      </c>
      <c r="B1415" s="36" t="s">
        <v>2798</v>
      </c>
      <c r="C1415" s="36" t="s">
        <v>3076</v>
      </c>
      <c r="D1415" s="37">
        <f>SUMIF(RAW_File!D:D,C:C,RAW_File!F:F)</f>
        <v>7.1261999999999999</v>
      </c>
      <c r="E1415" s="38">
        <f>SUMIF(RAW_File!D:D,C:C,RAW_File!G:G)</f>
        <v>0</v>
      </c>
      <c r="F1415" s="39">
        <f>SUMIF(RAW_File!D:D,C:C,RAW_File!I:I)</f>
        <v>0</v>
      </c>
      <c r="G1415" s="40">
        <f>SUMIF(RAW_File!D:D,C:C,RAW_File!K:K)</f>
        <v>0</v>
      </c>
      <c r="H1415" s="41">
        <f>SUMIF(RAW_File!D:D,C:C,RAW_File!M:M)</f>
        <v>0</v>
      </c>
      <c r="I1415" s="40">
        <f t="shared" si="24"/>
        <v>0</v>
      </c>
    </row>
    <row r="1416" spans="1:9" hidden="1" x14ac:dyDescent="0.25">
      <c r="A1416" s="36" t="s">
        <v>71</v>
      </c>
      <c r="B1416" s="36" t="s">
        <v>3209</v>
      </c>
      <c r="C1416" s="36" t="s">
        <v>3210</v>
      </c>
      <c r="D1416" s="37">
        <f>SUMIF(RAW_File!D:D,C:C,RAW_File!F:F)</f>
        <v>57.37565</v>
      </c>
      <c r="E1416" s="38">
        <f>SUMIF(RAW_File!D:D,C:C,RAW_File!G:G)</f>
        <v>10100</v>
      </c>
      <c r="F1416" s="39">
        <f>SUMIF(RAW_File!D:D,C:C,RAW_File!I:I)</f>
        <v>10100</v>
      </c>
      <c r="G1416" s="40">
        <f>SUMIF(RAW_File!D:D,C:C,RAW_File!K:K)</f>
        <v>10000</v>
      </c>
      <c r="H1416" s="41">
        <f>SUMIF(RAW_File!D:D,C:C,RAW_File!M:M)</f>
        <v>0</v>
      </c>
      <c r="I1416" s="40">
        <f t="shared" si="24"/>
        <v>10000</v>
      </c>
    </row>
    <row r="1417" spans="1:9" hidden="1" x14ac:dyDescent="0.25">
      <c r="A1417" s="36" t="s">
        <v>71</v>
      </c>
      <c r="B1417" s="36" t="s">
        <v>147</v>
      </c>
      <c r="C1417" s="36" t="s">
        <v>3231</v>
      </c>
      <c r="D1417" s="37">
        <f>SUMIF(RAW_File!D:D,C:C,RAW_File!F:F)</f>
        <v>12469.047500000001</v>
      </c>
      <c r="E1417" s="38">
        <f>SUMIF(RAW_File!D:D,C:C,RAW_File!G:G)</f>
        <v>3400</v>
      </c>
      <c r="F1417" s="39">
        <f>SUMIF(RAW_File!D:D,C:C,RAW_File!I:I)</f>
        <v>3700</v>
      </c>
      <c r="G1417" s="40">
        <f>SUMIF(RAW_File!D:D,C:C,RAW_File!K:K)</f>
        <v>7000</v>
      </c>
      <c r="H1417" s="41">
        <f>SUMIF(RAW_File!D:D,C:C,RAW_File!M:M)</f>
        <v>0</v>
      </c>
      <c r="I1417" s="40">
        <f t="shared" si="24"/>
        <v>7000</v>
      </c>
    </row>
    <row r="1418" spans="1:9" hidden="1" x14ac:dyDescent="0.25">
      <c r="A1418" s="36" t="s">
        <v>71</v>
      </c>
      <c r="B1418" s="36" t="s">
        <v>3254</v>
      </c>
      <c r="C1418" s="36" t="s">
        <v>3255</v>
      </c>
      <c r="D1418" s="37">
        <f>SUMIF(RAW_File!D:D,C:C,RAW_File!F:F)</f>
        <v>12315.993850000001</v>
      </c>
      <c r="E1418" s="38">
        <f>SUMIF(RAW_File!D:D,C:C,RAW_File!G:G)</f>
        <v>2070</v>
      </c>
      <c r="F1418" s="39">
        <f>SUMIF(RAW_File!D:D,C:C,RAW_File!I:I)</f>
        <v>9569</v>
      </c>
      <c r="G1418" s="40">
        <f>SUMIF(RAW_File!D:D,C:C,RAW_File!K:K)</f>
        <v>0</v>
      </c>
      <c r="H1418" s="41">
        <f>SUMIF(RAW_File!D:D,C:C,RAW_File!M:M)</f>
        <v>30000</v>
      </c>
      <c r="I1418" s="40">
        <f t="shared" si="24"/>
        <v>30000</v>
      </c>
    </row>
    <row r="1419" spans="1:9" hidden="1" x14ac:dyDescent="0.25">
      <c r="A1419" s="36" t="s">
        <v>71</v>
      </c>
      <c r="B1419" s="36" t="s">
        <v>3262</v>
      </c>
      <c r="C1419" s="36" t="s">
        <v>3263</v>
      </c>
      <c r="D1419" s="37">
        <f>SUMIF(RAW_File!D:D,C:C,RAW_File!F:F)</f>
        <v>35669.32504359584</v>
      </c>
      <c r="E1419" s="38">
        <f>SUMIF(RAW_File!D:D,C:C,RAW_File!G:G)</f>
        <v>10800</v>
      </c>
      <c r="F1419" s="39">
        <f>SUMIF(RAW_File!D:D,C:C,RAW_File!I:I)</f>
        <v>52290</v>
      </c>
      <c r="G1419" s="40">
        <f>SUMIF(RAW_File!D:D,C:C,RAW_File!K:K)</f>
        <v>0</v>
      </c>
      <c r="H1419" s="41">
        <f>SUMIF(RAW_File!D:D,C:C,RAW_File!M:M)</f>
        <v>25000</v>
      </c>
      <c r="I1419" s="40">
        <f t="shared" si="24"/>
        <v>25000</v>
      </c>
    </row>
    <row r="1420" spans="1:9" hidden="1" x14ac:dyDescent="0.25">
      <c r="A1420" s="36" t="s">
        <v>71</v>
      </c>
      <c r="B1420" s="36" t="s">
        <v>3274</v>
      </c>
      <c r="C1420" s="36" t="s">
        <v>3275</v>
      </c>
      <c r="D1420" s="37">
        <f>SUMIF(RAW_File!D:D,C:C,RAW_File!F:F)</f>
        <v>12873.84451153816</v>
      </c>
      <c r="E1420" s="38">
        <f>SUMIF(RAW_File!D:D,C:C,RAW_File!G:G)</f>
        <v>500</v>
      </c>
      <c r="F1420" s="39">
        <f>SUMIF(RAW_File!D:D,C:C,RAW_File!I:I)</f>
        <v>29200</v>
      </c>
      <c r="G1420" s="40">
        <f>SUMIF(RAW_File!D:D,C:C,RAW_File!K:K)</f>
        <v>35000</v>
      </c>
      <c r="H1420" s="41">
        <f>SUMIF(RAW_File!D:D,C:C,RAW_File!M:M)</f>
        <v>80000</v>
      </c>
      <c r="I1420" s="40">
        <f t="shared" si="24"/>
        <v>45000</v>
      </c>
    </row>
    <row r="1421" spans="1:9" hidden="1" x14ac:dyDescent="0.25">
      <c r="A1421" s="36" t="s">
        <v>71</v>
      </c>
      <c r="B1421" s="36" t="s">
        <v>3350</v>
      </c>
      <c r="C1421" s="36" t="s">
        <v>3351</v>
      </c>
      <c r="D1421" s="37">
        <f>SUMIF(RAW_File!D:D,C:C,RAW_File!F:F)</f>
        <v>4228.0604999999996</v>
      </c>
      <c r="E1421" s="38">
        <f>SUMIF(RAW_File!D:D,C:C,RAW_File!G:G)</f>
        <v>1000</v>
      </c>
      <c r="F1421" s="39">
        <f>SUMIF(RAW_File!D:D,C:C,RAW_File!I:I)</f>
        <v>1000</v>
      </c>
      <c r="G1421" s="40">
        <f>SUMIF(RAW_File!D:D,C:C,RAW_File!K:K)</f>
        <v>5000</v>
      </c>
      <c r="H1421" s="41">
        <f>SUMIF(RAW_File!D:D,C:C,RAW_File!M:M)</f>
        <v>0</v>
      </c>
      <c r="I1421" s="40">
        <f t="shared" si="24"/>
        <v>5000</v>
      </c>
    </row>
    <row r="1422" spans="1:9" hidden="1" x14ac:dyDescent="0.25">
      <c r="A1422" s="36" t="s">
        <v>71</v>
      </c>
      <c r="B1422" s="36" t="s">
        <v>3424</v>
      </c>
      <c r="C1422" s="36" t="s">
        <v>3425</v>
      </c>
      <c r="D1422" s="37">
        <f>SUMIF(RAW_File!D:D,C:C,RAW_File!F:F)</f>
        <v>34887.184600735847</v>
      </c>
      <c r="E1422" s="38">
        <f>SUMIF(RAW_File!D:D,C:C,RAW_File!G:G)</f>
        <v>6270</v>
      </c>
      <c r="F1422" s="39">
        <f>SUMIF(RAW_File!D:D,C:C,RAW_File!I:I)</f>
        <v>24729</v>
      </c>
      <c r="G1422" s="40">
        <f>SUMIF(RAW_File!D:D,C:C,RAW_File!K:K)</f>
        <v>5000</v>
      </c>
      <c r="H1422" s="41">
        <f>SUMIF(RAW_File!D:D,C:C,RAW_File!M:M)</f>
        <v>30000</v>
      </c>
      <c r="I1422" s="40">
        <f t="shared" si="24"/>
        <v>25000</v>
      </c>
    </row>
    <row r="1423" spans="1:9" hidden="1" x14ac:dyDescent="0.25">
      <c r="A1423" s="36" t="s">
        <v>71</v>
      </c>
      <c r="B1423" s="36" t="s">
        <v>3433</v>
      </c>
      <c r="C1423" s="36" t="s">
        <v>3434</v>
      </c>
      <c r="D1423" s="37">
        <f>SUMIF(RAW_File!D:D,C:C,RAW_File!F:F)</f>
        <v>192.67534954576431</v>
      </c>
      <c r="E1423" s="38">
        <f>SUMIF(RAW_File!D:D,C:C,RAW_File!G:G)</f>
        <v>0</v>
      </c>
      <c r="F1423" s="39">
        <f>SUMIF(RAW_File!D:D,C:C,RAW_File!I:I)</f>
        <v>12630</v>
      </c>
      <c r="G1423" s="40">
        <f>SUMIF(RAW_File!D:D,C:C,RAW_File!K:K)</f>
        <v>0</v>
      </c>
      <c r="H1423" s="41">
        <f>SUMIF(RAW_File!D:D,C:C,RAW_File!M:M)</f>
        <v>16000</v>
      </c>
      <c r="I1423" s="40">
        <f t="shared" si="24"/>
        <v>16000</v>
      </c>
    </row>
    <row r="1424" spans="1:9" hidden="1" x14ac:dyDescent="0.25">
      <c r="A1424" s="36" t="s">
        <v>71</v>
      </c>
      <c r="B1424" s="36" t="s">
        <v>3512</v>
      </c>
      <c r="C1424" s="36" t="s">
        <v>3536</v>
      </c>
      <c r="D1424" s="37">
        <f>SUMIF(RAW_File!D:D,C:C,RAW_File!F:F)</f>
        <v>14.164</v>
      </c>
      <c r="E1424" s="38">
        <f>SUMIF(RAW_File!D:D,C:C,RAW_File!G:G)</f>
        <v>5510</v>
      </c>
      <c r="F1424" s="39">
        <f>SUMIF(RAW_File!D:D,C:C,RAW_File!I:I)</f>
        <v>8723</v>
      </c>
      <c r="G1424" s="40">
        <f>SUMIF(RAW_File!D:D,C:C,RAW_File!K:K)</f>
        <v>0</v>
      </c>
      <c r="H1424" s="41">
        <f>SUMIF(RAW_File!D:D,C:C,RAW_File!M:M)</f>
        <v>5000</v>
      </c>
      <c r="I1424" s="40">
        <f t="shared" si="24"/>
        <v>5000</v>
      </c>
    </row>
    <row r="1425" spans="1:9" hidden="1" x14ac:dyDescent="0.25">
      <c r="A1425" s="36" t="s">
        <v>67</v>
      </c>
      <c r="B1425" s="36" t="s">
        <v>145</v>
      </c>
      <c r="C1425" s="36" t="s">
        <v>146</v>
      </c>
      <c r="D1425" s="37">
        <f>SUMIF(RAW_File!D:D,C:C,RAW_File!F:F)</f>
        <v>2965.9027999999998</v>
      </c>
      <c r="E1425" s="38">
        <f>SUMIF(RAW_File!D:D,C:C,RAW_File!G:G)</f>
        <v>5490</v>
      </c>
      <c r="F1425" s="39">
        <f>SUMIF(RAW_File!D:D,C:C,RAW_File!I:I)</f>
        <v>7410</v>
      </c>
      <c r="G1425" s="40">
        <f>SUMIF(RAW_File!D:D,C:C,RAW_File!K:K)</f>
        <v>0</v>
      </c>
      <c r="H1425" s="41">
        <f>SUMIF(RAW_File!D:D,C:C,RAW_File!M:M)</f>
        <v>5000</v>
      </c>
      <c r="I1425" s="40">
        <f t="shared" si="24"/>
        <v>5000</v>
      </c>
    </row>
    <row r="1426" spans="1:9" hidden="1" x14ac:dyDescent="0.25">
      <c r="A1426" s="36" t="s">
        <v>67</v>
      </c>
      <c r="B1426" s="36" t="s">
        <v>268</v>
      </c>
      <c r="C1426" s="36" t="s">
        <v>269</v>
      </c>
      <c r="D1426" s="37">
        <f>SUMIF(RAW_File!D:D,C:C,RAW_File!F:F)</f>
        <v>8.7148241181060513</v>
      </c>
      <c r="E1426" s="38">
        <f>SUMIF(RAW_File!D:D,C:C,RAW_File!G:G)</f>
        <v>0</v>
      </c>
      <c r="F1426" s="39">
        <f>SUMIF(RAW_File!D:D,C:C,RAW_File!I:I)</f>
        <v>0</v>
      </c>
      <c r="G1426" s="40">
        <f>SUMIF(RAW_File!D:D,C:C,RAW_File!K:K)</f>
        <v>0</v>
      </c>
      <c r="H1426" s="41">
        <f>SUMIF(RAW_File!D:D,C:C,RAW_File!M:M)</f>
        <v>0</v>
      </c>
      <c r="I1426" s="40">
        <f t="shared" si="24"/>
        <v>0</v>
      </c>
    </row>
    <row r="1427" spans="1:9" hidden="1" x14ac:dyDescent="0.25">
      <c r="A1427" s="36" t="s">
        <v>67</v>
      </c>
      <c r="B1427" s="36" t="s">
        <v>296</v>
      </c>
      <c r="C1427" s="36" t="s">
        <v>297</v>
      </c>
      <c r="D1427" s="37">
        <f>SUMIF(RAW_File!D:D,C:C,RAW_File!F:F)</f>
        <v>73.919499530214907</v>
      </c>
      <c r="E1427" s="38">
        <f>SUMIF(RAW_File!D:D,C:C,RAW_File!G:G)</f>
        <v>12145</v>
      </c>
      <c r="F1427" s="39">
        <f>SUMIF(RAW_File!D:D,C:C,RAW_File!I:I)</f>
        <v>144750</v>
      </c>
      <c r="G1427" s="40">
        <f>SUMIF(RAW_File!D:D,C:C,RAW_File!K:K)</f>
        <v>0</v>
      </c>
      <c r="H1427" s="41">
        <f>SUMIF(RAW_File!D:D,C:C,RAW_File!M:M)</f>
        <v>130000</v>
      </c>
      <c r="I1427" s="40">
        <f t="shared" si="24"/>
        <v>130000</v>
      </c>
    </row>
    <row r="1428" spans="1:9" hidden="1" x14ac:dyDescent="0.25">
      <c r="A1428" s="36" t="s">
        <v>67</v>
      </c>
      <c r="B1428" s="36" t="s">
        <v>399</v>
      </c>
      <c r="C1428" s="36" t="s">
        <v>400</v>
      </c>
      <c r="D1428" s="37">
        <f>SUMIF(RAW_File!D:D,C:C,RAW_File!F:F)</f>
        <v>17046.028748793618</v>
      </c>
      <c r="E1428" s="38">
        <f>SUMIF(RAW_File!D:D,C:C,RAW_File!G:G)</f>
        <v>9395</v>
      </c>
      <c r="F1428" s="39">
        <f>SUMIF(RAW_File!D:D,C:C,RAW_File!I:I)</f>
        <v>19755</v>
      </c>
      <c r="G1428" s="40">
        <f>SUMIF(RAW_File!D:D,C:C,RAW_File!K:K)</f>
        <v>0</v>
      </c>
      <c r="H1428" s="41">
        <f>SUMIF(RAW_File!D:D,C:C,RAW_File!M:M)</f>
        <v>30000</v>
      </c>
      <c r="I1428" s="40">
        <f t="shared" si="24"/>
        <v>30000</v>
      </c>
    </row>
    <row r="1429" spans="1:9" hidden="1" x14ac:dyDescent="0.25">
      <c r="A1429" s="36" t="s">
        <v>67</v>
      </c>
      <c r="B1429" s="36" t="s">
        <v>421</v>
      </c>
      <c r="C1429" s="36" t="s">
        <v>422</v>
      </c>
      <c r="D1429" s="37">
        <f>SUMIF(RAW_File!D:D,C:C,RAW_File!F:F)</f>
        <v>7984.2857019577486</v>
      </c>
      <c r="E1429" s="38">
        <f>SUMIF(RAW_File!D:D,C:C,RAW_File!G:G)</f>
        <v>49319</v>
      </c>
      <c r="F1429" s="39">
        <f>SUMIF(RAW_File!D:D,C:C,RAW_File!I:I)</f>
        <v>57649</v>
      </c>
      <c r="G1429" s="40">
        <f>SUMIF(RAW_File!D:D,C:C,RAW_File!K:K)</f>
        <v>15000</v>
      </c>
      <c r="H1429" s="41">
        <f>SUMIF(RAW_File!D:D,C:C,RAW_File!M:M)</f>
        <v>0</v>
      </c>
      <c r="I1429" s="40">
        <f t="shared" si="24"/>
        <v>15000</v>
      </c>
    </row>
    <row r="1430" spans="1:9" hidden="1" x14ac:dyDescent="0.25">
      <c r="A1430" s="36" t="s">
        <v>67</v>
      </c>
      <c r="B1430" s="36" t="s">
        <v>437</v>
      </c>
      <c r="C1430" s="36" t="s">
        <v>438</v>
      </c>
      <c r="D1430" s="37">
        <f>SUMIF(RAW_File!D:D,C:C,RAW_File!F:F)</f>
        <v>5890.7535950254478</v>
      </c>
      <c r="E1430" s="38">
        <f>SUMIF(RAW_File!D:D,C:C,RAW_File!G:G)</f>
        <v>0</v>
      </c>
      <c r="F1430" s="39">
        <f>SUMIF(RAW_File!D:D,C:C,RAW_File!I:I)</f>
        <v>0</v>
      </c>
      <c r="G1430" s="40">
        <f>SUMIF(RAW_File!D:D,C:C,RAW_File!K:K)</f>
        <v>5000</v>
      </c>
      <c r="H1430" s="41">
        <f>SUMIF(RAW_File!D:D,C:C,RAW_File!M:M)</f>
        <v>0</v>
      </c>
      <c r="I1430" s="40">
        <f t="shared" si="24"/>
        <v>5000</v>
      </c>
    </row>
    <row r="1431" spans="1:9" hidden="1" x14ac:dyDescent="0.25">
      <c r="A1431" s="36" t="s">
        <v>67</v>
      </c>
      <c r="B1431" s="36" t="s">
        <v>557</v>
      </c>
      <c r="C1431" s="36" t="s">
        <v>558</v>
      </c>
      <c r="D1431" s="37">
        <f>SUMIF(RAW_File!D:D,C:C,RAW_File!F:F)</f>
        <v>4489.8170548344506</v>
      </c>
      <c r="E1431" s="38">
        <f>SUMIF(RAW_File!D:D,C:C,RAW_File!G:G)</f>
        <v>1560</v>
      </c>
      <c r="F1431" s="39">
        <f>SUMIF(RAW_File!D:D,C:C,RAW_File!I:I)</f>
        <v>3000</v>
      </c>
      <c r="G1431" s="40">
        <f>SUMIF(RAW_File!D:D,C:C,RAW_File!K:K)</f>
        <v>0</v>
      </c>
      <c r="H1431" s="41">
        <f>SUMIF(RAW_File!D:D,C:C,RAW_File!M:M)</f>
        <v>5000</v>
      </c>
      <c r="I1431" s="40">
        <f t="shared" si="24"/>
        <v>5000</v>
      </c>
    </row>
    <row r="1432" spans="1:9" hidden="1" x14ac:dyDescent="0.25">
      <c r="A1432" s="36" t="s">
        <v>67</v>
      </c>
      <c r="B1432" s="36" t="s">
        <v>602</v>
      </c>
      <c r="C1432" s="36" t="s">
        <v>603</v>
      </c>
      <c r="D1432" s="37">
        <f>SUMIF(RAW_File!D:D,C:C,RAW_File!F:F)</f>
        <v>13831.254273913</v>
      </c>
      <c r="E1432" s="38">
        <f>SUMIF(RAW_File!D:D,C:C,RAW_File!G:G)</f>
        <v>0</v>
      </c>
      <c r="F1432" s="39">
        <f>SUMIF(RAW_File!D:D,C:C,RAW_File!I:I)</f>
        <v>0</v>
      </c>
      <c r="G1432" s="40">
        <f>SUMIF(RAW_File!D:D,C:C,RAW_File!K:K)</f>
        <v>6000</v>
      </c>
      <c r="H1432" s="41">
        <f>SUMIF(RAW_File!D:D,C:C,RAW_File!M:M)</f>
        <v>0</v>
      </c>
      <c r="I1432" s="40">
        <f t="shared" si="24"/>
        <v>6000</v>
      </c>
    </row>
    <row r="1433" spans="1:9" hidden="1" x14ac:dyDescent="0.25">
      <c r="A1433" s="36" t="s">
        <v>67</v>
      </c>
      <c r="B1433" s="36" t="s">
        <v>645</v>
      </c>
      <c r="C1433" s="36" t="s">
        <v>646</v>
      </c>
      <c r="D1433" s="37">
        <f>SUMIF(RAW_File!D:D,C:C,RAW_File!F:F)</f>
        <v>10694.04031432818</v>
      </c>
      <c r="E1433" s="38">
        <f>SUMIF(RAW_File!D:D,C:C,RAW_File!G:G)</f>
        <v>10480</v>
      </c>
      <c r="F1433" s="39">
        <f>SUMIF(RAW_File!D:D,C:C,RAW_File!I:I)</f>
        <v>26605</v>
      </c>
      <c r="G1433" s="40">
        <f>SUMIF(RAW_File!D:D,C:C,RAW_File!K:K)</f>
        <v>5000</v>
      </c>
      <c r="H1433" s="41">
        <f>SUMIF(RAW_File!D:D,C:C,RAW_File!M:M)</f>
        <v>0</v>
      </c>
      <c r="I1433" s="40">
        <f t="shared" si="24"/>
        <v>5000</v>
      </c>
    </row>
    <row r="1434" spans="1:9" hidden="1" x14ac:dyDescent="0.25">
      <c r="A1434" s="36" t="s">
        <v>67</v>
      </c>
      <c r="B1434" s="36" t="s">
        <v>747</v>
      </c>
      <c r="C1434" s="36" t="s">
        <v>748</v>
      </c>
      <c r="D1434" s="37">
        <f>SUMIF(RAW_File!D:D,C:C,RAW_File!F:F)</f>
        <v>6451.5574999922001</v>
      </c>
      <c r="E1434" s="38">
        <f>SUMIF(RAW_File!D:D,C:C,RAW_File!G:G)</f>
        <v>0</v>
      </c>
      <c r="F1434" s="39">
        <f>SUMIF(RAW_File!D:D,C:C,RAW_File!I:I)</f>
        <v>11880</v>
      </c>
      <c r="G1434" s="40">
        <f>SUMIF(RAW_File!D:D,C:C,RAW_File!K:K)</f>
        <v>5000</v>
      </c>
      <c r="H1434" s="41">
        <f>SUMIF(RAW_File!D:D,C:C,RAW_File!M:M)</f>
        <v>11000</v>
      </c>
      <c r="I1434" s="40">
        <f t="shared" si="24"/>
        <v>6000</v>
      </c>
    </row>
    <row r="1435" spans="1:9" hidden="1" x14ac:dyDescent="0.25">
      <c r="A1435" s="36" t="s">
        <v>67</v>
      </c>
      <c r="B1435" s="36" t="s">
        <v>753</v>
      </c>
      <c r="C1435" s="36" t="s">
        <v>754</v>
      </c>
      <c r="D1435" s="37">
        <f>SUMIF(RAW_File!D:D,C:C,RAW_File!F:F)</f>
        <v>16.73626769767845</v>
      </c>
      <c r="E1435" s="38">
        <f>SUMIF(RAW_File!D:D,C:C,RAW_File!G:G)</f>
        <v>0</v>
      </c>
      <c r="F1435" s="39">
        <f>SUMIF(RAW_File!D:D,C:C,RAW_File!I:I)</f>
        <v>0</v>
      </c>
      <c r="G1435" s="40">
        <f>SUMIF(RAW_File!D:D,C:C,RAW_File!K:K)</f>
        <v>0</v>
      </c>
      <c r="H1435" s="41">
        <f>SUMIF(RAW_File!D:D,C:C,RAW_File!M:M)</f>
        <v>0</v>
      </c>
      <c r="I1435" s="40">
        <f t="shared" si="24"/>
        <v>0</v>
      </c>
    </row>
    <row r="1436" spans="1:9" hidden="1" x14ac:dyDescent="0.25">
      <c r="A1436" s="36" t="s">
        <v>67</v>
      </c>
      <c r="B1436" s="36" t="s">
        <v>761</v>
      </c>
      <c r="C1436" s="36" t="s">
        <v>762</v>
      </c>
      <c r="D1436" s="37">
        <f>SUMIF(RAW_File!D:D,C:C,RAW_File!F:F)</f>
        <v>12671.542299999999</v>
      </c>
      <c r="E1436" s="38">
        <f>SUMIF(RAW_File!D:D,C:C,RAW_File!G:G)</f>
        <v>910</v>
      </c>
      <c r="F1436" s="39">
        <f>SUMIF(RAW_File!D:D,C:C,RAW_File!I:I)</f>
        <v>5210</v>
      </c>
      <c r="G1436" s="40">
        <f>SUMIF(RAW_File!D:D,C:C,RAW_File!K:K)</f>
        <v>5000</v>
      </c>
      <c r="H1436" s="41">
        <f>SUMIF(RAW_File!D:D,C:C,RAW_File!M:M)</f>
        <v>0</v>
      </c>
      <c r="I1436" s="40">
        <f t="shared" si="24"/>
        <v>5000</v>
      </c>
    </row>
    <row r="1437" spans="1:9" hidden="1" x14ac:dyDescent="0.25">
      <c r="A1437" s="36" t="s">
        <v>67</v>
      </c>
      <c r="B1437" s="36" t="s">
        <v>852</v>
      </c>
      <c r="C1437" s="36" t="s">
        <v>853</v>
      </c>
      <c r="D1437" s="37">
        <f>SUMIF(RAW_File!D:D,C:C,RAW_File!F:F)</f>
        <v>4776.8957315943198</v>
      </c>
      <c r="E1437" s="38">
        <f>SUMIF(RAW_File!D:D,C:C,RAW_File!G:G)</f>
        <v>500</v>
      </c>
      <c r="F1437" s="39">
        <f>SUMIF(RAW_File!D:D,C:C,RAW_File!I:I)</f>
        <v>6500</v>
      </c>
      <c r="G1437" s="40">
        <f>SUMIF(RAW_File!D:D,C:C,RAW_File!K:K)</f>
        <v>3000</v>
      </c>
      <c r="H1437" s="41">
        <f>SUMIF(RAW_File!D:D,C:C,RAW_File!M:M)</f>
        <v>8000</v>
      </c>
      <c r="I1437" s="40">
        <f t="shared" si="24"/>
        <v>5000</v>
      </c>
    </row>
    <row r="1438" spans="1:9" hidden="1" x14ac:dyDescent="0.25">
      <c r="A1438" s="36" t="s">
        <v>67</v>
      </c>
      <c r="B1438" s="36" t="s">
        <v>1049</v>
      </c>
      <c r="C1438" s="36" t="s">
        <v>1050</v>
      </c>
      <c r="D1438" s="37">
        <f>SUMIF(RAW_File!D:D,C:C,RAW_File!F:F)</f>
        <v>50530.510900000001</v>
      </c>
      <c r="E1438" s="38">
        <f>SUMIF(RAW_File!D:D,C:C,RAW_File!G:G)</f>
        <v>28595</v>
      </c>
      <c r="F1438" s="39">
        <f>SUMIF(RAW_File!D:D,C:C,RAW_File!I:I)</f>
        <v>29775</v>
      </c>
      <c r="G1438" s="40">
        <f>SUMIF(RAW_File!D:D,C:C,RAW_File!K:K)</f>
        <v>60000</v>
      </c>
      <c r="H1438" s="41">
        <f>SUMIF(RAW_File!D:D,C:C,RAW_File!M:M)</f>
        <v>0</v>
      </c>
      <c r="I1438" s="40">
        <f t="shared" si="24"/>
        <v>60000</v>
      </c>
    </row>
    <row r="1439" spans="1:9" hidden="1" x14ac:dyDescent="0.25">
      <c r="A1439" s="36" t="s">
        <v>67</v>
      </c>
      <c r="B1439" s="36" t="s">
        <v>1059</v>
      </c>
      <c r="C1439" s="36" t="s">
        <v>1060</v>
      </c>
      <c r="D1439" s="37">
        <f>SUMIF(RAW_File!D:D,C:C,RAW_File!F:F)</f>
        <v>179557.22743043469</v>
      </c>
      <c r="E1439" s="38">
        <f>SUMIF(RAW_File!D:D,C:C,RAW_File!G:G)</f>
        <v>3570</v>
      </c>
      <c r="F1439" s="39">
        <f>SUMIF(RAW_File!D:D,C:C,RAW_File!I:I)</f>
        <v>19805</v>
      </c>
      <c r="G1439" s="40">
        <f>SUMIF(RAW_File!D:D,C:C,RAW_File!K:K)</f>
        <v>5000</v>
      </c>
      <c r="H1439" s="41">
        <f>SUMIF(RAW_File!D:D,C:C,RAW_File!M:M)</f>
        <v>0</v>
      </c>
      <c r="I1439" s="40">
        <f t="shared" si="24"/>
        <v>5000</v>
      </c>
    </row>
    <row r="1440" spans="1:9" hidden="1" x14ac:dyDescent="0.25">
      <c r="A1440" s="36" t="s">
        <v>67</v>
      </c>
      <c r="B1440" s="36" t="s">
        <v>1215</v>
      </c>
      <c r="C1440" s="36" t="s">
        <v>1216</v>
      </c>
      <c r="D1440" s="37">
        <f>SUMIF(RAW_File!D:D,C:C,RAW_File!F:F)</f>
        <v>7384.9901266441493</v>
      </c>
      <c r="E1440" s="38">
        <f>SUMIF(RAW_File!D:D,C:C,RAW_File!G:G)</f>
        <v>500</v>
      </c>
      <c r="F1440" s="39">
        <f>SUMIF(RAW_File!D:D,C:C,RAW_File!I:I)</f>
        <v>5520</v>
      </c>
      <c r="G1440" s="40">
        <f>SUMIF(RAW_File!D:D,C:C,RAW_File!K:K)</f>
        <v>0</v>
      </c>
      <c r="H1440" s="41">
        <f>SUMIF(RAW_File!D:D,C:C,RAW_File!M:M)</f>
        <v>10000</v>
      </c>
      <c r="I1440" s="40">
        <f t="shared" si="24"/>
        <v>10000</v>
      </c>
    </row>
    <row r="1441" spans="1:9" hidden="1" x14ac:dyDescent="0.25">
      <c r="A1441" s="36" t="s">
        <v>67</v>
      </c>
      <c r="B1441" s="36" t="s">
        <v>1222</v>
      </c>
      <c r="C1441" s="36" t="s">
        <v>1223</v>
      </c>
      <c r="D1441" s="37">
        <f>SUMIF(RAW_File!D:D,C:C,RAW_File!F:F)</f>
        <v>7110.1320653177563</v>
      </c>
      <c r="E1441" s="38">
        <f>SUMIF(RAW_File!D:D,C:C,RAW_File!G:G)</f>
        <v>0</v>
      </c>
      <c r="F1441" s="39">
        <f>SUMIF(RAW_File!D:D,C:C,RAW_File!I:I)</f>
        <v>3928</v>
      </c>
      <c r="G1441" s="40">
        <f>SUMIF(RAW_File!D:D,C:C,RAW_File!K:K)</f>
        <v>0</v>
      </c>
      <c r="H1441" s="41">
        <f>SUMIF(RAW_File!D:D,C:C,RAW_File!M:M)</f>
        <v>10000</v>
      </c>
      <c r="I1441" s="40">
        <f t="shared" si="24"/>
        <v>10000</v>
      </c>
    </row>
    <row r="1442" spans="1:9" hidden="1" x14ac:dyDescent="0.25">
      <c r="A1442" s="36" t="s">
        <v>67</v>
      </c>
      <c r="B1442" s="36" t="s">
        <v>1247</v>
      </c>
      <c r="C1442" s="36" t="s">
        <v>1248</v>
      </c>
      <c r="D1442" s="37">
        <f>SUMIF(RAW_File!D:D,C:C,RAW_File!F:F)</f>
        <v>14312.1363130435</v>
      </c>
      <c r="E1442" s="38">
        <f>SUMIF(RAW_File!D:D,C:C,RAW_File!G:G)</f>
        <v>300</v>
      </c>
      <c r="F1442" s="39">
        <f>SUMIF(RAW_File!D:D,C:C,RAW_File!I:I)</f>
        <v>300</v>
      </c>
      <c r="G1442" s="40">
        <f>SUMIF(RAW_File!D:D,C:C,RAW_File!K:K)</f>
        <v>0</v>
      </c>
      <c r="H1442" s="41">
        <f>SUMIF(RAW_File!D:D,C:C,RAW_File!M:M)</f>
        <v>15000</v>
      </c>
      <c r="I1442" s="40">
        <f t="shared" si="24"/>
        <v>15000</v>
      </c>
    </row>
    <row r="1443" spans="1:9" hidden="1" x14ac:dyDescent="0.25">
      <c r="A1443" s="36" t="s">
        <v>67</v>
      </c>
      <c r="B1443" s="36" t="s">
        <v>1251</v>
      </c>
      <c r="C1443" s="36" t="s">
        <v>1252</v>
      </c>
      <c r="D1443" s="37">
        <f>SUMIF(RAW_File!D:D,C:C,RAW_File!F:F)</f>
        <v>5026.8029339555051</v>
      </c>
      <c r="E1443" s="38">
        <f>SUMIF(RAW_File!D:D,C:C,RAW_File!G:G)</f>
        <v>670</v>
      </c>
      <c r="F1443" s="39">
        <f>SUMIF(RAW_File!D:D,C:C,RAW_File!I:I)</f>
        <v>5640</v>
      </c>
      <c r="G1443" s="40">
        <f>SUMIF(RAW_File!D:D,C:C,RAW_File!K:K)</f>
        <v>0</v>
      </c>
      <c r="H1443" s="41">
        <f>SUMIF(RAW_File!D:D,C:C,RAW_File!M:M)</f>
        <v>5000</v>
      </c>
      <c r="I1443" s="40">
        <f t="shared" si="24"/>
        <v>5000</v>
      </c>
    </row>
    <row r="1444" spans="1:9" hidden="1" x14ac:dyDescent="0.25">
      <c r="A1444" s="36" t="s">
        <v>67</v>
      </c>
      <c r="B1444" s="36" t="s">
        <v>1255</v>
      </c>
      <c r="C1444" s="36" t="s">
        <v>1256</v>
      </c>
      <c r="D1444" s="37">
        <f>SUMIF(RAW_File!D:D,C:C,RAW_File!F:F)</f>
        <v>2899.2512522002439</v>
      </c>
      <c r="E1444" s="38">
        <f>SUMIF(RAW_File!D:D,C:C,RAW_File!G:G)</f>
        <v>16600</v>
      </c>
      <c r="F1444" s="39">
        <f>SUMIF(RAW_File!D:D,C:C,RAW_File!I:I)</f>
        <v>19100</v>
      </c>
      <c r="G1444" s="40">
        <f>SUMIF(RAW_File!D:D,C:C,RAW_File!K:K)</f>
        <v>15000</v>
      </c>
      <c r="H1444" s="41">
        <f>SUMIF(RAW_File!D:D,C:C,RAW_File!M:M)</f>
        <v>0</v>
      </c>
      <c r="I1444" s="40">
        <f t="shared" si="24"/>
        <v>15000</v>
      </c>
    </row>
    <row r="1445" spans="1:9" hidden="1" x14ac:dyDescent="0.25">
      <c r="A1445" s="36" t="s">
        <v>67</v>
      </c>
      <c r="B1445" s="36" t="s">
        <v>1384</v>
      </c>
      <c r="C1445" s="36" t="s">
        <v>1385</v>
      </c>
      <c r="D1445" s="37">
        <f>SUMIF(RAW_File!D:D,C:C,RAW_File!F:F)</f>
        <v>9527.2832055527215</v>
      </c>
      <c r="E1445" s="38">
        <f>SUMIF(RAW_File!D:D,C:C,RAW_File!G:G)</f>
        <v>1015</v>
      </c>
      <c r="F1445" s="39">
        <f>SUMIF(RAW_File!D:D,C:C,RAW_File!I:I)</f>
        <v>5855</v>
      </c>
      <c r="G1445" s="40">
        <f>SUMIF(RAW_File!D:D,C:C,RAW_File!K:K)</f>
        <v>2000</v>
      </c>
      <c r="H1445" s="41">
        <f>SUMIF(RAW_File!D:D,C:C,RAW_File!M:M)</f>
        <v>10000</v>
      </c>
      <c r="I1445" s="40">
        <f t="shared" si="24"/>
        <v>8000</v>
      </c>
    </row>
    <row r="1446" spans="1:9" hidden="1" x14ac:dyDescent="0.25">
      <c r="A1446" s="36" t="s">
        <v>67</v>
      </c>
      <c r="B1446" s="36" t="s">
        <v>1386</v>
      </c>
      <c r="C1446" s="36" t="s">
        <v>1387</v>
      </c>
      <c r="D1446" s="37">
        <f>SUMIF(RAW_File!D:D,C:C,RAW_File!F:F)</f>
        <v>18.764274208701728</v>
      </c>
      <c r="E1446" s="38">
        <f>SUMIF(RAW_File!D:D,C:C,RAW_File!G:G)</f>
        <v>0</v>
      </c>
      <c r="F1446" s="39">
        <f>SUMIF(RAW_File!D:D,C:C,RAW_File!I:I)</f>
        <v>0</v>
      </c>
      <c r="G1446" s="40">
        <f>SUMIF(RAW_File!D:D,C:C,RAW_File!K:K)</f>
        <v>0</v>
      </c>
      <c r="H1446" s="41">
        <f>SUMIF(RAW_File!D:D,C:C,RAW_File!M:M)</f>
        <v>0</v>
      </c>
      <c r="I1446" s="40">
        <f t="shared" si="24"/>
        <v>0</v>
      </c>
    </row>
    <row r="1447" spans="1:9" hidden="1" x14ac:dyDescent="0.25">
      <c r="A1447" s="36" t="s">
        <v>67</v>
      </c>
      <c r="B1447" s="36" t="s">
        <v>1421</v>
      </c>
      <c r="C1447" s="36" t="s">
        <v>1422</v>
      </c>
      <c r="D1447" s="37">
        <f>SUMIF(RAW_File!D:D,C:C,RAW_File!F:F)</f>
        <v>7958.5723130431998</v>
      </c>
      <c r="E1447" s="38">
        <f>SUMIF(RAW_File!D:D,C:C,RAW_File!G:G)</f>
        <v>0</v>
      </c>
      <c r="F1447" s="39">
        <f>SUMIF(RAW_File!D:D,C:C,RAW_File!I:I)</f>
        <v>0</v>
      </c>
      <c r="G1447" s="40">
        <f>SUMIF(RAW_File!D:D,C:C,RAW_File!K:K)</f>
        <v>5000</v>
      </c>
      <c r="H1447" s="41">
        <f>SUMIF(RAW_File!D:D,C:C,RAW_File!M:M)</f>
        <v>0</v>
      </c>
      <c r="I1447" s="40">
        <f t="shared" si="24"/>
        <v>5000</v>
      </c>
    </row>
    <row r="1448" spans="1:9" hidden="1" x14ac:dyDescent="0.25">
      <c r="A1448" s="36" t="s">
        <v>67</v>
      </c>
      <c r="B1448" s="36" t="s">
        <v>1562</v>
      </c>
      <c r="C1448" s="36" t="s">
        <v>1563</v>
      </c>
      <c r="D1448" s="37">
        <f>SUMIF(RAW_File!D:D,C:C,RAW_File!F:F)</f>
        <v>16588.272700000001</v>
      </c>
      <c r="E1448" s="38">
        <f>SUMIF(RAW_File!D:D,C:C,RAW_File!G:G)</f>
        <v>1500</v>
      </c>
      <c r="F1448" s="39">
        <f>SUMIF(RAW_File!D:D,C:C,RAW_File!I:I)</f>
        <v>1500</v>
      </c>
      <c r="G1448" s="40">
        <f>SUMIF(RAW_File!D:D,C:C,RAW_File!K:K)</f>
        <v>5000</v>
      </c>
      <c r="H1448" s="41">
        <f>SUMIF(RAW_File!D:D,C:C,RAW_File!M:M)</f>
        <v>0</v>
      </c>
      <c r="I1448" s="40">
        <f t="shared" si="24"/>
        <v>5000</v>
      </c>
    </row>
    <row r="1449" spans="1:9" hidden="1" x14ac:dyDescent="0.25">
      <c r="A1449" s="36" t="s">
        <v>67</v>
      </c>
      <c r="B1449" s="36" t="s">
        <v>1572</v>
      </c>
      <c r="C1449" s="36" t="s">
        <v>1573</v>
      </c>
      <c r="D1449" s="37">
        <f>SUMIF(RAW_File!D:D,C:C,RAW_File!F:F)</f>
        <v>18578.134249999999</v>
      </c>
      <c r="E1449" s="38">
        <f>SUMIF(RAW_File!D:D,C:C,RAW_File!G:G)</f>
        <v>1710</v>
      </c>
      <c r="F1449" s="39">
        <f>SUMIF(RAW_File!D:D,C:C,RAW_File!I:I)</f>
        <v>11375</v>
      </c>
      <c r="G1449" s="40">
        <f>SUMIF(RAW_File!D:D,C:C,RAW_File!K:K)</f>
        <v>5000</v>
      </c>
      <c r="H1449" s="41">
        <f>SUMIF(RAW_File!D:D,C:C,RAW_File!M:M)</f>
        <v>10000</v>
      </c>
      <c r="I1449" s="40">
        <f t="shared" si="24"/>
        <v>5000</v>
      </c>
    </row>
    <row r="1450" spans="1:9" hidden="1" x14ac:dyDescent="0.25">
      <c r="A1450" s="36" t="s">
        <v>67</v>
      </c>
      <c r="B1450" s="36" t="s">
        <v>239</v>
      </c>
      <c r="C1450" s="36" t="s">
        <v>1584</v>
      </c>
      <c r="D1450" s="37">
        <f>SUMIF(RAW_File!D:D,C:C,RAW_File!F:F)</f>
        <v>3075.0081</v>
      </c>
      <c r="E1450" s="38">
        <f>SUMIF(RAW_File!D:D,C:C,RAW_File!G:G)</f>
        <v>820</v>
      </c>
      <c r="F1450" s="39">
        <f>SUMIF(RAW_File!D:D,C:C,RAW_File!I:I)</f>
        <v>12140</v>
      </c>
      <c r="G1450" s="40">
        <f>SUMIF(RAW_File!D:D,C:C,RAW_File!K:K)</f>
        <v>5000</v>
      </c>
      <c r="H1450" s="41">
        <f>SUMIF(RAW_File!D:D,C:C,RAW_File!M:M)</f>
        <v>45000</v>
      </c>
      <c r="I1450" s="40">
        <f t="shared" si="24"/>
        <v>40000</v>
      </c>
    </row>
    <row r="1451" spans="1:9" hidden="1" x14ac:dyDescent="0.25">
      <c r="A1451" s="36" t="s">
        <v>67</v>
      </c>
      <c r="B1451" s="36" t="s">
        <v>1654</v>
      </c>
      <c r="C1451" s="36" t="s">
        <v>1655</v>
      </c>
      <c r="D1451" s="37">
        <f>SUMIF(RAW_File!D:D,C:C,RAW_File!F:F)</f>
        <v>3593.449709</v>
      </c>
      <c r="E1451" s="38">
        <f>SUMIF(RAW_File!D:D,C:C,RAW_File!G:G)</f>
        <v>2255</v>
      </c>
      <c r="F1451" s="39">
        <f>SUMIF(RAW_File!D:D,C:C,RAW_File!I:I)</f>
        <v>17475</v>
      </c>
      <c r="G1451" s="40">
        <f>SUMIF(RAW_File!D:D,C:C,RAW_File!K:K)</f>
        <v>0</v>
      </c>
      <c r="H1451" s="41">
        <f>SUMIF(RAW_File!D:D,C:C,RAW_File!M:M)</f>
        <v>23000</v>
      </c>
      <c r="I1451" s="40">
        <f t="shared" si="24"/>
        <v>23000</v>
      </c>
    </row>
    <row r="1452" spans="1:9" hidden="1" x14ac:dyDescent="0.25">
      <c r="A1452" s="36" t="s">
        <v>67</v>
      </c>
      <c r="B1452" s="36" t="s">
        <v>1778</v>
      </c>
      <c r="C1452" s="36" t="s">
        <v>1779</v>
      </c>
      <c r="D1452" s="37">
        <f>SUMIF(RAW_File!D:D,C:C,RAW_File!F:F)</f>
        <v>0.48330000000000001</v>
      </c>
      <c r="E1452" s="38">
        <f>SUMIF(RAW_File!D:D,C:C,RAW_File!G:G)</f>
        <v>5500</v>
      </c>
      <c r="F1452" s="39">
        <f>SUMIF(RAW_File!D:D,C:C,RAW_File!I:I)</f>
        <v>5500</v>
      </c>
      <c r="G1452" s="40">
        <f>SUMIF(RAW_File!D:D,C:C,RAW_File!K:K)</f>
        <v>5000</v>
      </c>
      <c r="H1452" s="41">
        <f>SUMIF(RAW_File!D:D,C:C,RAW_File!M:M)</f>
        <v>0</v>
      </c>
      <c r="I1452" s="40">
        <f t="shared" si="24"/>
        <v>5000</v>
      </c>
    </row>
    <row r="1453" spans="1:9" hidden="1" x14ac:dyDescent="0.25">
      <c r="A1453" s="36" t="s">
        <v>67</v>
      </c>
      <c r="B1453" s="36" t="s">
        <v>1895</v>
      </c>
      <c r="C1453" s="36" t="s">
        <v>1896</v>
      </c>
      <c r="D1453" s="37">
        <f>SUMIF(RAW_File!D:D,C:C,RAW_File!F:F)</f>
        <v>31380.995804799059</v>
      </c>
      <c r="E1453" s="38">
        <f>SUMIF(RAW_File!D:D,C:C,RAW_File!G:G)</f>
        <v>0</v>
      </c>
      <c r="F1453" s="39">
        <f>SUMIF(RAW_File!D:D,C:C,RAW_File!I:I)</f>
        <v>19510</v>
      </c>
      <c r="G1453" s="40">
        <f>SUMIF(RAW_File!D:D,C:C,RAW_File!K:K)</f>
        <v>0</v>
      </c>
      <c r="H1453" s="41">
        <f>SUMIF(RAW_File!D:D,C:C,RAW_File!M:M)</f>
        <v>50000</v>
      </c>
      <c r="I1453" s="40">
        <f t="shared" si="24"/>
        <v>50000</v>
      </c>
    </row>
    <row r="1454" spans="1:9" hidden="1" x14ac:dyDescent="0.25">
      <c r="A1454" s="36" t="s">
        <v>67</v>
      </c>
      <c r="B1454" s="36" t="s">
        <v>1911</v>
      </c>
      <c r="C1454" s="36" t="s">
        <v>1912</v>
      </c>
      <c r="D1454" s="37">
        <f>SUMIF(RAW_File!D:D,C:C,RAW_File!F:F)</f>
        <v>5459.0589674353214</v>
      </c>
      <c r="E1454" s="38">
        <f>SUMIF(RAW_File!D:D,C:C,RAW_File!G:G)</f>
        <v>2720</v>
      </c>
      <c r="F1454" s="39">
        <f>SUMIF(RAW_File!D:D,C:C,RAW_File!I:I)</f>
        <v>5570</v>
      </c>
      <c r="G1454" s="40">
        <f>SUMIF(RAW_File!D:D,C:C,RAW_File!K:K)</f>
        <v>5000</v>
      </c>
      <c r="H1454" s="41">
        <f>SUMIF(RAW_File!D:D,C:C,RAW_File!M:M)</f>
        <v>35000</v>
      </c>
      <c r="I1454" s="40">
        <f t="shared" si="24"/>
        <v>30000</v>
      </c>
    </row>
    <row r="1455" spans="1:9" hidden="1" x14ac:dyDescent="0.25">
      <c r="A1455" s="36" t="s">
        <v>67</v>
      </c>
      <c r="B1455" s="36" t="s">
        <v>1945</v>
      </c>
      <c r="C1455" s="36" t="s">
        <v>1946</v>
      </c>
      <c r="D1455" s="37">
        <f>SUMIF(RAW_File!D:D,C:C,RAW_File!F:F)</f>
        <v>6061.2260528804791</v>
      </c>
      <c r="E1455" s="38">
        <f>SUMIF(RAW_File!D:D,C:C,RAW_File!G:G)</f>
        <v>0</v>
      </c>
      <c r="F1455" s="39">
        <f>SUMIF(RAW_File!D:D,C:C,RAW_File!I:I)</f>
        <v>670</v>
      </c>
      <c r="G1455" s="40">
        <f>SUMIF(RAW_File!D:D,C:C,RAW_File!K:K)</f>
        <v>5000</v>
      </c>
      <c r="H1455" s="41">
        <f>SUMIF(RAW_File!D:D,C:C,RAW_File!M:M)</f>
        <v>0</v>
      </c>
      <c r="I1455" s="40">
        <f t="shared" si="24"/>
        <v>5000</v>
      </c>
    </row>
    <row r="1456" spans="1:9" hidden="1" x14ac:dyDescent="0.25">
      <c r="A1456" s="36" t="s">
        <v>67</v>
      </c>
      <c r="B1456" s="36" t="s">
        <v>1951</v>
      </c>
      <c r="C1456" s="36" t="s">
        <v>1952</v>
      </c>
      <c r="D1456" s="37">
        <f>SUMIF(RAW_File!D:D,C:C,RAW_File!F:F)</f>
        <v>15045.54687628693</v>
      </c>
      <c r="E1456" s="38">
        <f>SUMIF(RAW_File!D:D,C:C,RAW_File!G:G)</f>
        <v>2000</v>
      </c>
      <c r="F1456" s="39">
        <f>SUMIF(RAW_File!D:D,C:C,RAW_File!I:I)</f>
        <v>34664</v>
      </c>
      <c r="G1456" s="40">
        <f>SUMIF(RAW_File!D:D,C:C,RAW_File!K:K)</f>
        <v>5000</v>
      </c>
      <c r="H1456" s="41">
        <f>SUMIF(RAW_File!D:D,C:C,RAW_File!M:M)</f>
        <v>80000</v>
      </c>
      <c r="I1456" s="40">
        <f t="shared" si="24"/>
        <v>75000</v>
      </c>
    </row>
    <row r="1457" spans="1:9" hidden="1" x14ac:dyDescent="0.25">
      <c r="A1457" s="36" t="s">
        <v>67</v>
      </c>
      <c r="B1457" s="36" t="s">
        <v>2081</v>
      </c>
      <c r="C1457" s="36" t="s">
        <v>2082</v>
      </c>
      <c r="D1457" s="37">
        <f>SUMIF(RAW_File!D:D,C:C,RAW_File!F:F)</f>
        <v>163.04705000000001</v>
      </c>
      <c r="E1457" s="38">
        <f>SUMIF(RAW_File!D:D,C:C,RAW_File!G:G)</f>
        <v>0</v>
      </c>
      <c r="F1457" s="39">
        <f>SUMIF(RAW_File!D:D,C:C,RAW_File!I:I)</f>
        <v>22351</v>
      </c>
      <c r="G1457" s="40">
        <f>SUMIF(RAW_File!D:D,C:C,RAW_File!K:K)</f>
        <v>0</v>
      </c>
      <c r="H1457" s="41">
        <f>SUMIF(RAW_File!D:D,C:C,RAW_File!M:M)</f>
        <v>30000</v>
      </c>
      <c r="I1457" s="40">
        <f t="shared" si="24"/>
        <v>30000</v>
      </c>
    </row>
    <row r="1458" spans="1:9" hidden="1" x14ac:dyDescent="0.25">
      <c r="A1458" s="36" t="s">
        <v>67</v>
      </c>
      <c r="B1458" s="36" t="s">
        <v>2101</v>
      </c>
      <c r="C1458" s="36" t="s">
        <v>2102</v>
      </c>
      <c r="D1458" s="37">
        <f>SUMIF(RAW_File!D:D,C:C,RAW_File!F:F)</f>
        <v>35.786340000000003</v>
      </c>
      <c r="E1458" s="38">
        <f>SUMIF(RAW_File!D:D,C:C,RAW_File!G:G)</f>
        <v>0</v>
      </c>
      <c r="F1458" s="39">
        <f>SUMIF(RAW_File!D:D,C:C,RAW_File!I:I)</f>
        <v>0</v>
      </c>
      <c r="G1458" s="40">
        <f>SUMIF(RAW_File!D:D,C:C,RAW_File!K:K)</f>
        <v>5000</v>
      </c>
      <c r="H1458" s="41">
        <f>SUMIF(RAW_File!D:D,C:C,RAW_File!M:M)</f>
        <v>0</v>
      </c>
      <c r="I1458" s="40">
        <f t="shared" si="24"/>
        <v>5000</v>
      </c>
    </row>
    <row r="1459" spans="1:9" hidden="1" x14ac:dyDescent="0.25">
      <c r="A1459" s="36" t="s">
        <v>67</v>
      </c>
      <c r="B1459" s="36" t="s">
        <v>2187</v>
      </c>
      <c r="C1459" s="36" t="s">
        <v>2188</v>
      </c>
      <c r="D1459" s="37">
        <f>SUMIF(RAW_File!D:D,C:C,RAW_File!F:F)</f>
        <v>14.61995612472556</v>
      </c>
      <c r="E1459" s="38">
        <f>SUMIF(RAW_File!D:D,C:C,RAW_File!G:G)</f>
        <v>0</v>
      </c>
      <c r="F1459" s="39">
        <f>SUMIF(RAW_File!D:D,C:C,RAW_File!I:I)</f>
        <v>0</v>
      </c>
      <c r="G1459" s="40">
        <f>SUMIF(RAW_File!D:D,C:C,RAW_File!K:K)</f>
        <v>0</v>
      </c>
      <c r="H1459" s="41">
        <f>SUMIF(RAW_File!D:D,C:C,RAW_File!M:M)</f>
        <v>0</v>
      </c>
      <c r="I1459" s="40">
        <f t="shared" si="24"/>
        <v>0</v>
      </c>
    </row>
    <row r="1460" spans="1:9" hidden="1" x14ac:dyDescent="0.25">
      <c r="A1460" s="36" t="s">
        <v>67</v>
      </c>
      <c r="B1460" s="36" t="s">
        <v>2243</v>
      </c>
      <c r="C1460" s="36" t="s">
        <v>2244</v>
      </c>
      <c r="D1460" s="37">
        <f>SUMIF(RAW_File!D:D,C:C,RAW_File!F:F)</f>
        <v>10822.17066005089</v>
      </c>
      <c r="E1460" s="38">
        <f>SUMIF(RAW_File!D:D,C:C,RAW_File!G:G)</f>
        <v>0</v>
      </c>
      <c r="F1460" s="39">
        <f>SUMIF(RAW_File!D:D,C:C,RAW_File!I:I)</f>
        <v>0</v>
      </c>
      <c r="G1460" s="40">
        <f>SUMIF(RAW_File!D:D,C:C,RAW_File!K:K)</f>
        <v>5000</v>
      </c>
      <c r="H1460" s="41">
        <f>SUMIF(RAW_File!D:D,C:C,RAW_File!M:M)</f>
        <v>0</v>
      </c>
      <c r="I1460" s="40">
        <f t="shared" si="24"/>
        <v>5000</v>
      </c>
    </row>
    <row r="1461" spans="1:9" hidden="1" x14ac:dyDescent="0.25">
      <c r="A1461" s="36" t="s">
        <v>67</v>
      </c>
      <c r="B1461" s="36" t="s">
        <v>2270</v>
      </c>
      <c r="C1461" s="36" t="s">
        <v>2271</v>
      </c>
      <c r="D1461" s="37">
        <f>SUMIF(RAW_File!D:D,C:C,RAW_File!F:F)</f>
        <v>20920.257952124801</v>
      </c>
      <c r="E1461" s="38">
        <f>SUMIF(RAW_File!D:D,C:C,RAW_File!G:G)</f>
        <v>10070</v>
      </c>
      <c r="F1461" s="39">
        <f>SUMIF(RAW_File!D:D,C:C,RAW_File!I:I)</f>
        <v>37840</v>
      </c>
      <c r="G1461" s="40">
        <f>SUMIF(RAW_File!D:D,C:C,RAW_File!K:K)</f>
        <v>0</v>
      </c>
      <c r="H1461" s="41">
        <f>SUMIF(RAW_File!D:D,C:C,RAW_File!M:M)</f>
        <v>50000</v>
      </c>
      <c r="I1461" s="40">
        <f t="shared" si="24"/>
        <v>50000</v>
      </c>
    </row>
    <row r="1462" spans="1:9" hidden="1" x14ac:dyDescent="0.25">
      <c r="A1462" s="36" t="s">
        <v>67</v>
      </c>
      <c r="B1462" s="36" t="s">
        <v>2325</v>
      </c>
      <c r="C1462" s="36" t="s">
        <v>2326</v>
      </c>
      <c r="D1462" s="37">
        <f>SUMIF(RAW_File!D:D,C:C,RAW_File!F:F)</f>
        <v>1287.5170741933409</v>
      </c>
      <c r="E1462" s="38">
        <f>SUMIF(RAW_File!D:D,C:C,RAW_File!G:G)</f>
        <v>3300</v>
      </c>
      <c r="F1462" s="39">
        <f>SUMIF(RAW_File!D:D,C:C,RAW_File!I:I)</f>
        <v>9740</v>
      </c>
      <c r="G1462" s="40">
        <f>SUMIF(RAW_File!D:D,C:C,RAW_File!K:K)</f>
        <v>0</v>
      </c>
      <c r="H1462" s="41">
        <f>SUMIF(RAW_File!D:D,C:C,RAW_File!M:M)</f>
        <v>13000</v>
      </c>
      <c r="I1462" s="40">
        <f t="shared" si="24"/>
        <v>13000</v>
      </c>
    </row>
    <row r="1463" spans="1:9" hidden="1" x14ac:dyDescent="0.25">
      <c r="A1463" s="36" t="s">
        <v>67</v>
      </c>
      <c r="B1463" s="36" t="s">
        <v>2426</v>
      </c>
      <c r="C1463" s="36" t="s">
        <v>2427</v>
      </c>
      <c r="D1463" s="37">
        <f>SUMIF(RAW_File!D:D,C:C,RAW_File!F:F)</f>
        <v>22503.181916461541</v>
      </c>
      <c r="E1463" s="38">
        <f>SUMIF(RAW_File!D:D,C:C,RAW_File!G:G)</f>
        <v>5900</v>
      </c>
      <c r="F1463" s="39">
        <f>SUMIF(RAW_File!D:D,C:C,RAW_File!I:I)</f>
        <v>31190</v>
      </c>
      <c r="G1463" s="40">
        <f>SUMIF(RAW_File!D:D,C:C,RAW_File!K:K)</f>
        <v>0</v>
      </c>
      <c r="H1463" s="41">
        <f>SUMIF(RAW_File!D:D,C:C,RAW_File!M:M)</f>
        <v>5000</v>
      </c>
      <c r="I1463" s="40">
        <f t="shared" si="24"/>
        <v>5000</v>
      </c>
    </row>
    <row r="1464" spans="1:9" hidden="1" x14ac:dyDescent="0.25">
      <c r="A1464" s="36" t="s">
        <v>67</v>
      </c>
      <c r="B1464" s="36" t="s">
        <v>2569</v>
      </c>
      <c r="C1464" s="36" t="s">
        <v>2570</v>
      </c>
      <c r="D1464" s="37">
        <f>SUMIF(RAW_File!D:D,C:C,RAW_File!F:F)</f>
        <v>5564.0790999999999</v>
      </c>
      <c r="E1464" s="38">
        <f>SUMIF(RAW_File!D:D,C:C,RAW_File!G:G)</f>
        <v>302</v>
      </c>
      <c r="F1464" s="39">
        <f>SUMIF(RAW_File!D:D,C:C,RAW_File!I:I)</f>
        <v>31272</v>
      </c>
      <c r="G1464" s="40">
        <f>SUMIF(RAW_File!D:D,C:C,RAW_File!K:K)</f>
        <v>0</v>
      </c>
      <c r="H1464" s="41">
        <f>SUMIF(RAW_File!D:D,C:C,RAW_File!M:M)</f>
        <v>27000</v>
      </c>
      <c r="I1464" s="40">
        <f t="shared" si="24"/>
        <v>27000</v>
      </c>
    </row>
    <row r="1465" spans="1:9" hidden="1" x14ac:dyDescent="0.25">
      <c r="A1465" s="36" t="s">
        <v>67</v>
      </c>
      <c r="B1465" s="36" t="s">
        <v>2588</v>
      </c>
      <c r="C1465" s="36" t="s">
        <v>2589</v>
      </c>
      <c r="D1465" s="37">
        <f>SUMIF(RAW_File!D:D,C:C,RAW_File!F:F)</f>
        <v>13642.56935311626</v>
      </c>
      <c r="E1465" s="38">
        <f>SUMIF(RAW_File!D:D,C:C,RAW_File!G:G)</f>
        <v>11520</v>
      </c>
      <c r="F1465" s="39">
        <f>SUMIF(RAW_File!D:D,C:C,RAW_File!I:I)</f>
        <v>40420</v>
      </c>
      <c r="G1465" s="40">
        <f>SUMIF(RAW_File!D:D,C:C,RAW_File!K:K)</f>
        <v>1000</v>
      </c>
      <c r="H1465" s="41">
        <f>SUMIF(RAW_File!D:D,C:C,RAW_File!M:M)</f>
        <v>50000</v>
      </c>
      <c r="I1465" s="40">
        <f t="shared" si="24"/>
        <v>49000</v>
      </c>
    </row>
    <row r="1466" spans="1:9" hidden="1" x14ac:dyDescent="0.25">
      <c r="A1466" s="36" t="s">
        <v>67</v>
      </c>
      <c r="B1466" s="36" t="s">
        <v>2798</v>
      </c>
      <c r="C1466" s="36" t="s">
        <v>2799</v>
      </c>
      <c r="D1466" s="37">
        <f>SUMIF(RAW_File!D:D,C:C,RAW_File!F:F)</f>
        <v>43.496299999999998</v>
      </c>
      <c r="E1466" s="38">
        <f>SUMIF(RAW_File!D:D,C:C,RAW_File!G:G)</f>
        <v>1035</v>
      </c>
      <c r="F1466" s="39">
        <f>SUMIF(RAW_File!D:D,C:C,RAW_File!I:I)</f>
        <v>1035</v>
      </c>
      <c r="G1466" s="40">
        <f>SUMIF(RAW_File!D:D,C:C,RAW_File!K:K)</f>
        <v>0</v>
      </c>
      <c r="H1466" s="41">
        <f>SUMIF(RAW_File!D:D,C:C,RAW_File!M:M)</f>
        <v>5000</v>
      </c>
      <c r="I1466" s="40">
        <f t="shared" si="24"/>
        <v>5000</v>
      </c>
    </row>
    <row r="1467" spans="1:9" hidden="1" x14ac:dyDescent="0.25">
      <c r="A1467" s="36" t="s">
        <v>67</v>
      </c>
      <c r="B1467" s="36" t="s">
        <v>2943</v>
      </c>
      <c r="C1467" s="36" t="s">
        <v>2944</v>
      </c>
      <c r="D1467" s="37">
        <f>SUMIF(RAW_File!D:D,C:C,RAW_File!F:F)</f>
        <v>4267.2937070971866</v>
      </c>
      <c r="E1467" s="38">
        <f>SUMIF(RAW_File!D:D,C:C,RAW_File!G:G)</f>
        <v>520</v>
      </c>
      <c r="F1467" s="39">
        <f>SUMIF(RAW_File!D:D,C:C,RAW_File!I:I)</f>
        <v>8090</v>
      </c>
      <c r="G1467" s="40">
        <f>SUMIF(RAW_File!D:D,C:C,RAW_File!K:K)</f>
        <v>0</v>
      </c>
      <c r="H1467" s="41">
        <f>SUMIF(RAW_File!D:D,C:C,RAW_File!M:M)</f>
        <v>12000</v>
      </c>
      <c r="I1467" s="40">
        <f t="shared" si="24"/>
        <v>12000</v>
      </c>
    </row>
    <row r="1468" spans="1:9" hidden="1" x14ac:dyDescent="0.25">
      <c r="A1468" s="36" t="s">
        <v>67</v>
      </c>
      <c r="B1468" s="36" t="s">
        <v>3040</v>
      </c>
      <c r="C1468" s="36" t="s">
        <v>3041</v>
      </c>
      <c r="D1468" s="37">
        <f>SUMIF(RAW_File!D:D,C:C,RAW_File!F:F)</f>
        <v>8954.7257438993474</v>
      </c>
      <c r="E1468" s="38">
        <f>SUMIF(RAW_File!D:D,C:C,RAW_File!G:G)</f>
        <v>0</v>
      </c>
      <c r="F1468" s="39">
        <f>SUMIF(RAW_File!D:D,C:C,RAW_File!I:I)</f>
        <v>2000</v>
      </c>
      <c r="G1468" s="40">
        <f>SUMIF(RAW_File!D:D,C:C,RAW_File!K:K)</f>
        <v>5000</v>
      </c>
      <c r="H1468" s="41">
        <f>SUMIF(RAW_File!D:D,C:C,RAW_File!M:M)</f>
        <v>0</v>
      </c>
      <c r="I1468" s="40">
        <f t="shared" si="24"/>
        <v>5000</v>
      </c>
    </row>
    <row r="1469" spans="1:9" hidden="1" x14ac:dyDescent="0.25">
      <c r="A1469" s="36" t="s">
        <v>67</v>
      </c>
      <c r="B1469" s="36" t="s">
        <v>3079</v>
      </c>
      <c r="C1469" s="36" t="s">
        <v>3080</v>
      </c>
      <c r="D1469" s="37">
        <f>SUMIF(RAW_File!D:D,C:C,RAW_File!F:F)</f>
        <v>1.9390000000000001</v>
      </c>
      <c r="E1469" s="38">
        <f>SUMIF(RAW_File!D:D,C:C,RAW_File!G:G)</f>
        <v>0</v>
      </c>
      <c r="F1469" s="39">
        <f>SUMIF(RAW_File!D:D,C:C,RAW_File!I:I)</f>
        <v>0</v>
      </c>
      <c r="G1469" s="40">
        <f>SUMIF(RAW_File!D:D,C:C,RAW_File!K:K)</f>
        <v>0</v>
      </c>
      <c r="H1469" s="41">
        <f>SUMIF(RAW_File!D:D,C:C,RAW_File!M:M)</f>
        <v>0</v>
      </c>
      <c r="I1469" s="40">
        <f t="shared" si="24"/>
        <v>0</v>
      </c>
    </row>
    <row r="1470" spans="1:9" hidden="1" x14ac:dyDescent="0.25">
      <c r="A1470" s="36" t="s">
        <v>67</v>
      </c>
      <c r="B1470" s="36" t="s">
        <v>3103</v>
      </c>
      <c r="C1470" s="36" t="s">
        <v>3104</v>
      </c>
      <c r="D1470" s="37">
        <f>SUMIF(RAW_File!D:D,C:C,RAW_File!F:F)</f>
        <v>12661.59336137235</v>
      </c>
      <c r="E1470" s="38">
        <f>SUMIF(RAW_File!D:D,C:C,RAW_File!G:G)</f>
        <v>27145</v>
      </c>
      <c r="F1470" s="39">
        <f>SUMIF(RAW_File!D:D,C:C,RAW_File!I:I)</f>
        <v>36465</v>
      </c>
      <c r="G1470" s="40">
        <f>SUMIF(RAW_File!D:D,C:C,RAW_File!K:K)</f>
        <v>30000</v>
      </c>
      <c r="H1470" s="41">
        <f>SUMIF(RAW_File!D:D,C:C,RAW_File!M:M)</f>
        <v>0</v>
      </c>
      <c r="I1470" s="40">
        <f t="shared" si="24"/>
        <v>30000</v>
      </c>
    </row>
    <row r="1471" spans="1:9" hidden="1" x14ac:dyDescent="0.25">
      <c r="A1471" s="36" t="s">
        <v>67</v>
      </c>
      <c r="B1471" s="36" t="s">
        <v>3151</v>
      </c>
      <c r="C1471" s="36" t="s">
        <v>3152</v>
      </c>
      <c r="D1471" s="37">
        <f>SUMIF(RAW_File!D:D,C:C,RAW_File!F:F)</f>
        <v>6540.4283999999998</v>
      </c>
      <c r="E1471" s="38">
        <f>SUMIF(RAW_File!D:D,C:C,RAW_File!G:G)</f>
        <v>1709</v>
      </c>
      <c r="F1471" s="39">
        <f>SUMIF(RAW_File!D:D,C:C,RAW_File!I:I)</f>
        <v>11979</v>
      </c>
      <c r="G1471" s="40">
        <f>SUMIF(RAW_File!D:D,C:C,RAW_File!K:K)</f>
        <v>5000</v>
      </c>
      <c r="H1471" s="41">
        <f>SUMIF(RAW_File!D:D,C:C,RAW_File!M:M)</f>
        <v>0</v>
      </c>
      <c r="I1471" s="40">
        <f t="shared" si="24"/>
        <v>5000</v>
      </c>
    </row>
    <row r="1472" spans="1:9" hidden="1" x14ac:dyDescent="0.25">
      <c r="A1472" s="36" t="s">
        <v>67</v>
      </c>
      <c r="B1472" s="36" t="s">
        <v>3217</v>
      </c>
      <c r="C1472" s="36" t="s">
        <v>3218</v>
      </c>
      <c r="D1472" s="37">
        <f>SUMIF(RAW_File!D:D,C:C,RAW_File!F:F)</f>
        <v>30655.231898809991</v>
      </c>
      <c r="E1472" s="38">
        <f>SUMIF(RAW_File!D:D,C:C,RAW_File!G:G)</f>
        <v>0</v>
      </c>
      <c r="F1472" s="39">
        <f>SUMIF(RAW_File!D:D,C:C,RAW_File!I:I)</f>
        <v>10225</v>
      </c>
      <c r="G1472" s="40">
        <f>SUMIF(RAW_File!D:D,C:C,RAW_File!K:K)</f>
        <v>0</v>
      </c>
      <c r="H1472" s="41">
        <f>SUMIF(RAW_File!D:D,C:C,RAW_File!M:M)</f>
        <v>6000</v>
      </c>
      <c r="I1472" s="40">
        <f t="shared" si="24"/>
        <v>6000</v>
      </c>
    </row>
    <row r="1473" spans="1:9" hidden="1" x14ac:dyDescent="0.25">
      <c r="A1473" s="36" t="s">
        <v>67</v>
      </c>
      <c r="B1473" s="36" t="s">
        <v>3381</v>
      </c>
      <c r="C1473" s="36" t="s">
        <v>3382</v>
      </c>
      <c r="D1473" s="37">
        <f>SUMIF(RAW_File!D:D,C:C,RAW_File!F:F)</f>
        <v>10319.81561786535</v>
      </c>
      <c r="E1473" s="38">
        <f>SUMIF(RAW_File!D:D,C:C,RAW_File!G:G)</f>
        <v>0</v>
      </c>
      <c r="F1473" s="39">
        <f>SUMIF(RAW_File!D:D,C:C,RAW_File!I:I)</f>
        <v>2800</v>
      </c>
      <c r="G1473" s="40">
        <f>SUMIF(RAW_File!D:D,C:C,RAW_File!K:K)</f>
        <v>0</v>
      </c>
      <c r="H1473" s="41">
        <f>SUMIF(RAW_File!D:D,C:C,RAW_File!M:M)</f>
        <v>15000</v>
      </c>
      <c r="I1473" s="40">
        <f t="shared" si="24"/>
        <v>15000</v>
      </c>
    </row>
    <row r="1474" spans="1:9" hidden="1" x14ac:dyDescent="0.25">
      <c r="A1474" s="36" t="s">
        <v>67</v>
      </c>
      <c r="B1474" s="36" t="s">
        <v>3428</v>
      </c>
      <c r="C1474" s="36" t="s">
        <v>3429</v>
      </c>
      <c r="D1474" s="37">
        <f>SUMIF(RAW_File!D:D,C:C,RAW_File!F:F)</f>
        <v>3888.3759640568469</v>
      </c>
      <c r="E1474" s="38">
        <f>SUMIF(RAW_File!D:D,C:C,RAW_File!G:G)</f>
        <v>5000</v>
      </c>
      <c r="F1474" s="39">
        <f>SUMIF(RAW_File!D:D,C:C,RAW_File!I:I)</f>
        <v>5000</v>
      </c>
      <c r="G1474" s="40">
        <f>SUMIF(RAW_File!D:D,C:C,RAW_File!K:K)</f>
        <v>5000</v>
      </c>
      <c r="H1474" s="41">
        <f>SUMIF(RAW_File!D:D,C:C,RAW_File!M:M)</f>
        <v>0</v>
      </c>
      <c r="I1474" s="40">
        <f t="shared" si="24"/>
        <v>5000</v>
      </c>
    </row>
    <row r="1475" spans="1:9" hidden="1" x14ac:dyDescent="0.25">
      <c r="A1475" s="36" t="s">
        <v>67</v>
      </c>
      <c r="B1475" s="36" t="s">
        <v>3554</v>
      </c>
      <c r="C1475" s="36" t="s">
        <v>3555</v>
      </c>
      <c r="D1475" s="64"/>
      <c r="E1475" s="66"/>
      <c r="F1475" s="68"/>
      <c r="G1475" s="70"/>
      <c r="H1475" s="36"/>
      <c r="I1475" s="70"/>
    </row>
    <row r="1476" spans="1:9" hidden="1" x14ac:dyDescent="0.25">
      <c r="A1476" s="36" t="s">
        <v>67</v>
      </c>
      <c r="B1476" s="36" t="s">
        <v>3556</v>
      </c>
      <c r="C1476" s="36" t="s">
        <v>3557</v>
      </c>
      <c r="D1476" s="64"/>
      <c r="E1476" s="66"/>
      <c r="F1476" s="68"/>
      <c r="G1476" s="70"/>
      <c r="H1476" s="36"/>
      <c r="I1476" s="70"/>
    </row>
    <row r="1477" spans="1:9" hidden="1" x14ac:dyDescent="0.25">
      <c r="A1477" s="36" t="s">
        <v>81</v>
      </c>
      <c r="B1477" s="36" t="s">
        <v>135</v>
      </c>
      <c r="C1477" s="36" t="s">
        <v>136</v>
      </c>
      <c r="D1477" s="37">
        <f>SUMIF(RAW_File!D:D,C:C,RAW_File!F:F)</f>
        <v>186.48304099999999</v>
      </c>
      <c r="E1477" s="38">
        <f>SUMIF(RAW_File!D:D,C:C,RAW_File!G:G)</f>
        <v>7310</v>
      </c>
      <c r="F1477" s="39">
        <f>SUMIF(RAW_File!D:D,C:C,RAW_File!I:I)</f>
        <v>7390</v>
      </c>
      <c r="G1477" s="40">
        <f>SUMIF(RAW_File!D:D,C:C,RAW_File!K:K)</f>
        <v>6000</v>
      </c>
      <c r="H1477" s="41">
        <f>SUMIF(RAW_File!D:D,C:C,RAW_File!M:M)</f>
        <v>0</v>
      </c>
      <c r="I1477" s="40">
        <f t="shared" ref="I1477:I1540" si="25">ABS(G1477-H1477)</f>
        <v>6000</v>
      </c>
    </row>
    <row r="1478" spans="1:9" hidden="1" x14ac:dyDescent="0.25">
      <c r="A1478" s="36" t="s">
        <v>81</v>
      </c>
      <c r="B1478" s="36" t="s">
        <v>137</v>
      </c>
      <c r="C1478" s="36" t="s">
        <v>138</v>
      </c>
      <c r="D1478" s="37">
        <f>SUMIF(RAW_File!D:D,C:C,RAW_File!F:F)</f>
        <v>12314.260840999999</v>
      </c>
      <c r="E1478" s="38">
        <f>SUMIF(RAW_File!D:D,C:C,RAW_File!G:G)</f>
        <v>0</v>
      </c>
      <c r="F1478" s="39">
        <f>SUMIF(RAW_File!D:D,C:C,RAW_File!I:I)</f>
        <v>7920</v>
      </c>
      <c r="G1478" s="40">
        <f>SUMIF(RAW_File!D:D,C:C,RAW_File!K:K)</f>
        <v>0</v>
      </c>
      <c r="H1478" s="41">
        <f>SUMIF(RAW_File!D:D,C:C,RAW_File!M:M)</f>
        <v>5000</v>
      </c>
      <c r="I1478" s="40">
        <f t="shared" si="25"/>
        <v>5000</v>
      </c>
    </row>
    <row r="1479" spans="1:9" hidden="1" x14ac:dyDescent="0.25">
      <c r="A1479" s="36" t="s">
        <v>81</v>
      </c>
      <c r="B1479" s="36" t="s">
        <v>139</v>
      </c>
      <c r="C1479" s="36" t="s">
        <v>140</v>
      </c>
      <c r="D1479" s="37">
        <f>SUMIF(RAW_File!D:D,C:C,RAW_File!F:F)</f>
        <v>17.851790999999999</v>
      </c>
      <c r="E1479" s="38">
        <f>SUMIF(RAW_File!D:D,C:C,RAW_File!G:G)</f>
        <v>5110</v>
      </c>
      <c r="F1479" s="39">
        <f>SUMIF(RAW_File!D:D,C:C,RAW_File!I:I)</f>
        <v>5200</v>
      </c>
      <c r="G1479" s="40">
        <f>SUMIF(RAW_File!D:D,C:C,RAW_File!K:K)</f>
        <v>5000</v>
      </c>
      <c r="H1479" s="41">
        <f>SUMIF(RAW_File!D:D,C:C,RAW_File!M:M)</f>
        <v>0</v>
      </c>
      <c r="I1479" s="40">
        <f t="shared" si="25"/>
        <v>5000</v>
      </c>
    </row>
    <row r="1480" spans="1:9" hidden="1" x14ac:dyDescent="0.25">
      <c r="A1480" s="36" t="s">
        <v>81</v>
      </c>
      <c r="B1480" s="36" t="s">
        <v>147</v>
      </c>
      <c r="C1480" s="36" t="s">
        <v>148</v>
      </c>
      <c r="D1480" s="37">
        <f>SUMIF(RAW_File!D:D,C:C,RAW_File!F:F)</f>
        <v>13675.432355999999</v>
      </c>
      <c r="E1480" s="38">
        <f>SUMIF(RAW_File!D:D,C:C,RAW_File!G:G)</f>
        <v>5605</v>
      </c>
      <c r="F1480" s="39">
        <f>SUMIF(RAW_File!D:D,C:C,RAW_File!I:I)</f>
        <v>20225</v>
      </c>
      <c r="G1480" s="40">
        <f>SUMIF(RAW_File!D:D,C:C,RAW_File!K:K)</f>
        <v>0</v>
      </c>
      <c r="H1480" s="41">
        <f>SUMIF(RAW_File!D:D,C:C,RAW_File!M:M)</f>
        <v>6000</v>
      </c>
      <c r="I1480" s="40">
        <f t="shared" si="25"/>
        <v>6000</v>
      </c>
    </row>
    <row r="1481" spans="1:9" hidden="1" x14ac:dyDescent="0.25">
      <c r="A1481" s="36" t="s">
        <v>81</v>
      </c>
      <c r="B1481" s="36" t="s">
        <v>223</v>
      </c>
      <c r="C1481" s="36" t="s">
        <v>224</v>
      </c>
      <c r="D1481" s="37">
        <f>SUMIF(RAW_File!D:D,C:C,RAW_File!F:F)</f>
        <v>30.613803999999998</v>
      </c>
      <c r="E1481" s="38">
        <f>SUMIF(RAW_File!D:D,C:C,RAW_File!G:G)</f>
        <v>203</v>
      </c>
      <c r="F1481" s="39">
        <f>SUMIF(RAW_File!D:D,C:C,RAW_File!I:I)</f>
        <v>403</v>
      </c>
      <c r="G1481" s="40">
        <f>SUMIF(RAW_File!D:D,C:C,RAW_File!K:K)</f>
        <v>0</v>
      </c>
      <c r="H1481" s="41">
        <f>SUMIF(RAW_File!D:D,C:C,RAW_File!M:M)</f>
        <v>0</v>
      </c>
      <c r="I1481" s="40">
        <f t="shared" si="25"/>
        <v>0</v>
      </c>
    </row>
    <row r="1482" spans="1:9" hidden="1" x14ac:dyDescent="0.25">
      <c r="A1482" s="36" t="s">
        <v>81</v>
      </c>
      <c r="B1482" s="36" t="s">
        <v>358</v>
      </c>
      <c r="C1482" s="36" t="s">
        <v>359</v>
      </c>
      <c r="D1482" s="37">
        <f>SUMIF(RAW_File!D:D,C:C,RAW_File!F:F)</f>
        <v>12928.620460298571</v>
      </c>
      <c r="E1482" s="38">
        <f>SUMIF(RAW_File!D:D,C:C,RAW_File!G:G)</f>
        <v>0</v>
      </c>
      <c r="F1482" s="39">
        <f>SUMIF(RAW_File!D:D,C:C,RAW_File!I:I)</f>
        <v>3200</v>
      </c>
      <c r="G1482" s="40">
        <f>SUMIF(RAW_File!D:D,C:C,RAW_File!K:K)</f>
        <v>5000</v>
      </c>
      <c r="H1482" s="41">
        <f>SUMIF(RAW_File!D:D,C:C,RAW_File!M:M)</f>
        <v>0</v>
      </c>
      <c r="I1482" s="40">
        <f t="shared" si="25"/>
        <v>5000</v>
      </c>
    </row>
    <row r="1483" spans="1:9" hidden="1" x14ac:dyDescent="0.25">
      <c r="A1483" s="36" t="s">
        <v>81</v>
      </c>
      <c r="B1483" s="36" t="s">
        <v>423</v>
      </c>
      <c r="C1483" s="36" t="s">
        <v>424</v>
      </c>
      <c r="D1483" s="37">
        <f>SUMIF(RAW_File!D:D,C:C,RAW_File!F:F)</f>
        <v>5501.5817533274749</v>
      </c>
      <c r="E1483" s="38">
        <f>SUMIF(RAW_File!D:D,C:C,RAW_File!G:G)</f>
        <v>15568</v>
      </c>
      <c r="F1483" s="39">
        <f>SUMIF(RAW_File!D:D,C:C,RAW_File!I:I)</f>
        <v>66062.27</v>
      </c>
      <c r="G1483" s="40">
        <f>SUMIF(RAW_File!D:D,C:C,RAW_File!K:K)</f>
        <v>5000</v>
      </c>
      <c r="H1483" s="41">
        <f>SUMIF(RAW_File!D:D,C:C,RAW_File!M:M)</f>
        <v>77000</v>
      </c>
      <c r="I1483" s="40">
        <f t="shared" si="25"/>
        <v>72000</v>
      </c>
    </row>
    <row r="1484" spans="1:9" hidden="1" x14ac:dyDescent="0.25">
      <c r="A1484" s="36" t="s">
        <v>81</v>
      </c>
      <c r="B1484" s="36" t="s">
        <v>490</v>
      </c>
      <c r="C1484" s="36" t="s">
        <v>491</v>
      </c>
      <c r="D1484" s="37">
        <f>SUMIF(RAW_File!D:D,C:C,RAW_File!F:F)</f>
        <v>6401.9040193216124</v>
      </c>
      <c r="E1484" s="38">
        <f>SUMIF(RAW_File!D:D,C:C,RAW_File!G:G)</f>
        <v>0</v>
      </c>
      <c r="F1484" s="39">
        <f>SUMIF(RAW_File!D:D,C:C,RAW_File!I:I)</f>
        <v>500</v>
      </c>
      <c r="G1484" s="40">
        <f>SUMIF(RAW_File!D:D,C:C,RAW_File!K:K)</f>
        <v>5000</v>
      </c>
      <c r="H1484" s="41">
        <f>SUMIF(RAW_File!D:D,C:C,RAW_File!M:M)</f>
        <v>0</v>
      </c>
      <c r="I1484" s="40">
        <f t="shared" si="25"/>
        <v>5000</v>
      </c>
    </row>
    <row r="1485" spans="1:9" hidden="1" x14ac:dyDescent="0.25">
      <c r="A1485" s="36" t="s">
        <v>81</v>
      </c>
      <c r="B1485" s="36" t="s">
        <v>537</v>
      </c>
      <c r="C1485" s="36" t="s">
        <v>538</v>
      </c>
      <c r="D1485" s="37">
        <f>SUMIF(RAW_File!D:D,C:C,RAW_File!F:F)</f>
        <v>46.336632321802803</v>
      </c>
      <c r="E1485" s="38">
        <f>SUMIF(RAW_File!D:D,C:C,RAW_File!G:G)</f>
        <v>0</v>
      </c>
      <c r="F1485" s="39">
        <f>SUMIF(RAW_File!D:D,C:C,RAW_File!I:I)</f>
        <v>5000</v>
      </c>
      <c r="G1485" s="40">
        <f>SUMIF(RAW_File!D:D,C:C,RAW_File!K:K)</f>
        <v>0</v>
      </c>
      <c r="H1485" s="41">
        <f>SUMIF(RAW_File!D:D,C:C,RAW_File!M:M)</f>
        <v>5000</v>
      </c>
      <c r="I1485" s="40">
        <f t="shared" si="25"/>
        <v>5000</v>
      </c>
    </row>
    <row r="1486" spans="1:9" hidden="1" x14ac:dyDescent="0.25">
      <c r="A1486" s="36" t="s">
        <v>81</v>
      </c>
      <c r="B1486" s="36" t="s">
        <v>541</v>
      </c>
      <c r="C1486" s="36" t="s">
        <v>542</v>
      </c>
      <c r="D1486" s="37">
        <f>SUMIF(RAW_File!D:D,C:C,RAW_File!F:F)</f>
        <v>10367.66193441147</v>
      </c>
      <c r="E1486" s="38">
        <f>SUMIF(RAW_File!D:D,C:C,RAW_File!G:G)</f>
        <v>245</v>
      </c>
      <c r="F1486" s="39">
        <f>SUMIF(RAW_File!D:D,C:C,RAW_File!I:I)</f>
        <v>27455</v>
      </c>
      <c r="G1486" s="40">
        <f>SUMIF(RAW_File!D:D,C:C,RAW_File!K:K)</f>
        <v>0</v>
      </c>
      <c r="H1486" s="41">
        <f>SUMIF(RAW_File!D:D,C:C,RAW_File!M:M)</f>
        <v>50000</v>
      </c>
      <c r="I1486" s="40">
        <f t="shared" si="25"/>
        <v>50000</v>
      </c>
    </row>
    <row r="1487" spans="1:9" hidden="1" x14ac:dyDescent="0.25">
      <c r="A1487" s="36" t="s">
        <v>81</v>
      </c>
      <c r="B1487" s="36" t="s">
        <v>600</v>
      </c>
      <c r="C1487" s="36" t="s">
        <v>601</v>
      </c>
      <c r="D1487" s="37">
        <f>SUMIF(RAW_File!D:D,C:C,RAW_File!F:F)</f>
        <v>1131.710347</v>
      </c>
      <c r="E1487" s="38">
        <f>SUMIF(RAW_File!D:D,C:C,RAW_File!G:G)</f>
        <v>6330</v>
      </c>
      <c r="F1487" s="39">
        <f>SUMIF(RAW_File!D:D,C:C,RAW_File!I:I)</f>
        <v>6330</v>
      </c>
      <c r="G1487" s="40">
        <f>SUMIF(RAW_File!D:D,C:C,RAW_File!K:K)</f>
        <v>0</v>
      </c>
      <c r="H1487" s="41">
        <f>SUMIF(RAW_File!D:D,C:C,RAW_File!M:M)</f>
        <v>5000</v>
      </c>
      <c r="I1487" s="40">
        <f t="shared" si="25"/>
        <v>5000</v>
      </c>
    </row>
    <row r="1488" spans="1:9" hidden="1" x14ac:dyDescent="0.25">
      <c r="A1488" s="36" t="s">
        <v>81</v>
      </c>
      <c r="B1488" s="36" t="s">
        <v>612</v>
      </c>
      <c r="C1488" s="36" t="s">
        <v>613</v>
      </c>
      <c r="D1488" s="37">
        <f>SUMIF(RAW_File!D:D,C:C,RAW_File!F:F)</f>
        <v>5740.2168369251831</v>
      </c>
      <c r="E1488" s="38">
        <f>SUMIF(RAW_File!D:D,C:C,RAW_File!G:G)</f>
        <v>3650</v>
      </c>
      <c r="F1488" s="39">
        <f>SUMIF(RAW_File!D:D,C:C,RAW_File!I:I)</f>
        <v>15290</v>
      </c>
      <c r="G1488" s="40">
        <f>SUMIF(RAW_File!D:D,C:C,RAW_File!K:K)</f>
        <v>5000</v>
      </c>
      <c r="H1488" s="41">
        <f>SUMIF(RAW_File!D:D,C:C,RAW_File!M:M)</f>
        <v>25000</v>
      </c>
      <c r="I1488" s="40">
        <f t="shared" si="25"/>
        <v>20000</v>
      </c>
    </row>
    <row r="1489" spans="1:9" hidden="1" x14ac:dyDescent="0.25">
      <c r="A1489" s="36" t="s">
        <v>81</v>
      </c>
      <c r="B1489" s="36" t="s">
        <v>641</v>
      </c>
      <c r="C1489" s="36" t="s">
        <v>642</v>
      </c>
      <c r="D1489" s="37">
        <f>SUMIF(RAW_File!D:D,C:C,RAW_File!F:F)</f>
        <v>14586.1955</v>
      </c>
      <c r="E1489" s="38">
        <f>SUMIF(RAW_File!D:D,C:C,RAW_File!G:G)</f>
        <v>0</v>
      </c>
      <c r="F1489" s="39">
        <f>SUMIF(RAW_File!D:D,C:C,RAW_File!I:I)</f>
        <v>0</v>
      </c>
      <c r="G1489" s="40">
        <f>SUMIF(RAW_File!D:D,C:C,RAW_File!K:K)</f>
        <v>0</v>
      </c>
      <c r="H1489" s="41">
        <f>SUMIF(RAW_File!D:D,C:C,RAW_File!M:M)</f>
        <v>0</v>
      </c>
      <c r="I1489" s="40">
        <f t="shared" si="25"/>
        <v>0</v>
      </c>
    </row>
    <row r="1490" spans="1:9" hidden="1" x14ac:dyDescent="0.25">
      <c r="A1490" s="36" t="s">
        <v>81</v>
      </c>
      <c r="B1490" s="36" t="s">
        <v>643</v>
      </c>
      <c r="C1490" s="36" t="s">
        <v>644</v>
      </c>
      <c r="D1490" s="37">
        <f>SUMIF(RAW_File!D:D,C:C,RAW_File!F:F)</f>
        <v>12196.65310866336</v>
      </c>
      <c r="E1490" s="38">
        <f>SUMIF(RAW_File!D:D,C:C,RAW_File!G:G)</f>
        <v>6345</v>
      </c>
      <c r="F1490" s="39">
        <f>SUMIF(RAW_File!D:D,C:C,RAW_File!I:I)</f>
        <v>42790</v>
      </c>
      <c r="G1490" s="40">
        <f>SUMIF(RAW_File!D:D,C:C,RAW_File!K:K)</f>
        <v>0</v>
      </c>
      <c r="H1490" s="41">
        <f>SUMIF(RAW_File!D:D,C:C,RAW_File!M:M)</f>
        <v>55000</v>
      </c>
      <c r="I1490" s="40">
        <f t="shared" si="25"/>
        <v>55000</v>
      </c>
    </row>
    <row r="1491" spans="1:9" hidden="1" x14ac:dyDescent="0.25">
      <c r="A1491" s="36" t="s">
        <v>81</v>
      </c>
      <c r="B1491" s="36" t="s">
        <v>651</v>
      </c>
      <c r="C1491" s="36" t="s">
        <v>652</v>
      </c>
      <c r="D1491" s="37">
        <f>SUMIF(RAW_File!D:D,C:C,RAW_File!F:F)</f>
        <v>1007.945099959258</v>
      </c>
      <c r="E1491" s="38">
        <f>SUMIF(RAW_File!D:D,C:C,RAW_File!G:G)</f>
        <v>0</v>
      </c>
      <c r="F1491" s="39">
        <f>SUMIF(RAW_File!D:D,C:C,RAW_File!I:I)</f>
        <v>1000</v>
      </c>
      <c r="G1491" s="40">
        <f>SUMIF(RAW_File!D:D,C:C,RAW_File!K:K)</f>
        <v>0</v>
      </c>
      <c r="H1491" s="41">
        <f>SUMIF(RAW_File!D:D,C:C,RAW_File!M:M)</f>
        <v>0</v>
      </c>
      <c r="I1491" s="40">
        <f t="shared" si="25"/>
        <v>0</v>
      </c>
    </row>
    <row r="1492" spans="1:9" hidden="1" x14ac:dyDescent="0.25">
      <c r="A1492" s="36" t="s">
        <v>81</v>
      </c>
      <c r="B1492" s="36" t="s">
        <v>791</v>
      </c>
      <c r="C1492" s="36" t="s">
        <v>792</v>
      </c>
      <c r="D1492" s="37">
        <f>SUMIF(RAW_File!D:D,C:C,RAW_File!F:F)</f>
        <v>3507.0470665751518</v>
      </c>
      <c r="E1492" s="38">
        <f>SUMIF(RAW_File!D:D,C:C,RAW_File!G:G)</f>
        <v>1579</v>
      </c>
      <c r="F1492" s="39">
        <f>SUMIF(RAW_File!D:D,C:C,RAW_File!I:I)</f>
        <v>1579</v>
      </c>
      <c r="G1492" s="40">
        <f>SUMIF(RAW_File!D:D,C:C,RAW_File!K:K)</f>
        <v>5000</v>
      </c>
      <c r="H1492" s="41">
        <f>SUMIF(RAW_File!D:D,C:C,RAW_File!M:M)</f>
        <v>0</v>
      </c>
      <c r="I1492" s="40">
        <f t="shared" si="25"/>
        <v>5000</v>
      </c>
    </row>
    <row r="1493" spans="1:9" hidden="1" x14ac:dyDescent="0.25">
      <c r="A1493" s="36" t="s">
        <v>81</v>
      </c>
      <c r="B1493" s="36" t="s">
        <v>807</v>
      </c>
      <c r="C1493" s="36" t="s">
        <v>809</v>
      </c>
      <c r="D1493" s="37">
        <f>SUMIF(RAW_File!D:D,C:C,RAW_File!F:F)</f>
        <v>1056.5893135122101</v>
      </c>
      <c r="E1493" s="38">
        <f>SUMIF(RAW_File!D:D,C:C,RAW_File!G:G)</f>
        <v>230</v>
      </c>
      <c r="F1493" s="39">
        <f>SUMIF(RAW_File!D:D,C:C,RAW_File!I:I)</f>
        <v>230</v>
      </c>
      <c r="G1493" s="40">
        <f>SUMIF(RAW_File!D:D,C:C,RAW_File!K:K)</f>
        <v>0</v>
      </c>
      <c r="H1493" s="41">
        <f>SUMIF(RAW_File!D:D,C:C,RAW_File!M:M)</f>
        <v>5000</v>
      </c>
      <c r="I1493" s="40">
        <f t="shared" si="25"/>
        <v>5000</v>
      </c>
    </row>
    <row r="1494" spans="1:9" hidden="1" x14ac:dyDescent="0.25">
      <c r="A1494" s="36" t="s">
        <v>81</v>
      </c>
      <c r="B1494" s="36" t="s">
        <v>887</v>
      </c>
      <c r="C1494" s="36" t="s">
        <v>888</v>
      </c>
      <c r="D1494" s="37">
        <f>SUMIF(RAW_File!D:D,C:C,RAW_File!F:F)</f>
        <v>9634.6655313311367</v>
      </c>
      <c r="E1494" s="38">
        <f>SUMIF(RAW_File!D:D,C:C,RAW_File!G:G)</f>
        <v>700</v>
      </c>
      <c r="F1494" s="39">
        <f>SUMIF(RAW_File!D:D,C:C,RAW_File!I:I)</f>
        <v>37730</v>
      </c>
      <c r="G1494" s="40">
        <f>SUMIF(RAW_File!D:D,C:C,RAW_File!K:K)</f>
        <v>0</v>
      </c>
      <c r="H1494" s="41">
        <f>SUMIF(RAW_File!D:D,C:C,RAW_File!M:M)</f>
        <v>55000</v>
      </c>
      <c r="I1494" s="40">
        <f t="shared" si="25"/>
        <v>55000</v>
      </c>
    </row>
    <row r="1495" spans="1:9" hidden="1" x14ac:dyDescent="0.25">
      <c r="A1495" s="36" t="s">
        <v>81</v>
      </c>
      <c r="B1495" s="36" t="s">
        <v>953</v>
      </c>
      <c r="C1495" s="36" t="s">
        <v>954</v>
      </c>
      <c r="D1495" s="37">
        <f>SUMIF(RAW_File!D:D,C:C,RAW_File!F:F)</f>
        <v>8.5995279999999994</v>
      </c>
      <c r="E1495" s="38">
        <f>SUMIF(RAW_File!D:D,C:C,RAW_File!G:G)</f>
        <v>489</v>
      </c>
      <c r="F1495" s="39">
        <f>SUMIF(RAW_File!D:D,C:C,RAW_File!I:I)</f>
        <v>15693</v>
      </c>
      <c r="G1495" s="40">
        <f>SUMIF(RAW_File!D:D,C:C,RAW_File!K:K)</f>
        <v>0</v>
      </c>
      <c r="H1495" s="41">
        <f>SUMIF(RAW_File!D:D,C:C,RAW_File!M:M)</f>
        <v>15000</v>
      </c>
      <c r="I1495" s="40">
        <f t="shared" si="25"/>
        <v>15000</v>
      </c>
    </row>
    <row r="1496" spans="1:9" hidden="1" x14ac:dyDescent="0.25">
      <c r="A1496" s="36" t="s">
        <v>81</v>
      </c>
      <c r="B1496" s="36" t="s">
        <v>769</v>
      </c>
      <c r="C1496" s="36" t="s">
        <v>1159</v>
      </c>
      <c r="D1496" s="37">
        <f>SUMIF(RAW_File!D:D,C:C,RAW_File!F:F)</f>
        <v>52329.477779690322</v>
      </c>
      <c r="E1496" s="38">
        <f>SUMIF(RAW_File!D:D,C:C,RAW_File!G:G)</f>
        <v>15645</v>
      </c>
      <c r="F1496" s="39">
        <f>SUMIF(RAW_File!D:D,C:C,RAW_File!I:I)</f>
        <v>49930</v>
      </c>
      <c r="G1496" s="40">
        <f>SUMIF(RAW_File!D:D,C:C,RAW_File!K:K)</f>
        <v>0</v>
      </c>
      <c r="H1496" s="41">
        <f>SUMIF(RAW_File!D:D,C:C,RAW_File!M:M)</f>
        <v>50000</v>
      </c>
      <c r="I1496" s="40">
        <f t="shared" si="25"/>
        <v>50000</v>
      </c>
    </row>
    <row r="1497" spans="1:9" hidden="1" x14ac:dyDescent="0.25">
      <c r="A1497" s="36" t="s">
        <v>81</v>
      </c>
      <c r="B1497" s="36" t="s">
        <v>1205</v>
      </c>
      <c r="C1497" s="36" t="s">
        <v>1206</v>
      </c>
      <c r="D1497" s="37">
        <f>SUMIF(RAW_File!D:D,C:C,RAW_File!F:F)</f>
        <v>2792.7963</v>
      </c>
      <c r="E1497" s="38">
        <f>SUMIF(RAW_File!D:D,C:C,RAW_File!G:G)</f>
        <v>1020</v>
      </c>
      <c r="F1497" s="39">
        <f>SUMIF(RAW_File!D:D,C:C,RAW_File!I:I)</f>
        <v>6170</v>
      </c>
      <c r="G1497" s="40">
        <f>SUMIF(RAW_File!D:D,C:C,RAW_File!K:K)</f>
        <v>0</v>
      </c>
      <c r="H1497" s="41">
        <f>SUMIF(RAW_File!D:D,C:C,RAW_File!M:M)</f>
        <v>6000</v>
      </c>
      <c r="I1497" s="40">
        <f t="shared" si="25"/>
        <v>6000</v>
      </c>
    </row>
    <row r="1498" spans="1:9" hidden="1" x14ac:dyDescent="0.25">
      <c r="A1498" s="36" t="s">
        <v>81</v>
      </c>
      <c r="B1498" s="36" t="s">
        <v>1299</v>
      </c>
      <c r="C1498" s="36" t="s">
        <v>1300</v>
      </c>
      <c r="D1498" s="37">
        <f>SUMIF(RAW_File!D:D,C:C,RAW_File!F:F)</f>
        <v>11487.37305</v>
      </c>
      <c r="E1498" s="38">
        <f>SUMIF(RAW_File!D:D,C:C,RAW_File!G:G)</f>
        <v>0</v>
      </c>
      <c r="F1498" s="39">
        <f>SUMIF(RAW_File!D:D,C:C,RAW_File!I:I)</f>
        <v>2505</v>
      </c>
      <c r="G1498" s="40">
        <f>SUMIF(RAW_File!D:D,C:C,RAW_File!K:K)</f>
        <v>5000</v>
      </c>
      <c r="H1498" s="41">
        <f>SUMIF(RAW_File!D:D,C:C,RAW_File!M:M)</f>
        <v>0</v>
      </c>
      <c r="I1498" s="40">
        <f t="shared" si="25"/>
        <v>5000</v>
      </c>
    </row>
    <row r="1499" spans="1:9" hidden="1" x14ac:dyDescent="0.25">
      <c r="A1499" s="36" t="s">
        <v>81</v>
      </c>
      <c r="B1499" s="36" t="s">
        <v>1301</v>
      </c>
      <c r="C1499" s="36" t="s">
        <v>1302</v>
      </c>
      <c r="D1499" s="37">
        <f>SUMIF(RAW_File!D:D,C:C,RAW_File!F:F)</f>
        <v>3716.3697893225258</v>
      </c>
      <c r="E1499" s="38">
        <f>SUMIF(RAW_File!D:D,C:C,RAW_File!G:G)</f>
        <v>38005</v>
      </c>
      <c r="F1499" s="39">
        <f>SUMIF(RAW_File!D:D,C:C,RAW_File!I:I)</f>
        <v>69245</v>
      </c>
      <c r="G1499" s="40">
        <f>SUMIF(RAW_File!D:D,C:C,RAW_File!K:K)</f>
        <v>0</v>
      </c>
      <c r="H1499" s="41">
        <f>SUMIF(RAW_File!D:D,C:C,RAW_File!M:M)</f>
        <v>15000</v>
      </c>
      <c r="I1499" s="40">
        <f t="shared" si="25"/>
        <v>15000</v>
      </c>
    </row>
    <row r="1500" spans="1:9" hidden="1" x14ac:dyDescent="0.25">
      <c r="A1500" s="36" t="s">
        <v>81</v>
      </c>
      <c r="B1500" s="36" t="s">
        <v>1332</v>
      </c>
      <c r="C1500" s="36" t="s">
        <v>1333</v>
      </c>
      <c r="D1500" s="37">
        <f>SUMIF(RAW_File!D:D,C:C,RAW_File!F:F)</f>
        <v>7216.8475471304437</v>
      </c>
      <c r="E1500" s="38">
        <f>SUMIF(RAW_File!D:D,C:C,RAW_File!G:G)</f>
        <v>610</v>
      </c>
      <c r="F1500" s="39">
        <f>SUMIF(RAW_File!D:D,C:C,RAW_File!I:I)</f>
        <v>610</v>
      </c>
      <c r="G1500" s="40">
        <f>SUMIF(RAW_File!D:D,C:C,RAW_File!K:K)</f>
        <v>6000</v>
      </c>
      <c r="H1500" s="41">
        <f>SUMIF(RAW_File!D:D,C:C,RAW_File!M:M)</f>
        <v>0</v>
      </c>
      <c r="I1500" s="40">
        <f t="shared" si="25"/>
        <v>6000</v>
      </c>
    </row>
    <row r="1501" spans="1:9" hidden="1" x14ac:dyDescent="0.25">
      <c r="A1501" s="36" t="s">
        <v>81</v>
      </c>
      <c r="B1501" s="36" t="s">
        <v>1442</v>
      </c>
      <c r="C1501" s="36" t="s">
        <v>1443</v>
      </c>
      <c r="D1501" s="37">
        <f>SUMIF(RAW_File!D:D,C:C,RAW_File!F:F)</f>
        <v>60.893085999999997</v>
      </c>
      <c r="E1501" s="38">
        <f>SUMIF(RAW_File!D:D,C:C,RAW_File!G:G)</f>
        <v>0</v>
      </c>
      <c r="F1501" s="39">
        <f>SUMIF(RAW_File!D:D,C:C,RAW_File!I:I)</f>
        <v>4998</v>
      </c>
      <c r="G1501" s="40">
        <f>SUMIF(RAW_File!D:D,C:C,RAW_File!K:K)</f>
        <v>0</v>
      </c>
      <c r="H1501" s="41">
        <f>SUMIF(RAW_File!D:D,C:C,RAW_File!M:M)</f>
        <v>5000</v>
      </c>
      <c r="I1501" s="40">
        <f t="shared" si="25"/>
        <v>5000</v>
      </c>
    </row>
    <row r="1502" spans="1:9" hidden="1" x14ac:dyDescent="0.25">
      <c r="A1502" s="36" t="s">
        <v>81</v>
      </c>
      <c r="B1502" s="36" t="s">
        <v>1458</v>
      </c>
      <c r="C1502" s="36" t="s">
        <v>1459</v>
      </c>
      <c r="D1502" s="37">
        <f>SUMIF(RAW_File!D:D,C:C,RAW_File!F:F)</f>
        <v>7691.3535000000002</v>
      </c>
      <c r="E1502" s="38">
        <f>SUMIF(RAW_File!D:D,C:C,RAW_File!G:G)</f>
        <v>0</v>
      </c>
      <c r="F1502" s="39">
        <f>SUMIF(RAW_File!D:D,C:C,RAW_File!I:I)</f>
        <v>23000</v>
      </c>
      <c r="G1502" s="40">
        <f>SUMIF(RAW_File!D:D,C:C,RAW_File!K:K)</f>
        <v>0</v>
      </c>
      <c r="H1502" s="41">
        <f>SUMIF(RAW_File!D:D,C:C,RAW_File!M:M)</f>
        <v>23000</v>
      </c>
      <c r="I1502" s="40">
        <f t="shared" si="25"/>
        <v>23000</v>
      </c>
    </row>
    <row r="1503" spans="1:9" hidden="1" x14ac:dyDescent="0.25">
      <c r="A1503" s="36" t="s">
        <v>81</v>
      </c>
      <c r="B1503" s="36" t="s">
        <v>1568</v>
      </c>
      <c r="C1503" s="36" t="s">
        <v>1569</v>
      </c>
      <c r="D1503" s="37">
        <f>SUMIF(RAW_File!D:D,C:C,RAW_File!F:F)</f>
        <v>41574.848370246458</v>
      </c>
      <c r="E1503" s="38">
        <f>SUMIF(RAW_File!D:D,C:C,RAW_File!G:G)</f>
        <v>22250</v>
      </c>
      <c r="F1503" s="39">
        <f>SUMIF(RAW_File!D:D,C:C,RAW_File!I:I)</f>
        <v>25040</v>
      </c>
      <c r="G1503" s="40">
        <f>SUMIF(RAW_File!D:D,C:C,RAW_File!K:K)</f>
        <v>5000</v>
      </c>
      <c r="H1503" s="41">
        <f>SUMIF(RAW_File!D:D,C:C,RAW_File!M:M)</f>
        <v>10000</v>
      </c>
      <c r="I1503" s="40">
        <f t="shared" si="25"/>
        <v>5000</v>
      </c>
    </row>
    <row r="1504" spans="1:9" hidden="1" x14ac:dyDescent="0.25">
      <c r="A1504" s="36" t="s">
        <v>81</v>
      </c>
      <c r="B1504" s="36" t="s">
        <v>1589</v>
      </c>
      <c r="C1504" s="36" t="s">
        <v>1590</v>
      </c>
      <c r="D1504" s="37">
        <f>SUMIF(RAW_File!D:D,C:C,RAW_File!F:F)</f>
        <v>18604.641251979781</v>
      </c>
      <c r="E1504" s="38">
        <f>SUMIF(RAW_File!D:D,C:C,RAW_File!G:G)</f>
        <v>11700</v>
      </c>
      <c r="F1504" s="39">
        <f>SUMIF(RAW_File!D:D,C:C,RAW_File!I:I)</f>
        <v>42950</v>
      </c>
      <c r="G1504" s="40">
        <f>SUMIF(RAW_File!D:D,C:C,RAW_File!K:K)</f>
        <v>0</v>
      </c>
      <c r="H1504" s="41">
        <f>SUMIF(RAW_File!D:D,C:C,RAW_File!M:M)</f>
        <v>15000</v>
      </c>
      <c r="I1504" s="40">
        <f t="shared" si="25"/>
        <v>15000</v>
      </c>
    </row>
    <row r="1505" spans="1:9" hidden="1" x14ac:dyDescent="0.25">
      <c r="A1505" s="42" t="s">
        <v>81</v>
      </c>
      <c r="B1505" s="36" t="s">
        <v>1722</v>
      </c>
      <c r="C1505" s="42" t="s">
        <v>1723</v>
      </c>
      <c r="D1505" s="37">
        <f>SUMIF(RAW_File!D:D,C:C,RAW_File!F:F)</f>
        <v>948.50840000000005</v>
      </c>
      <c r="E1505" s="38">
        <f>SUMIF(RAW_File!D:D,C:C,RAW_File!G:G)</f>
        <v>0</v>
      </c>
      <c r="F1505" s="39">
        <f>SUMIF(RAW_File!D:D,C:C,RAW_File!I:I)</f>
        <v>195</v>
      </c>
      <c r="G1505" s="40">
        <f>SUMIF(RAW_File!D:D,C:C,RAW_File!K:K)</f>
        <v>0</v>
      </c>
      <c r="H1505" s="41">
        <f>SUMIF(RAW_File!D:D,C:C,RAW_File!M:M)</f>
        <v>5000</v>
      </c>
      <c r="I1505" s="40">
        <f t="shared" si="25"/>
        <v>5000</v>
      </c>
    </row>
    <row r="1506" spans="1:9" hidden="1" x14ac:dyDescent="0.25">
      <c r="A1506" s="36" t="s">
        <v>81</v>
      </c>
      <c r="B1506" s="36" t="s">
        <v>1782</v>
      </c>
      <c r="C1506" s="36" t="s">
        <v>1783</v>
      </c>
      <c r="D1506" s="37">
        <f>SUMIF(RAW_File!D:D,C:C,RAW_File!F:F)</f>
        <v>10857.578400001101</v>
      </c>
      <c r="E1506" s="38">
        <f>SUMIF(RAW_File!D:D,C:C,RAW_File!G:G)</f>
        <v>4525</v>
      </c>
      <c r="F1506" s="39">
        <f>SUMIF(RAW_File!D:D,C:C,RAW_File!I:I)</f>
        <v>7480</v>
      </c>
      <c r="G1506" s="40">
        <f>SUMIF(RAW_File!D:D,C:C,RAW_File!K:K)</f>
        <v>0</v>
      </c>
      <c r="H1506" s="41">
        <f>SUMIF(RAW_File!D:D,C:C,RAW_File!M:M)</f>
        <v>5000</v>
      </c>
      <c r="I1506" s="40">
        <f t="shared" si="25"/>
        <v>5000</v>
      </c>
    </row>
    <row r="1507" spans="1:9" hidden="1" x14ac:dyDescent="0.25">
      <c r="A1507" s="36" t="s">
        <v>81</v>
      </c>
      <c r="B1507" s="36" t="s">
        <v>1790</v>
      </c>
      <c r="C1507" s="36" t="s">
        <v>1791</v>
      </c>
      <c r="D1507" s="37">
        <f>SUMIF(RAW_File!D:D,C:C,RAW_File!F:F)</f>
        <v>11378.27797985305</v>
      </c>
      <c r="E1507" s="38">
        <f>SUMIF(RAW_File!D:D,C:C,RAW_File!G:G)</f>
        <v>1000</v>
      </c>
      <c r="F1507" s="39">
        <f>SUMIF(RAW_File!D:D,C:C,RAW_File!I:I)</f>
        <v>39260</v>
      </c>
      <c r="G1507" s="40">
        <f>SUMIF(RAW_File!D:D,C:C,RAW_File!K:K)</f>
        <v>5000</v>
      </c>
      <c r="H1507" s="41">
        <f>SUMIF(RAW_File!D:D,C:C,RAW_File!M:M)</f>
        <v>40000</v>
      </c>
      <c r="I1507" s="40">
        <f t="shared" si="25"/>
        <v>35000</v>
      </c>
    </row>
    <row r="1508" spans="1:9" hidden="1" x14ac:dyDescent="0.25">
      <c r="A1508" s="36" t="s">
        <v>81</v>
      </c>
      <c r="B1508" s="36" t="s">
        <v>1933</v>
      </c>
      <c r="C1508" s="36" t="s">
        <v>1934</v>
      </c>
      <c r="D1508" s="37">
        <f>SUMIF(RAW_File!D:D,C:C,RAW_File!F:F)</f>
        <v>9477.0711942061225</v>
      </c>
      <c r="E1508" s="38">
        <f>SUMIF(RAW_File!D:D,C:C,RAW_File!G:G)</f>
        <v>650</v>
      </c>
      <c r="F1508" s="39">
        <f>SUMIF(RAW_File!D:D,C:C,RAW_File!I:I)</f>
        <v>2700</v>
      </c>
      <c r="G1508" s="40">
        <f>SUMIF(RAW_File!D:D,C:C,RAW_File!K:K)</f>
        <v>5000</v>
      </c>
      <c r="H1508" s="41">
        <f>SUMIF(RAW_File!D:D,C:C,RAW_File!M:M)</f>
        <v>0</v>
      </c>
      <c r="I1508" s="40">
        <f t="shared" si="25"/>
        <v>5000</v>
      </c>
    </row>
    <row r="1509" spans="1:9" hidden="1" x14ac:dyDescent="0.25">
      <c r="A1509" s="36" t="s">
        <v>81</v>
      </c>
      <c r="B1509" s="36" t="s">
        <v>1935</v>
      </c>
      <c r="C1509" s="36" t="s">
        <v>1936</v>
      </c>
      <c r="D1509" s="37">
        <f>SUMIF(RAW_File!D:D,C:C,RAW_File!F:F)</f>
        <v>8477.1332000000002</v>
      </c>
      <c r="E1509" s="38">
        <f>SUMIF(RAW_File!D:D,C:C,RAW_File!G:G)</f>
        <v>200</v>
      </c>
      <c r="F1509" s="39">
        <f>SUMIF(RAW_File!D:D,C:C,RAW_File!I:I)</f>
        <v>200</v>
      </c>
      <c r="G1509" s="40">
        <f>SUMIF(RAW_File!D:D,C:C,RAW_File!K:K)</f>
        <v>6000</v>
      </c>
      <c r="H1509" s="41">
        <f>SUMIF(RAW_File!D:D,C:C,RAW_File!M:M)</f>
        <v>0</v>
      </c>
      <c r="I1509" s="40">
        <f t="shared" si="25"/>
        <v>6000</v>
      </c>
    </row>
    <row r="1510" spans="1:9" hidden="1" x14ac:dyDescent="0.25">
      <c r="A1510" s="36" t="s">
        <v>81</v>
      </c>
      <c r="B1510" s="36" t="s">
        <v>2002</v>
      </c>
      <c r="C1510" s="36" t="s">
        <v>2003</v>
      </c>
      <c r="D1510" s="37">
        <f>SUMIF(RAW_File!D:D,C:C,RAW_File!F:F)</f>
        <v>16311.081399999999</v>
      </c>
      <c r="E1510" s="38">
        <f>SUMIF(RAW_File!D:D,C:C,RAW_File!G:G)</f>
        <v>16710</v>
      </c>
      <c r="F1510" s="39">
        <f>SUMIF(RAW_File!D:D,C:C,RAW_File!I:I)</f>
        <v>54269</v>
      </c>
      <c r="G1510" s="40">
        <f>SUMIF(RAW_File!D:D,C:C,RAW_File!K:K)</f>
        <v>5000</v>
      </c>
      <c r="H1510" s="41">
        <f>SUMIF(RAW_File!D:D,C:C,RAW_File!M:M)</f>
        <v>40000</v>
      </c>
      <c r="I1510" s="40">
        <f t="shared" si="25"/>
        <v>35000</v>
      </c>
    </row>
    <row r="1511" spans="1:9" hidden="1" x14ac:dyDescent="0.25">
      <c r="A1511" s="36" t="s">
        <v>81</v>
      </c>
      <c r="B1511" s="36" t="s">
        <v>2063</v>
      </c>
      <c r="C1511" s="36" t="s">
        <v>2064</v>
      </c>
      <c r="D1511" s="37">
        <f>SUMIF(RAW_File!D:D,C:C,RAW_File!F:F)</f>
        <v>7.8190999999999997</v>
      </c>
      <c r="E1511" s="38">
        <f>SUMIF(RAW_File!D:D,C:C,RAW_File!G:G)</f>
        <v>0</v>
      </c>
      <c r="F1511" s="39">
        <f>SUMIF(RAW_File!D:D,C:C,RAW_File!I:I)</f>
        <v>0</v>
      </c>
      <c r="G1511" s="40">
        <f>SUMIF(RAW_File!D:D,C:C,RAW_File!K:K)</f>
        <v>0</v>
      </c>
      <c r="H1511" s="41">
        <f>SUMIF(RAW_File!D:D,C:C,RAW_File!M:M)</f>
        <v>0</v>
      </c>
      <c r="I1511" s="40">
        <f t="shared" si="25"/>
        <v>0</v>
      </c>
    </row>
    <row r="1512" spans="1:9" hidden="1" x14ac:dyDescent="0.25">
      <c r="A1512" s="36" t="s">
        <v>81</v>
      </c>
      <c r="B1512" s="36" t="s">
        <v>2071</v>
      </c>
      <c r="C1512" s="36" t="s">
        <v>2072</v>
      </c>
      <c r="D1512" s="37">
        <f>SUMIF(RAW_File!D:D,C:C,RAW_File!F:F)</f>
        <v>5356.6604820000002</v>
      </c>
      <c r="E1512" s="38">
        <f>SUMIF(RAW_File!D:D,C:C,RAW_File!G:G)</f>
        <v>0</v>
      </c>
      <c r="F1512" s="39">
        <f>SUMIF(RAW_File!D:D,C:C,RAW_File!I:I)</f>
        <v>290</v>
      </c>
      <c r="G1512" s="40">
        <f>SUMIF(RAW_File!D:D,C:C,RAW_File!K:K)</f>
        <v>5000</v>
      </c>
      <c r="H1512" s="41">
        <f>SUMIF(RAW_File!D:D,C:C,RAW_File!M:M)</f>
        <v>0</v>
      </c>
      <c r="I1512" s="40">
        <f t="shared" si="25"/>
        <v>5000</v>
      </c>
    </row>
    <row r="1513" spans="1:9" hidden="1" x14ac:dyDescent="0.25">
      <c r="A1513" s="36" t="s">
        <v>81</v>
      </c>
      <c r="B1513" s="36" t="s">
        <v>2091</v>
      </c>
      <c r="C1513" s="36" t="s">
        <v>2092</v>
      </c>
      <c r="D1513" s="37">
        <f>SUMIF(RAW_File!D:D,C:C,RAW_File!F:F)</f>
        <v>179986.574976</v>
      </c>
      <c r="E1513" s="38">
        <f>SUMIF(RAW_File!D:D,C:C,RAW_File!G:G)</f>
        <v>19700</v>
      </c>
      <c r="F1513" s="39">
        <f>SUMIF(RAW_File!D:D,C:C,RAW_File!I:I)</f>
        <v>31481</v>
      </c>
      <c r="G1513" s="40">
        <f>SUMIF(RAW_File!D:D,C:C,RAW_File!K:K)</f>
        <v>0</v>
      </c>
      <c r="H1513" s="41">
        <f>SUMIF(RAW_File!D:D,C:C,RAW_File!M:M)</f>
        <v>0</v>
      </c>
      <c r="I1513" s="40">
        <f t="shared" si="25"/>
        <v>0</v>
      </c>
    </row>
    <row r="1514" spans="1:9" hidden="1" x14ac:dyDescent="0.25">
      <c r="A1514" s="36" t="s">
        <v>81</v>
      </c>
      <c r="B1514" s="36" t="s">
        <v>2093</v>
      </c>
      <c r="C1514" s="36" t="s">
        <v>2094</v>
      </c>
      <c r="D1514" s="37">
        <f>SUMIF(RAW_File!D:D,C:C,RAW_File!F:F)</f>
        <v>20846.0713332915</v>
      </c>
      <c r="E1514" s="38">
        <f>SUMIF(RAW_File!D:D,C:C,RAW_File!G:G)</f>
        <v>5300</v>
      </c>
      <c r="F1514" s="39">
        <f>SUMIF(RAW_File!D:D,C:C,RAW_File!I:I)</f>
        <v>21860</v>
      </c>
      <c r="G1514" s="40">
        <f>SUMIF(RAW_File!D:D,C:C,RAW_File!K:K)</f>
        <v>0</v>
      </c>
      <c r="H1514" s="41">
        <f>SUMIF(RAW_File!D:D,C:C,RAW_File!M:M)</f>
        <v>5000</v>
      </c>
      <c r="I1514" s="40">
        <f t="shared" si="25"/>
        <v>5000</v>
      </c>
    </row>
    <row r="1515" spans="1:9" hidden="1" x14ac:dyDescent="0.25">
      <c r="A1515" s="36" t="s">
        <v>81</v>
      </c>
      <c r="B1515" s="36" t="s">
        <v>2305</v>
      </c>
      <c r="C1515" s="42" t="s">
        <v>2306</v>
      </c>
      <c r="D1515" s="37">
        <f>SUMIF(RAW_File!D:D,C:C,RAW_File!F:F)</f>
        <v>1807.6421969999999</v>
      </c>
      <c r="E1515" s="38">
        <f>SUMIF(RAW_File!D:D,C:C,RAW_File!G:G)</f>
        <v>750</v>
      </c>
      <c r="F1515" s="39">
        <f>SUMIF(RAW_File!D:D,C:C,RAW_File!I:I)</f>
        <v>1830</v>
      </c>
      <c r="G1515" s="40">
        <f>SUMIF(RAW_File!D:D,C:C,RAW_File!K:K)</f>
        <v>0</v>
      </c>
      <c r="H1515" s="41">
        <f>SUMIF(RAW_File!D:D,C:C,RAW_File!M:M)</f>
        <v>6000</v>
      </c>
      <c r="I1515" s="40">
        <f t="shared" si="25"/>
        <v>6000</v>
      </c>
    </row>
    <row r="1516" spans="1:9" hidden="1" x14ac:dyDescent="0.25">
      <c r="A1516" s="36" t="s">
        <v>81</v>
      </c>
      <c r="B1516" s="36" t="s">
        <v>2469</v>
      </c>
      <c r="C1516" s="36" t="s">
        <v>2470</v>
      </c>
      <c r="D1516" s="37">
        <f>SUMIF(RAW_File!D:D,C:C,RAW_File!F:F)</f>
        <v>4.3383000000000003</v>
      </c>
      <c r="E1516" s="38">
        <f>SUMIF(RAW_File!D:D,C:C,RAW_File!G:G)</f>
        <v>0</v>
      </c>
      <c r="F1516" s="39">
        <f>SUMIF(RAW_File!D:D,C:C,RAW_File!I:I)</f>
        <v>0</v>
      </c>
      <c r="G1516" s="40">
        <f>SUMIF(RAW_File!D:D,C:C,RAW_File!K:K)</f>
        <v>0</v>
      </c>
      <c r="H1516" s="41">
        <f>SUMIF(RAW_File!D:D,C:C,RAW_File!M:M)</f>
        <v>0</v>
      </c>
      <c r="I1516" s="40">
        <f t="shared" si="25"/>
        <v>0</v>
      </c>
    </row>
    <row r="1517" spans="1:9" hidden="1" x14ac:dyDescent="0.25">
      <c r="A1517" s="36" t="s">
        <v>81</v>
      </c>
      <c r="B1517" s="36" t="s">
        <v>2622</v>
      </c>
      <c r="C1517" s="36" t="s">
        <v>2623</v>
      </c>
      <c r="D1517" s="37">
        <f>SUMIF(RAW_File!D:D,C:C,RAW_File!F:F)</f>
        <v>8730.7109045392008</v>
      </c>
      <c r="E1517" s="38">
        <f>SUMIF(RAW_File!D:D,C:C,RAW_File!G:G)</f>
        <v>0</v>
      </c>
      <c r="F1517" s="39">
        <f>SUMIF(RAW_File!D:D,C:C,RAW_File!I:I)</f>
        <v>0</v>
      </c>
      <c r="G1517" s="40">
        <f>SUMIF(RAW_File!D:D,C:C,RAW_File!K:K)</f>
        <v>0</v>
      </c>
      <c r="H1517" s="41">
        <f>SUMIF(RAW_File!D:D,C:C,RAW_File!M:M)</f>
        <v>5000</v>
      </c>
      <c r="I1517" s="40">
        <f t="shared" si="25"/>
        <v>5000</v>
      </c>
    </row>
    <row r="1518" spans="1:9" hidden="1" x14ac:dyDescent="0.25">
      <c r="A1518" s="36" t="s">
        <v>81</v>
      </c>
      <c r="B1518" s="36" t="s">
        <v>2655</v>
      </c>
      <c r="C1518" s="36" t="s">
        <v>2656</v>
      </c>
      <c r="D1518" s="37">
        <f>SUMIF(RAW_File!D:D,C:C,RAW_File!F:F)</f>
        <v>31139.644465217301</v>
      </c>
      <c r="E1518" s="38">
        <f>SUMIF(RAW_File!D:D,C:C,RAW_File!G:G)</f>
        <v>6952</v>
      </c>
      <c r="F1518" s="39">
        <f>SUMIF(RAW_File!D:D,C:C,RAW_File!I:I)</f>
        <v>18547</v>
      </c>
      <c r="G1518" s="40">
        <f>SUMIF(RAW_File!D:D,C:C,RAW_File!K:K)</f>
        <v>5000</v>
      </c>
      <c r="H1518" s="41">
        <f>SUMIF(RAW_File!D:D,C:C,RAW_File!M:M)</f>
        <v>0</v>
      </c>
      <c r="I1518" s="40">
        <f t="shared" si="25"/>
        <v>5000</v>
      </c>
    </row>
    <row r="1519" spans="1:9" hidden="1" x14ac:dyDescent="0.25">
      <c r="A1519" s="36" t="s">
        <v>81</v>
      </c>
      <c r="B1519" s="36" t="s">
        <v>2870</v>
      </c>
      <c r="C1519" s="36" t="s">
        <v>2871</v>
      </c>
      <c r="D1519" s="37">
        <f>SUMIF(RAW_File!D:D,C:C,RAW_File!F:F)</f>
        <v>13911.308213504741</v>
      </c>
      <c r="E1519" s="38">
        <f>SUMIF(RAW_File!D:D,C:C,RAW_File!G:G)</f>
        <v>31065</v>
      </c>
      <c r="F1519" s="39">
        <f>SUMIF(RAW_File!D:D,C:C,RAW_File!I:I)</f>
        <v>50470</v>
      </c>
      <c r="G1519" s="40">
        <f>SUMIF(RAW_File!D:D,C:C,RAW_File!K:K)</f>
        <v>0</v>
      </c>
      <c r="H1519" s="41">
        <f>SUMIF(RAW_File!D:D,C:C,RAW_File!M:M)</f>
        <v>70000</v>
      </c>
      <c r="I1519" s="40">
        <f t="shared" si="25"/>
        <v>70000</v>
      </c>
    </row>
    <row r="1520" spans="1:9" hidden="1" x14ac:dyDescent="0.25">
      <c r="A1520" s="36" t="s">
        <v>81</v>
      </c>
      <c r="B1520" s="36" t="s">
        <v>3332</v>
      </c>
      <c r="C1520" s="36" t="s">
        <v>3333</v>
      </c>
      <c r="D1520" s="37">
        <f>SUMIF(RAW_File!D:D,C:C,RAW_File!F:F)</f>
        <v>1253.229411578217</v>
      </c>
      <c r="E1520" s="38">
        <f>SUMIF(RAW_File!D:D,C:C,RAW_File!G:G)</f>
        <v>3060</v>
      </c>
      <c r="F1520" s="39">
        <f>SUMIF(RAW_File!D:D,C:C,RAW_File!I:I)</f>
        <v>9760</v>
      </c>
      <c r="G1520" s="40">
        <f>SUMIF(RAW_File!D:D,C:C,RAW_File!K:K)</f>
        <v>0</v>
      </c>
      <c r="H1520" s="41">
        <f>SUMIF(RAW_File!D:D,C:C,RAW_File!M:M)</f>
        <v>130000</v>
      </c>
      <c r="I1520" s="40">
        <f t="shared" si="25"/>
        <v>130000</v>
      </c>
    </row>
    <row r="1521" spans="1:9" hidden="1" x14ac:dyDescent="0.25">
      <c r="A1521" s="36" t="s">
        <v>81</v>
      </c>
      <c r="B1521" s="36" t="s">
        <v>3410</v>
      </c>
      <c r="C1521" s="36" t="s">
        <v>3411</v>
      </c>
      <c r="D1521" s="37">
        <f>SUMIF(RAW_File!D:D,C:C,RAW_File!F:F)</f>
        <v>5365.8950999999997</v>
      </c>
      <c r="E1521" s="38">
        <f>SUMIF(RAW_File!D:D,C:C,RAW_File!G:G)</f>
        <v>600</v>
      </c>
      <c r="F1521" s="39">
        <f>SUMIF(RAW_File!D:D,C:C,RAW_File!I:I)</f>
        <v>10859</v>
      </c>
      <c r="G1521" s="40">
        <f>SUMIF(RAW_File!D:D,C:C,RAW_File!K:K)</f>
        <v>0</v>
      </c>
      <c r="H1521" s="41">
        <f>SUMIF(RAW_File!D:D,C:C,RAW_File!M:M)</f>
        <v>15000</v>
      </c>
      <c r="I1521" s="40">
        <f t="shared" si="25"/>
        <v>15000</v>
      </c>
    </row>
    <row r="1522" spans="1:9" hidden="1" x14ac:dyDescent="0.25">
      <c r="A1522" s="36" t="s">
        <v>81</v>
      </c>
      <c r="B1522" s="36" t="s">
        <v>881</v>
      </c>
      <c r="C1522" s="36" t="s">
        <v>3419</v>
      </c>
      <c r="D1522" s="37">
        <f>SUMIF(RAW_File!D:D,C:C,RAW_File!F:F)</f>
        <v>11803.84648859751</v>
      </c>
      <c r="E1522" s="38">
        <f>SUMIF(RAW_File!D:D,C:C,RAW_File!G:G)</f>
        <v>54400</v>
      </c>
      <c r="F1522" s="39">
        <f>SUMIF(RAW_File!D:D,C:C,RAW_File!I:I)</f>
        <v>71290</v>
      </c>
      <c r="G1522" s="40">
        <f>SUMIF(RAW_File!D:D,C:C,RAW_File!K:K)</f>
        <v>5000</v>
      </c>
      <c r="H1522" s="41">
        <f>SUMIF(RAW_File!D:D,C:C,RAW_File!M:M)</f>
        <v>0</v>
      </c>
      <c r="I1522" s="40">
        <f t="shared" si="25"/>
        <v>5000</v>
      </c>
    </row>
    <row r="1523" spans="1:9" hidden="1" x14ac:dyDescent="0.25">
      <c r="A1523" s="36" t="s">
        <v>81</v>
      </c>
      <c r="B1523" s="36" t="s">
        <v>3447</v>
      </c>
      <c r="C1523" s="36" t="s">
        <v>3448</v>
      </c>
      <c r="D1523" s="37">
        <f>SUMIF(RAW_File!D:D,C:C,RAW_File!F:F)</f>
        <v>11159.93666148675</v>
      </c>
      <c r="E1523" s="38">
        <f>SUMIF(RAW_File!D:D,C:C,RAW_File!G:G)</f>
        <v>2553</v>
      </c>
      <c r="F1523" s="39">
        <f>SUMIF(RAW_File!D:D,C:C,RAW_File!I:I)</f>
        <v>7023</v>
      </c>
      <c r="G1523" s="40">
        <f>SUMIF(RAW_File!D:D,C:C,RAW_File!K:K)</f>
        <v>5000</v>
      </c>
      <c r="H1523" s="41">
        <f>SUMIF(RAW_File!D:D,C:C,RAW_File!M:M)</f>
        <v>0</v>
      </c>
      <c r="I1523" s="40">
        <f t="shared" si="25"/>
        <v>5000</v>
      </c>
    </row>
    <row r="1524" spans="1:9" hidden="1" x14ac:dyDescent="0.25">
      <c r="A1524" s="36" t="s">
        <v>81</v>
      </c>
      <c r="B1524" s="36" t="s">
        <v>3498</v>
      </c>
      <c r="C1524" s="36" t="s">
        <v>3499</v>
      </c>
      <c r="D1524" s="37">
        <f>SUMIF(RAW_File!D:D,C:C,RAW_File!F:F)</f>
        <v>292.88650000000001</v>
      </c>
      <c r="E1524" s="38">
        <f>SUMIF(RAW_File!D:D,C:C,RAW_File!G:G)</f>
        <v>300</v>
      </c>
      <c r="F1524" s="39">
        <f>SUMIF(RAW_File!D:D,C:C,RAW_File!I:I)</f>
        <v>300</v>
      </c>
      <c r="G1524" s="40">
        <f>SUMIF(RAW_File!D:D,C:C,RAW_File!K:K)</f>
        <v>5000</v>
      </c>
      <c r="H1524" s="41">
        <f>SUMIF(RAW_File!D:D,C:C,RAW_File!M:M)</f>
        <v>19000</v>
      </c>
      <c r="I1524" s="40">
        <f t="shared" si="25"/>
        <v>14000</v>
      </c>
    </row>
    <row r="1525" spans="1:9" hidden="1" x14ac:dyDescent="0.25">
      <c r="A1525" s="36" t="s">
        <v>57</v>
      </c>
      <c r="B1525" s="36" t="s">
        <v>241</v>
      </c>
      <c r="C1525" s="36" t="s">
        <v>242</v>
      </c>
      <c r="D1525" s="37">
        <f>SUMIF(RAW_File!D:D,C:C,RAW_File!F:F)</f>
        <v>12.964318</v>
      </c>
      <c r="E1525" s="38">
        <f>SUMIF(RAW_File!D:D,C:C,RAW_File!G:G)</f>
        <v>0</v>
      </c>
      <c r="F1525" s="39">
        <f>SUMIF(RAW_File!D:D,C:C,RAW_File!I:I)</f>
        <v>0</v>
      </c>
      <c r="G1525" s="40">
        <f>SUMIF(RAW_File!D:D,C:C,RAW_File!K:K)</f>
        <v>0</v>
      </c>
      <c r="H1525" s="41">
        <f>SUMIF(RAW_File!D:D,C:C,RAW_File!M:M)</f>
        <v>0</v>
      </c>
      <c r="I1525" s="40">
        <f t="shared" si="25"/>
        <v>0</v>
      </c>
    </row>
    <row r="1526" spans="1:9" hidden="1" x14ac:dyDescent="0.25">
      <c r="A1526" s="36" t="s">
        <v>57</v>
      </c>
      <c r="B1526" s="36" t="s">
        <v>342</v>
      </c>
      <c r="C1526" s="36" t="s">
        <v>343</v>
      </c>
      <c r="D1526" s="37">
        <f>SUMIF(RAW_File!D:D,C:C,RAW_File!F:F)</f>
        <v>26.207030822982929</v>
      </c>
      <c r="E1526" s="38">
        <f>SUMIF(RAW_File!D:D,C:C,RAW_File!G:G)</f>
        <v>0</v>
      </c>
      <c r="F1526" s="39">
        <f>SUMIF(RAW_File!D:D,C:C,RAW_File!I:I)</f>
        <v>0</v>
      </c>
      <c r="G1526" s="40">
        <f>SUMIF(RAW_File!D:D,C:C,RAW_File!K:K)</f>
        <v>0</v>
      </c>
      <c r="H1526" s="41">
        <f>SUMIF(RAW_File!D:D,C:C,RAW_File!M:M)</f>
        <v>7000</v>
      </c>
      <c r="I1526" s="40">
        <f t="shared" si="25"/>
        <v>7000</v>
      </c>
    </row>
    <row r="1527" spans="1:9" hidden="1" x14ac:dyDescent="0.25">
      <c r="A1527" s="36" t="s">
        <v>57</v>
      </c>
      <c r="B1527" s="36" t="s">
        <v>630</v>
      </c>
      <c r="C1527" s="36" t="s">
        <v>631</v>
      </c>
      <c r="D1527" s="37">
        <f>SUMIF(RAW_File!D:D,C:C,RAW_File!F:F)</f>
        <v>658.40230494427158</v>
      </c>
      <c r="E1527" s="38">
        <f>SUMIF(RAW_File!D:D,C:C,RAW_File!G:G)</f>
        <v>0</v>
      </c>
      <c r="F1527" s="39">
        <f>SUMIF(RAW_File!D:D,C:C,RAW_File!I:I)</f>
        <v>0</v>
      </c>
      <c r="G1527" s="40">
        <f>SUMIF(RAW_File!D:D,C:C,RAW_File!K:K)</f>
        <v>0</v>
      </c>
      <c r="H1527" s="41">
        <f>SUMIF(RAW_File!D:D,C:C,RAW_File!M:M)</f>
        <v>6000</v>
      </c>
      <c r="I1527" s="40">
        <f t="shared" si="25"/>
        <v>6000</v>
      </c>
    </row>
    <row r="1528" spans="1:9" hidden="1" x14ac:dyDescent="0.25">
      <c r="A1528" s="36" t="s">
        <v>57</v>
      </c>
      <c r="B1528" s="36" t="s">
        <v>634</v>
      </c>
      <c r="C1528" s="36" t="s">
        <v>635</v>
      </c>
      <c r="D1528" s="37">
        <f>SUMIF(RAW_File!D:D,C:C,RAW_File!F:F)</f>
        <v>1564.7629999999999</v>
      </c>
      <c r="E1528" s="38">
        <f>SUMIF(RAW_File!D:D,C:C,RAW_File!G:G)</f>
        <v>5000</v>
      </c>
      <c r="F1528" s="39">
        <f>SUMIF(RAW_File!D:D,C:C,RAW_File!I:I)</f>
        <v>5000</v>
      </c>
      <c r="G1528" s="40">
        <f>SUMIF(RAW_File!D:D,C:C,RAW_File!K:K)</f>
        <v>5000</v>
      </c>
      <c r="H1528" s="41">
        <f>SUMIF(RAW_File!D:D,C:C,RAW_File!M:M)</f>
        <v>0</v>
      </c>
      <c r="I1528" s="40">
        <f t="shared" si="25"/>
        <v>5000</v>
      </c>
    </row>
    <row r="1529" spans="1:9" hidden="1" x14ac:dyDescent="0.25">
      <c r="A1529" s="36" t="s">
        <v>57</v>
      </c>
      <c r="B1529" s="36" t="s">
        <v>145</v>
      </c>
      <c r="C1529" s="36" t="s">
        <v>876</v>
      </c>
      <c r="D1529" s="37">
        <f>SUMIF(RAW_File!D:D,C:C,RAW_File!F:F)</f>
        <v>5024.6960749999998</v>
      </c>
      <c r="E1529" s="38">
        <f>SUMIF(RAW_File!D:D,C:C,RAW_File!G:G)</f>
        <v>0</v>
      </c>
      <c r="F1529" s="39">
        <f>SUMIF(RAW_File!D:D,C:C,RAW_File!I:I)</f>
        <v>0</v>
      </c>
      <c r="G1529" s="40">
        <f>SUMIF(RAW_File!D:D,C:C,RAW_File!K:K)</f>
        <v>5000</v>
      </c>
      <c r="H1529" s="41">
        <f>SUMIF(RAW_File!D:D,C:C,RAW_File!M:M)</f>
        <v>0</v>
      </c>
      <c r="I1529" s="40">
        <f t="shared" si="25"/>
        <v>5000</v>
      </c>
    </row>
    <row r="1530" spans="1:9" hidden="1" x14ac:dyDescent="0.25">
      <c r="A1530" s="36" t="s">
        <v>57</v>
      </c>
      <c r="B1530" s="36" t="s">
        <v>881</v>
      </c>
      <c r="C1530" s="36" t="s">
        <v>882</v>
      </c>
      <c r="D1530" s="37">
        <f>SUMIF(RAW_File!D:D,C:C,RAW_File!F:F)</f>
        <v>20798.097334999999</v>
      </c>
      <c r="E1530" s="38">
        <f>SUMIF(RAW_File!D:D,C:C,RAW_File!G:G)</f>
        <v>2000</v>
      </c>
      <c r="F1530" s="39">
        <f>SUMIF(RAW_File!D:D,C:C,RAW_File!I:I)</f>
        <v>50115</v>
      </c>
      <c r="G1530" s="40">
        <f>SUMIF(RAW_File!D:D,C:C,RAW_File!K:K)</f>
        <v>0</v>
      </c>
      <c r="H1530" s="41">
        <f>SUMIF(RAW_File!D:D,C:C,RAW_File!M:M)</f>
        <v>29000</v>
      </c>
      <c r="I1530" s="40">
        <f t="shared" si="25"/>
        <v>29000</v>
      </c>
    </row>
    <row r="1531" spans="1:9" hidden="1" x14ac:dyDescent="0.25">
      <c r="A1531" s="36" t="s">
        <v>57</v>
      </c>
      <c r="B1531" s="36" t="s">
        <v>907</v>
      </c>
      <c r="C1531" s="36" t="s">
        <v>908</v>
      </c>
      <c r="D1531" s="37">
        <f>SUMIF(RAW_File!D:D,C:C,RAW_File!F:F)</f>
        <v>2461.5676797432202</v>
      </c>
      <c r="E1531" s="38">
        <f>SUMIF(RAW_File!D:D,C:C,RAW_File!G:G)</f>
        <v>0</v>
      </c>
      <c r="F1531" s="39">
        <f>SUMIF(RAW_File!D:D,C:C,RAW_File!I:I)</f>
        <v>2000</v>
      </c>
      <c r="G1531" s="40">
        <f>SUMIF(RAW_File!D:D,C:C,RAW_File!K:K)</f>
        <v>0</v>
      </c>
      <c r="H1531" s="41">
        <f>SUMIF(RAW_File!D:D,C:C,RAW_File!M:M)</f>
        <v>20000</v>
      </c>
      <c r="I1531" s="40">
        <f t="shared" si="25"/>
        <v>20000</v>
      </c>
    </row>
    <row r="1532" spans="1:9" hidden="1" x14ac:dyDescent="0.25">
      <c r="A1532" s="36" t="s">
        <v>57</v>
      </c>
      <c r="B1532" s="36" t="s">
        <v>935</v>
      </c>
      <c r="C1532" s="36" t="s">
        <v>936</v>
      </c>
      <c r="D1532" s="37">
        <f>SUMIF(RAW_File!D:D,C:C,RAW_File!F:F)</f>
        <v>558.57183499999996</v>
      </c>
      <c r="E1532" s="38">
        <f>SUMIF(RAW_File!D:D,C:C,RAW_File!G:G)</f>
        <v>20530</v>
      </c>
      <c r="F1532" s="39">
        <f>SUMIF(RAW_File!D:D,C:C,RAW_File!I:I)</f>
        <v>27705</v>
      </c>
      <c r="G1532" s="40">
        <f>SUMIF(RAW_File!D:D,C:C,RAW_File!K:K)</f>
        <v>20000</v>
      </c>
      <c r="H1532" s="41">
        <f>SUMIF(RAW_File!D:D,C:C,RAW_File!M:M)</f>
        <v>30000</v>
      </c>
      <c r="I1532" s="40">
        <f t="shared" si="25"/>
        <v>10000</v>
      </c>
    </row>
    <row r="1533" spans="1:9" hidden="1" x14ac:dyDescent="0.25">
      <c r="A1533" s="36" t="s">
        <v>57</v>
      </c>
      <c r="B1533" s="36" t="s">
        <v>949</v>
      </c>
      <c r="C1533" s="36" t="s">
        <v>950</v>
      </c>
      <c r="D1533" s="37">
        <f>SUMIF(RAW_File!D:D,C:C,RAW_File!F:F)</f>
        <v>2306.0474035332759</v>
      </c>
      <c r="E1533" s="38">
        <f>SUMIF(RAW_File!D:D,C:C,RAW_File!G:G)</f>
        <v>7010</v>
      </c>
      <c r="F1533" s="39">
        <f>SUMIF(RAW_File!D:D,C:C,RAW_File!I:I)</f>
        <v>9960</v>
      </c>
      <c r="G1533" s="40">
        <f>SUMIF(RAW_File!D:D,C:C,RAW_File!K:K)</f>
        <v>5000</v>
      </c>
      <c r="H1533" s="41">
        <f>SUMIF(RAW_File!D:D,C:C,RAW_File!M:M)</f>
        <v>0</v>
      </c>
      <c r="I1533" s="40">
        <f t="shared" si="25"/>
        <v>5000</v>
      </c>
    </row>
    <row r="1534" spans="1:9" hidden="1" x14ac:dyDescent="0.25">
      <c r="A1534" s="36" t="s">
        <v>57</v>
      </c>
      <c r="B1534" s="36" t="s">
        <v>957</v>
      </c>
      <c r="C1534" s="36" t="s">
        <v>958</v>
      </c>
      <c r="D1534" s="37">
        <f>SUMIF(RAW_File!D:D,C:C,RAW_File!F:F)</f>
        <v>125.537531327834</v>
      </c>
      <c r="E1534" s="38">
        <f>SUMIF(RAW_File!D:D,C:C,RAW_File!G:G)</f>
        <v>5120</v>
      </c>
      <c r="F1534" s="39">
        <f>SUMIF(RAW_File!D:D,C:C,RAW_File!I:I)</f>
        <v>13895</v>
      </c>
      <c r="G1534" s="40">
        <f>SUMIF(RAW_File!D:D,C:C,RAW_File!K:K)</f>
        <v>0</v>
      </c>
      <c r="H1534" s="41">
        <f>SUMIF(RAW_File!D:D,C:C,RAW_File!M:M)</f>
        <v>5000</v>
      </c>
      <c r="I1534" s="40">
        <f t="shared" si="25"/>
        <v>5000</v>
      </c>
    </row>
    <row r="1535" spans="1:9" hidden="1" x14ac:dyDescent="0.25">
      <c r="A1535" s="36" t="s">
        <v>57</v>
      </c>
      <c r="B1535" s="36" t="s">
        <v>969</v>
      </c>
      <c r="C1535" s="36" t="s">
        <v>970</v>
      </c>
      <c r="D1535" s="37">
        <f>SUMIF(RAW_File!D:D,C:C,RAW_File!F:F)</f>
        <v>3538.0767000000001</v>
      </c>
      <c r="E1535" s="38">
        <f>SUMIF(RAW_File!D:D,C:C,RAW_File!G:G)</f>
        <v>5060</v>
      </c>
      <c r="F1535" s="39">
        <f>SUMIF(RAW_File!D:D,C:C,RAW_File!I:I)</f>
        <v>10360</v>
      </c>
      <c r="G1535" s="40">
        <f>SUMIF(RAW_File!D:D,C:C,RAW_File!K:K)</f>
        <v>0</v>
      </c>
      <c r="H1535" s="41">
        <f>SUMIF(RAW_File!D:D,C:C,RAW_File!M:M)</f>
        <v>16000</v>
      </c>
      <c r="I1535" s="40">
        <f t="shared" si="25"/>
        <v>16000</v>
      </c>
    </row>
    <row r="1536" spans="1:9" hidden="1" x14ac:dyDescent="0.25">
      <c r="A1536" s="36" t="s">
        <v>57</v>
      </c>
      <c r="B1536" s="36" t="s">
        <v>981</v>
      </c>
      <c r="C1536" s="36" t="s">
        <v>982</v>
      </c>
      <c r="D1536" s="37">
        <f>SUMIF(RAW_File!D:D,C:C,RAW_File!F:F)</f>
        <v>1119.7672</v>
      </c>
      <c r="E1536" s="38">
        <f>SUMIF(RAW_File!D:D,C:C,RAW_File!G:G)</f>
        <v>0</v>
      </c>
      <c r="F1536" s="39">
        <f>SUMIF(RAW_File!D:D,C:C,RAW_File!I:I)</f>
        <v>38625</v>
      </c>
      <c r="G1536" s="40">
        <f>SUMIF(RAW_File!D:D,C:C,RAW_File!K:K)</f>
        <v>0</v>
      </c>
      <c r="H1536" s="41">
        <f>SUMIF(RAW_File!D:D,C:C,RAW_File!M:M)</f>
        <v>40000</v>
      </c>
      <c r="I1536" s="40">
        <f t="shared" si="25"/>
        <v>40000</v>
      </c>
    </row>
    <row r="1537" spans="1:9" hidden="1" x14ac:dyDescent="0.25">
      <c r="A1537" s="36" t="s">
        <v>57</v>
      </c>
      <c r="B1537" s="36" t="s">
        <v>1083</v>
      </c>
      <c r="C1537" s="36" t="s">
        <v>1084</v>
      </c>
      <c r="D1537" s="37">
        <f>SUMIF(RAW_File!D:D,C:C,RAW_File!F:F)</f>
        <v>11137.2193674231</v>
      </c>
      <c r="E1537" s="38">
        <f>SUMIF(RAW_File!D:D,C:C,RAW_File!G:G)</f>
        <v>1000</v>
      </c>
      <c r="F1537" s="39">
        <f>SUMIF(RAW_File!D:D,C:C,RAW_File!I:I)</f>
        <v>19030</v>
      </c>
      <c r="G1537" s="40">
        <f>SUMIF(RAW_File!D:D,C:C,RAW_File!K:K)</f>
        <v>0</v>
      </c>
      <c r="H1537" s="41">
        <f>SUMIF(RAW_File!D:D,C:C,RAW_File!M:M)</f>
        <v>10000</v>
      </c>
      <c r="I1537" s="40">
        <f t="shared" si="25"/>
        <v>10000</v>
      </c>
    </row>
    <row r="1538" spans="1:9" hidden="1" x14ac:dyDescent="0.25">
      <c r="A1538" s="36" t="s">
        <v>57</v>
      </c>
      <c r="B1538" s="36" t="s">
        <v>1164</v>
      </c>
      <c r="C1538" s="36" t="s">
        <v>1165</v>
      </c>
      <c r="D1538" s="37">
        <f>SUMIF(RAW_File!D:D,C:C,RAW_File!F:F)</f>
        <v>3801.944162410146</v>
      </c>
      <c r="E1538" s="38">
        <f>SUMIF(RAW_File!D:D,C:C,RAW_File!G:G)</f>
        <v>0</v>
      </c>
      <c r="F1538" s="39">
        <f>SUMIF(RAW_File!D:D,C:C,RAW_File!I:I)</f>
        <v>2200</v>
      </c>
      <c r="G1538" s="40">
        <f>SUMIF(RAW_File!D:D,C:C,RAW_File!K:K)</f>
        <v>0</v>
      </c>
      <c r="H1538" s="41">
        <f>SUMIF(RAW_File!D:D,C:C,RAW_File!M:M)</f>
        <v>5000</v>
      </c>
      <c r="I1538" s="40">
        <f t="shared" si="25"/>
        <v>5000</v>
      </c>
    </row>
    <row r="1539" spans="1:9" hidden="1" x14ac:dyDescent="0.25">
      <c r="A1539" s="36" t="s">
        <v>57</v>
      </c>
      <c r="B1539" s="36" t="s">
        <v>1209</v>
      </c>
      <c r="C1539" s="36" t="s">
        <v>1210</v>
      </c>
      <c r="D1539" s="37">
        <f>SUMIF(RAW_File!D:D,C:C,RAW_File!F:F)</f>
        <v>6973.1824703537814</v>
      </c>
      <c r="E1539" s="38">
        <f>SUMIF(RAW_File!D:D,C:C,RAW_File!G:G)</f>
        <v>4400</v>
      </c>
      <c r="F1539" s="39">
        <f>SUMIF(RAW_File!D:D,C:C,RAW_File!I:I)</f>
        <v>25210</v>
      </c>
      <c r="G1539" s="40">
        <f>SUMIF(RAW_File!D:D,C:C,RAW_File!K:K)</f>
        <v>0</v>
      </c>
      <c r="H1539" s="41">
        <f>SUMIF(RAW_File!D:D,C:C,RAW_File!M:M)</f>
        <v>23000</v>
      </c>
      <c r="I1539" s="40">
        <f t="shared" si="25"/>
        <v>23000</v>
      </c>
    </row>
    <row r="1540" spans="1:9" hidden="1" x14ac:dyDescent="0.25">
      <c r="A1540" s="36" t="s">
        <v>57</v>
      </c>
      <c r="B1540" s="36" t="s">
        <v>1231</v>
      </c>
      <c r="C1540" s="36" t="s">
        <v>1232</v>
      </c>
      <c r="D1540" s="37">
        <f>SUMIF(RAW_File!D:D,C:C,RAW_File!F:F)</f>
        <v>9068.9864261793282</v>
      </c>
      <c r="E1540" s="38">
        <f>SUMIF(RAW_File!D:D,C:C,RAW_File!G:G)</f>
        <v>0</v>
      </c>
      <c r="F1540" s="39">
        <f>SUMIF(RAW_File!D:D,C:C,RAW_File!I:I)</f>
        <v>11615</v>
      </c>
      <c r="G1540" s="40">
        <f>SUMIF(RAW_File!D:D,C:C,RAW_File!K:K)</f>
        <v>0</v>
      </c>
      <c r="H1540" s="41">
        <f>SUMIF(RAW_File!D:D,C:C,RAW_File!M:M)</f>
        <v>6000</v>
      </c>
      <c r="I1540" s="40">
        <f t="shared" si="25"/>
        <v>6000</v>
      </c>
    </row>
    <row r="1541" spans="1:9" hidden="1" x14ac:dyDescent="0.25">
      <c r="A1541" s="36" t="s">
        <v>57</v>
      </c>
      <c r="B1541" s="36" t="s">
        <v>1399</v>
      </c>
      <c r="C1541" s="36" t="s">
        <v>1400</v>
      </c>
      <c r="D1541" s="37">
        <f>SUMIF(RAW_File!D:D,C:C,RAW_File!F:F)</f>
        <v>2.525152197907043</v>
      </c>
      <c r="E1541" s="38">
        <f>SUMIF(RAW_File!D:D,C:C,RAW_File!G:G)</f>
        <v>50</v>
      </c>
      <c r="F1541" s="39">
        <f>SUMIF(RAW_File!D:D,C:C,RAW_File!I:I)</f>
        <v>50</v>
      </c>
      <c r="G1541" s="40">
        <f>SUMIF(RAW_File!D:D,C:C,RAW_File!K:K)</f>
        <v>0</v>
      </c>
      <c r="H1541" s="41">
        <f>SUMIF(RAW_File!D:D,C:C,RAW_File!M:M)</f>
        <v>0</v>
      </c>
      <c r="I1541" s="40">
        <f t="shared" ref="I1541:I1604" si="26">ABS(G1541-H1541)</f>
        <v>0</v>
      </c>
    </row>
    <row r="1542" spans="1:9" hidden="1" x14ac:dyDescent="0.25">
      <c r="A1542" s="36" t="s">
        <v>57</v>
      </c>
      <c r="B1542" s="36" t="s">
        <v>1417</v>
      </c>
      <c r="C1542" s="36" t="s">
        <v>1418</v>
      </c>
      <c r="D1542" s="37">
        <f>SUMIF(RAW_File!D:D,C:C,RAW_File!F:F)</f>
        <v>39.6402</v>
      </c>
      <c r="E1542" s="38">
        <f>SUMIF(RAW_File!D:D,C:C,RAW_File!G:G)</f>
        <v>0</v>
      </c>
      <c r="F1542" s="39">
        <f>SUMIF(RAW_File!D:D,C:C,RAW_File!I:I)</f>
        <v>0</v>
      </c>
      <c r="G1542" s="40">
        <f>SUMIF(RAW_File!D:D,C:C,RAW_File!K:K)</f>
        <v>0</v>
      </c>
      <c r="H1542" s="41">
        <f>SUMIF(RAW_File!D:D,C:C,RAW_File!M:M)</f>
        <v>5000</v>
      </c>
      <c r="I1542" s="40">
        <f t="shared" si="26"/>
        <v>5000</v>
      </c>
    </row>
    <row r="1543" spans="1:9" hidden="1" x14ac:dyDescent="0.25">
      <c r="A1543" s="36" t="s">
        <v>57</v>
      </c>
      <c r="B1543" s="36" t="s">
        <v>1627</v>
      </c>
      <c r="C1543" s="36" t="s">
        <v>1628</v>
      </c>
      <c r="D1543" s="37">
        <f>SUMIF(RAW_File!D:D,C:C,RAW_File!F:F)</f>
        <v>26.04037178334216</v>
      </c>
      <c r="E1543" s="38">
        <f>SUMIF(RAW_File!D:D,C:C,RAW_File!G:G)</f>
        <v>0</v>
      </c>
      <c r="F1543" s="39">
        <f>SUMIF(RAW_File!D:D,C:C,RAW_File!I:I)</f>
        <v>6980</v>
      </c>
      <c r="G1543" s="40">
        <f>SUMIF(RAW_File!D:D,C:C,RAW_File!K:K)</f>
        <v>0</v>
      </c>
      <c r="H1543" s="41">
        <f>SUMIF(RAW_File!D:D,C:C,RAW_File!M:M)</f>
        <v>7000</v>
      </c>
      <c r="I1543" s="40">
        <f t="shared" si="26"/>
        <v>7000</v>
      </c>
    </row>
    <row r="1544" spans="1:9" hidden="1" x14ac:dyDescent="0.25">
      <c r="A1544" s="36" t="s">
        <v>57</v>
      </c>
      <c r="B1544" s="36" t="s">
        <v>1750</v>
      </c>
      <c r="C1544" s="36" t="s">
        <v>1751</v>
      </c>
      <c r="D1544" s="37">
        <f>SUMIF(RAW_File!D:D,C:C,RAW_File!F:F)</f>
        <v>118.2286174416423</v>
      </c>
      <c r="E1544" s="38">
        <f>SUMIF(RAW_File!D:D,C:C,RAW_File!G:G)</f>
        <v>980</v>
      </c>
      <c r="F1544" s="39">
        <f>SUMIF(RAW_File!D:D,C:C,RAW_File!I:I)</f>
        <v>20120</v>
      </c>
      <c r="G1544" s="40">
        <f>SUMIF(RAW_File!D:D,C:C,RAW_File!K:K)</f>
        <v>0</v>
      </c>
      <c r="H1544" s="41">
        <f>SUMIF(RAW_File!D:D,C:C,RAW_File!M:M)</f>
        <v>0</v>
      </c>
      <c r="I1544" s="40">
        <f t="shared" si="26"/>
        <v>0</v>
      </c>
    </row>
    <row r="1545" spans="1:9" hidden="1" x14ac:dyDescent="0.25">
      <c r="A1545" s="36" t="s">
        <v>57</v>
      </c>
      <c r="B1545" s="36" t="s">
        <v>1788</v>
      </c>
      <c r="C1545" s="36" t="s">
        <v>1789</v>
      </c>
      <c r="D1545" s="37">
        <f>SUMIF(RAW_File!D:D,C:C,RAW_File!F:F)</f>
        <v>733.87812442705945</v>
      </c>
      <c r="E1545" s="38">
        <f>SUMIF(RAW_File!D:D,C:C,RAW_File!G:G)</f>
        <v>0</v>
      </c>
      <c r="F1545" s="39">
        <f>SUMIF(RAW_File!D:D,C:C,RAW_File!I:I)</f>
        <v>490</v>
      </c>
      <c r="G1545" s="40">
        <f>SUMIF(RAW_File!D:D,C:C,RAW_File!K:K)</f>
        <v>0</v>
      </c>
      <c r="H1545" s="41">
        <f>SUMIF(RAW_File!D:D,C:C,RAW_File!M:M)</f>
        <v>0</v>
      </c>
      <c r="I1545" s="40">
        <f t="shared" si="26"/>
        <v>0</v>
      </c>
    </row>
    <row r="1546" spans="1:9" hidden="1" x14ac:dyDescent="0.25">
      <c r="A1546" s="36" t="s">
        <v>57</v>
      </c>
      <c r="B1546" s="36" t="s">
        <v>1813</v>
      </c>
      <c r="C1546" s="36" t="s">
        <v>1814</v>
      </c>
      <c r="D1546" s="37">
        <f>SUMIF(RAW_File!D:D,C:C,RAW_File!F:F)</f>
        <v>412.607954795811</v>
      </c>
      <c r="E1546" s="38">
        <f>SUMIF(RAW_File!D:D,C:C,RAW_File!G:G)</f>
        <v>0</v>
      </c>
      <c r="F1546" s="39">
        <f>SUMIF(RAW_File!D:D,C:C,RAW_File!I:I)</f>
        <v>4500</v>
      </c>
      <c r="G1546" s="40">
        <f>SUMIF(RAW_File!D:D,C:C,RAW_File!K:K)</f>
        <v>0</v>
      </c>
      <c r="H1546" s="41">
        <f>SUMIF(RAW_File!D:D,C:C,RAW_File!M:M)</f>
        <v>15000</v>
      </c>
      <c r="I1546" s="40">
        <f t="shared" si="26"/>
        <v>15000</v>
      </c>
    </row>
    <row r="1547" spans="1:9" hidden="1" x14ac:dyDescent="0.25">
      <c r="A1547" s="36" t="s">
        <v>57</v>
      </c>
      <c r="B1547" s="36" t="s">
        <v>1835</v>
      </c>
      <c r="C1547" s="36" t="s">
        <v>1836</v>
      </c>
      <c r="D1547" s="37">
        <f>SUMIF(RAW_File!D:D,C:C,RAW_File!F:F)</f>
        <v>5749.5761695425044</v>
      </c>
      <c r="E1547" s="38">
        <f>SUMIF(RAW_File!D:D,C:C,RAW_File!G:G)</f>
        <v>4460</v>
      </c>
      <c r="F1547" s="39">
        <f>SUMIF(RAW_File!D:D,C:C,RAW_File!I:I)</f>
        <v>4760</v>
      </c>
      <c r="G1547" s="40">
        <f>SUMIF(RAW_File!D:D,C:C,RAW_File!K:K)</f>
        <v>5000</v>
      </c>
      <c r="H1547" s="41">
        <f>SUMIF(RAW_File!D:D,C:C,RAW_File!M:M)</f>
        <v>0</v>
      </c>
      <c r="I1547" s="40">
        <f t="shared" si="26"/>
        <v>5000</v>
      </c>
    </row>
    <row r="1548" spans="1:9" hidden="1" x14ac:dyDescent="0.25">
      <c r="A1548" s="36" t="s">
        <v>57</v>
      </c>
      <c r="B1548" s="36" t="s">
        <v>1843</v>
      </c>
      <c r="C1548" s="36" t="s">
        <v>1844</v>
      </c>
      <c r="D1548" s="37">
        <f>SUMIF(RAW_File!D:D,C:C,RAW_File!F:F)</f>
        <v>12.2049552174</v>
      </c>
      <c r="E1548" s="38">
        <f>SUMIF(RAW_File!D:D,C:C,RAW_File!G:G)</f>
        <v>0</v>
      </c>
      <c r="F1548" s="39">
        <f>SUMIF(RAW_File!D:D,C:C,RAW_File!I:I)</f>
        <v>2920</v>
      </c>
      <c r="G1548" s="40">
        <f>SUMIF(RAW_File!D:D,C:C,RAW_File!K:K)</f>
        <v>0</v>
      </c>
      <c r="H1548" s="41">
        <f>SUMIF(RAW_File!D:D,C:C,RAW_File!M:M)</f>
        <v>4950</v>
      </c>
      <c r="I1548" s="40">
        <f t="shared" si="26"/>
        <v>4950</v>
      </c>
    </row>
    <row r="1549" spans="1:9" hidden="1" x14ac:dyDescent="0.25">
      <c r="A1549" s="36" t="s">
        <v>57</v>
      </c>
      <c r="B1549" s="36" t="s">
        <v>1891</v>
      </c>
      <c r="C1549" s="36" t="s">
        <v>1892</v>
      </c>
      <c r="D1549" s="37">
        <f>SUMIF(RAW_File!D:D,C:C,RAW_File!F:F)</f>
        <v>2979.046576207691</v>
      </c>
      <c r="E1549" s="38">
        <f>SUMIF(RAW_File!D:D,C:C,RAW_File!G:G)</f>
        <v>20630</v>
      </c>
      <c r="F1549" s="39">
        <f>SUMIF(RAW_File!D:D,C:C,RAW_File!I:I)</f>
        <v>31895</v>
      </c>
      <c r="G1549" s="40">
        <f>SUMIF(RAW_File!D:D,C:C,RAW_File!K:K)</f>
        <v>0</v>
      </c>
      <c r="H1549" s="41">
        <f>SUMIF(RAW_File!D:D,C:C,RAW_File!M:M)</f>
        <v>0</v>
      </c>
      <c r="I1549" s="40">
        <f t="shared" si="26"/>
        <v>0</v>
      </c>
    </row>
    <row r="1550" spans="1:9" hidden="1" x14ac:dyDescent="0.25">
      <c r="A1550" s="36" t="s">
        <v>57</v>
      </c>
      <c r="B1550" s="36" t="s">
        <v>1955</v>
      </c>
      <c r="C1550" s="36" t="s">
        <v>1956</v>
      </c>
      <c r="D1550" s="37">
        <f>SUMIF(RAW_File!D:D,C:C,RAW_File!F:F)</f>
        <v>4278.5177256922179</v>
      </c>
      <c r="E1550" s="38">
        <f>SUMIF(RAW_File!D:D,C:C,RAW_File!G:G)</f>
        <v>0</v>
      </c>
      <c r="F1550" s="39">
        <f>SUMIF(RAW_File!D:D,C:C,RAW_File!I:I)</f>
        <v>2000</v>
      </c>
      <c r="G1550" s="40">
        <f>SUMIF(RAW_File!D:D,C:C,RAW_File!K:K)</f>
        <v>0</v>
      </c>
      <c r="H1550" s="41">
        <f>SUMIF(RAW_File!D:D,C:C,RAW_File!M:M)</f>
        <v>5000</v>
      </c>
      <c r="I1550" s="40">
        <f t="shared" si="26"/>
        <v>5000</v>
      </c>
    </row>
    <row r="1551" spans="1:9" hidden="1" x14ac:dyDescent="0.25">
      <c r="A1551" s="36" t="s">
        <v>57</v>
      </c>
      <c r="B1551" s="36" t="s">
        <v>1959</v>
      </c>
      <c r="C1551" s="36" t="s">
        <v>1960</v>
      </c>
      <c r="D1551" s="37">
        <f>SUMIF(RAW_File!D:D,C:C,RAW_File!F:F)</f>
        <v>7212.3554746557811</v>
      </c>
      <c r="E1551" s="38">
        <f>SUMIF(RAW_File!D:D,C:C,RAW_File!G:G)</f>
        <v>0</v>
      </c>
      <c r="F1551" s="39">
        <f>SUMIF(RAW_File!D:D,C:C,RAW_File!I:I)</f>
        <v>17930</v>
      </c>
      <c r="G1551" s="40">
        <f>SUMIF(RAW_File!D:D,C:C,RAW_File!K:K)</f>
        <v>0</v>
      </c>
      <c r="H1551" s="41">
        <f>SUMIF(RAW_File!D:D,C:C,RAW_File!M:M)</f>
        <v>40000</v>
      </c>
      <c r="I1551" s="40">
        <f t="shared" si="26"/>
        <v>40000</v>
      </c>
    </row>
    <row r="1552" spans="1:9" hidden="1" x14ac:dyDescent="0.25">
      <c r="A1552" s="36" t="s">
        <v>57</v>
      </c>
      <c r="B1552" s="36" t="s">
        <v>1970</v>
      </c>
      <c r="C1552" s="36" t="s">
        <v>1971</v>
      </c>
      <c r="D1552" s="37">
        <f>SUMIF(RAW_File!D:D,C:C,RAW_File!F:F)</f>
        <v>118.67350572733839</v>
      </c>
      <c r="E1552" s="38">
        <f>SUMIF(RAW_File!D:D,C:C,RAW_File!G:G)</f>
        <v>0</v>
      </c>
      <c r="F1552" s="39">
        <f>SUMIF(RAW_File!D:D,C:C,RAW_File!I:I)</f>
        <v>5000</v>
      </c>
      <c r="G1552" s="40">
        <f>SUMIF(RAW_File!D:D,C:C,RAW_File!K:K)</f>
        <v>0</v>
      </c>
      <c r="H1552" s="41">
        <f>SUMIF(RAW_File!D:D,C:C,RAW_File!M:M)</f>
        <v>5000</v>
      </c>
      <c r="I1552" s="40">
        <f t="shared" si="26"/>
        <v>5000</v>
      </c>
    </row>
    <row r="1553" spans="1:9" hidden="1" x14ac:dyDescent="0.25">
      <c r="A1553" s="36" t="s">
        <v>57</v>
      </c>
      <c r="B1553" s="36" t="s">
        <v>2127</v>
      </c>
      <c r="C1553" s="36" t="s">
        <v>2128</v>
      </c>
      <c r="D1553" s="37">
        <f>SUMIF(RAW_File!D:D,C:C,RAW_File!F:F)</f>
        <v>255.91954607491601</v>
      </c>
      <c r="E1553" s="38">
        <f>SUMIF(RAW_File!D:D,C:C,RAW_File!G:G)</f>
        <v>21105</v>
      </c>
      <c r="F1553" s="39">
        <f>SUMIF(RAW_File!D:D,C:C,RAW_File!I:I)</f>
        <v>33905</v>
      </c>
      <c r="G1553" s="40">
        <f>SUMIF(RAW_File!D:D,C:C,RAW_File!K:K)</f>
        <v>25000</v>
      </c>
      <c r="H1553" s="41">
        <f>SUMIF(RAW_File!D:D,C:C,RAW_File!M:M)</f>
        <v>17000</v>
      </c>
      <c r="I1553" s="40">
        <f t="shared" si="26"/>
        <v>8000</v>
      </c>
    </row>
    <row r="1554" spans="1:9" hidden="1" x14ac:dyDescent="0.25">
      <c r="A1554" s="36" t="s">
        <v>57</v>
      </c>
      <c r="B1554" s="36" t="s">
        <v>2164</v>
      </c>
      <c r="C1554" s="36" t="s">
        <v>2165</v>
      </c>
      <c r="D1554" s="37">
        <f>SUMIF(RAW_File!D:D,C:C,RAW_File!F:F)</f>
        <v>205.44687871759891</v>
      </c>
      <c r="E1554" s="38">
        <f>SUMIF(RAW_File!D:D,C:C,RAW_File!G:G)</f>
        <v>0</v>
      </c>
      <c r="F1554" s="39">
        <f>SUMIF(RAW_File!D:D,C:C,RAW_File!I:I)</f>
        <v>5100</v>
      </c>
      <c r="G1554" s="40">
        <f>SUMIF(RAW_File!D:D,C:C,RAW_File!K:K)</f>
        <v>0</v>
      </c>
      <c r="H1554" s="41">
        <f>SUMIF(RAW_File!D:D,C:C,RAW_File!M:M)</f>
        <v>8000</v>
      </c>
      <c r="I1554" s="40">
        <f t="shared" si="26"/>
        <v>8000</v>
      </c>
    </row>
    <row r="1555" spans="1:9" hidden="1" x14ac:dyDescent="0.25">
      <c r="A1555" s="36" t="s">
        <v>57</v>
      </c>
      <c r="B1555" s="36" t="s">
        <v>2170</v>
      </c>
      <c r="C1555" s="36" t="s">
        <v>2171</v>
      </c>
      <c r="D1555" s="37">
        <f>SUMIF(RAW_File!D:D,C:C,RAW_File!F:F)</f>
        <v>12493.134502660951</v>
      </c>
      <c r="E1555" s="38">
        <f>SUMIF(RAW_File!D:D,C:C,RAW_File!G:G)</f>
        <v>7000</v>
      </c>
      <c r="F1555" s="39">
        <f>SUMIF(RAW_File!D:D,C:C,RAW_File!I:I)</f>
        <v>14930</v>
      </c>
      <c r="G1555" s="40">
        <f>SUMIF(RAW_File!D:D,C:C,RAW_File!K:K)</f>
        <v>9000</v>
      </c>
      <c r="H1555" s="41">
        <f>SUMIF(RAW_File!D:D,C:C,RAW_File!M:M)</f>
        <v>4000</v>
      </c>
      <c r="I1555" s="40">
        <f t="shared" si="26"/>
        <v>5000</v>
      </c>
    </row>
    <row r="1556" spans="1:9" hidden="1" x14ac:dyDescent="0.25">
      <c r="A1556" s="36" t="s">
        <v>57</v>
      </c>
      <c r="B1556" s="36" t="s">
        <v>2185</v>
      </c>
      <c r="C1556" s="36" t="s">
        <v>2186</v>
      </c>
      <c r="D1556" s="37">
        <f>SUMIF(RAW_File!D:D,C:C,RAW_File!F:F)</f>
        <v>9294.0393424020422</v>
      </c>
      <c r="E1556" s="38">
        <f>SUMIF(RAW_File!D:D,C:C,RAW_File!G:G)</f>
        <v>6715</v>
      </c>
      <c r="F1556" s="39">
        <f>SUMIF(RAW_File!D:D,C:C,RAW_File!I:I)</f>
        <v>61055</v>
      </c>
      <c r="G1556" s="40">
        <f>SUMIF(RAW_File!D:D,C:C,RAW_File!K:K)</f>
        <v>0</v>
      </c>
      <c r="H1556" s="41">
        <f>SUMIF(RAW_File!D:D,C:C,RAW_File!M:M)</f>
        <v>80000</v>
      </c>
      <c r="I1556" s="40">
        <f t="shared" si="26"/>
        <v>80000</v>
      </c>
    </row>
    <row r="1557" spans="1:9" hidden="1" x14ac:dyDescent="0.25">
      <c r="A1557" s="36" t="s">
        <v>57</v>
      </c>
      <c r="B1557" s="36" t="s">
        <v>2337</v>
      </c>
      <c r="C1557" s="36" t="s">
        <v>2338</v>
      </c>
      <c r="D1557" s="37">
        <f>SUMIF(RAW_File!D:D,C:C,RAW_File!F:F)</f>
        <v>37.616308244859319</v>
      </c>
      <c r="E1557" s="38">
        <f>SUMIF(RAW_File!D:D,C:C,RAW_File!G:G)</f>
        <v>1205</v>
      </c>
      <c r="F1557" s="39">
        <f>SUMIF(RAW_File!D:D,C:C,RAW_File!I:I)</f>
        <v>7809</v>
      </c>
      <c r="G1557" s="40">
        <f>SUMIF(RAW_File!D:D,C:C,RAW_File!K:K)</f>
        <v>0</v>
      </c>
      <c r="H1557" s="41">
        <f>SUMIF(RAW_File!D:D,C:C,RAW_File!M:M)</f>
        <v>7000</v>
      </c>
      <c r="I1557" s="40">
        <f t="shared" si="26"/>
        <v>7000</v>
      </c>
    </row>
    <row r="1558" spans="1:9" hidden="1" x14ac:dyDescent="0.25">
      <c r="A1558" s="36" t="s">
        <v>57</v>
      </c>
      <c r="B1558" s="36" t="s">
        <v>2355</v>
      </c>
      <c r="C1558" s="36" t="s">
        <v>2356</v>
      </c>
      <c r="D1558" s="37">
        <f>SUMIF(RAW_File!D:D,C:C,RAW_File!F:F)</f>
        <v>5098.7403599725976</v>
      </c>
      <c r="E1558" s="38">
        <f>SUMIF(RAW_File!D:D,C:C,RAW_File!G:G)</f>
        <v>0</v>
      </c>
      <c r="F1558" s="39">
        <f>SUMIF(RAW_File!D:D,C:C,RAW_File!I:I)</f>
        <v>1900</v>
      </c>
      <c r="G1558" s="40">
        <f>SUMIF(RAW_File!D:D,C:C,RAW_File!K:K)</f>
        <v>0</v>
      </c>
      <c r="H1558" s="41">
        <f>SUMIF(RAW_File!D:D,C:C,RAW_File!M:M)</f>
        <v>6000</v>
      </c>
      <c r="I1558" s="40">
        <f t="shared" si="26"/>
        <v>6000</v>
      </c>
    </row>
    <row r="1559" spans="1:9" hidden="1" x14ac:dyDescent="0.25">
      <c r="A1559" s="36" t="s">
        <v>57</v>
      </c>
      <c r="B1559" s="36" t="s">
        <v>2371</v>
      </c>
      <c r="C1559" s="36" t="s">
        <v>2372</v>
      </c>
      <c r="D1559" s="37">
        <f>SUMIF(RAW_File!D:D,C:C,RAW_File!F:F)</f>
        <v>1464.411285398488</v>
      </c>
      <c r="E1559" s="38">
        <f>SUMIF(RAW_File!D:D,C:C,RAW_File!G:G)</f>
        <v>0</v>
      </c>
      <c r="F1559" s="39">
        <f>SUMIF(RAW_File!D:D,C:C,RAW_File!I:I)</f>
        <v>0</v>
      </c>
      <c r="G1559" s="40">
        <f>SUMIF(RAW_File!D:D,C:C,RAW_File!K:K)</f>
        <v>0</v>
      </c>
      <c r="H1559" s="41">
        <f>SUMIF(RAW_File!D:D,C:C,RAW_File!M:M)</f>
        <v>15000</v>
      </c>
      <c r="I1559" s="40">
        <f t="shared" si="26"/>
        <v>15000</v>
      </c>
    </row>
    <row r="1560" spans="1:9" hidden="1" x14ac:dyDescent="0.25">
      <c r="A1560" s="36" t="s">
        <v>57</v>
      </c>
      <c r="B1560" s="36" t="s">
        <v>2500</v>
      </c>
      <c r="C1560" s="36" t="s">
        <v>2501</v>
      </c>
      <c r="D1560" s="37">
        <f>SUMIF(RAW_File!D:D,C:C,RAW_File!F:F)</f>
        <v>5554.4066000000003</v>
      </c>
      <c r="E1560" s="38">
        <f>SUMIF(RAW_File!D:D,C:C,RAW_File!G:G)</f>
        <v>0</v>
      </c>
      <c r="F1560" s="39">
        <f>SUMIF(RAW_File!D:D,C:C,RAW_File!I:I)</f>
        <v>6470</v>
      </c>
      <c r="G1560" s="40">
        <f>SUMIF(RAW_File!D:D,C:C,RAW_File!K:K)</f>
        <v>0</v>
      </c>
      <c r="H1560" s="41">
        <f>SUMIF(RAW_File!D:D,C:C,RAW_File!M:M)</f>
        <v>9000</v>
      </c>
      <c r="I1560" s="40">
        <f t="shared" si="26"/>
        <v>9000</v>
      </c>
    </row>
    <row r="1561" spans="1:9" hidden="1" x14ac:dyDescent="0.25">
      <c r="A1561" s="36" t="s">
        <v>57</v>
      </c>
      <c r="B1561" s="36" t="s">
        <v>2613</v>
      </c>
      <c r="C1561" s="36" t="s">
        <v>2614</v>
      </c>
      <c r="D1561" s="37">
        <f>SUMIF(RAW_File!D:D,C:C,RAW_File!F:F)</f>
        <v>566.82420000000002</v>
      </c>
      <c r="E1561" s="38">
        <f>SUMIF(RAW_File!D:D,C:C,RAW_File!G:G)</f>
        <v>0</v>
      </c>
      <c r="F1561" s="39">
        <f>SUMIF(RAW_File!D:D,C:C,RAW_File!I:I)</f>
        <v>0</v>
      </c>
      <c r="G1561" s="40">
        <f>SUMIF(RAW_File!D:D,C:C,RAW_File!K:K)</f>
        <v>0</v>
      </c>
      <c r="H1561" s="41">
        <f>SUMIF(RAW_File!D:D,C:C,RAW_File!M:M)</f>
        <v>5000</v>
      </c>
      <c r="I1561" s="40">
        <f t="shared" si="26"/>
        <v>5000</v>
      </c>
    </row>
    <row r="1562" spans="1:9" hidden="1" x14ac:dyDescent="0.25">
      <c r="A1562" s="36" t="s">
        <v>57</v>
      </c>
      <c r="B1562" s="36" t="s">
        <v>2615</v>
      </c>
      <c r="C1562" s="36" t="s">
        <v>2616</v>
      </c>
      <c r="D1562" s="37">
        <f>SUMIF(RAW_File!D:D,C:C,RAW_File!F:F)</f>
        <v>441.65929999999997</v>
      </c>
      <c r="E1562" s="38">
        <f>SUMIF(RAW_File!D:D,C:C,RAW_File!G:G)</f>
        <v>1445</v>
      </c>
      <c r="F1562" s="39">
        <f>SUMIF(RAW_File!D:D,C:C,RAW_File!I:I)</f>
        <v>3870</v>
      </c>
      <c r="G1562" s="40">
        <f>SUMIF(RAW_File!D:D,C:C,RAW_File!K:K)</f>
        <v>0</v>
      </c>
      <c r="H1562" s="41">
        <f>SUMIF(RAW_File!D:D,C:C,RAW_File!M:M)</f>
        <v>5000</v>
      </c>
      <c r="I1562" s="40">
        <f t="shared" si="26"/>
        <v>5000</v>
      </c>
    </row>
    <row r="1563" spans="1:9" hidden="1" x14ac:dyDescent="0.25">
      <c r="A1563" s="36" t="s">
        <v>57</v>
      </c>
      <c r="B1563" s="36" t="s">
        <v>2624</v>
      </c>
      <c r="C1563" s="36" t="s">
        <v>2625</v>
      </c>
      <c r="D1563" s="37">
        <f>SUMIF(RAW_File!D:D,C:C,RAW_File!F:F)</f>
        <v>10589.6113</v>
      </c>
      <c r="E1563" s="38">
        <f>SUMIF(RAW_File!D:D,C:C,RAW_File!G:G)</f>
        <v>0</v>
      </c>
      <c r="F1563" s="39">
        <f>SUMIF(RAW_File!D:D,C:C,RAW_File!I:I)</f>
        <v>19360</v>
      </c>
      <c r="G1563" s="40">
        <f>SUMIF(RAW_File!D:D,C:C,RAW_File!K:K)</f>
        <v>0</v>
      </c>
      <c r="H1563" s="41">
        <f>SUMIF(RAW_File!D:D,C:C,RAW_File!M:M)</f>
        <v>9000</v>
      </c>
      <c r="I1563" s="40">
        <f t="shared" si="26"/>
        <v>9000</v>
      </c>
    </row>
    <row r="1564" spans="1:9" hidden="1" x14ac:dyDescent="0.25">
      <c r="A1564" s="36" t="s">
        <v>57</v>
      </c>
      <c r="B1564" s="36" t="s">
        <v>2813</v>
      </c>
      <c r="C1564" s="36" t="s">
        <v>2814</v>
      </c>
      <c r="D1564" s="37">
        <f>SUMIF(RAW_File!D:D,C:C,RAW_File!F:F)</f>
        <v>177.34649328134131</v>
      </c>
      <c r="E1564" s="38">
        <f>SUMIF(RAW_File!D:D,C:C,RAW_File!G:G)</f>
        <v>1020</v>
      </c>
      <c r="F1564" s="39">
        <f>SUMIF(RAW_File!D:D,C:C,RAW_File!I:I)</f>
        <v>3970</v>
      </c>
      <c r="G1564" s="40">
        <f>SUMIF(RAW_File!D:D,C:C,RAW_File!K:K)</f>
        <v>0</v>
      </c>
      <c r="H1564" s="41">
        <f>SUMIF(RAW_File!D:D,C:C,RAW_File!M:M)</f>
        <v>15000</v>
      </c>
      <c r="I1564" s="40">
        <f t="shared" si="26"/>
        <v>15000</v>
      </c>
    </row>
    <row r="1565" spans="1:9" hidden="1" x14ac:dyDescent="0.25">
      <c r="A1565" s="36" t="s">
        <v>57</v>
      </c>
      <c r="B1565" s="36" t="s">
        <v>2820</v>
      </c>
      <c r="C1565" s="36" t="s">
        <v>2821</v>
      </c>
      <c r="D1565" s="37">
        <f>SUMIF(RAW_File!D:D,C:C,RAW_File!F:F)</f>
        <v>6578.7795738594396</v>
      </c>
      <c r="E1565" s="38">
        <f>SUMIF(RAW_File!D:D,C:C,RAW_File!G:G)</f>
        <v>1500</v>
      </c>
      <c r="F1565" s="39">
        <f>SUMIF(RAW_File!D:D,C:C,RAW_File!I:I)</f>
        <v>9295</v>
      </c>
      <c r="G1565" s="40">
        <f>SUMIF(RAW_File!D:D,C:C,RAW_File!K:K)</f>
        <v>0</v>
      </c>
      <c r="H1565" s="41">
        <f>SUMIF(RAW_File!D:D,C:C,RAW_File!M:M)</f>
        <v>20000</v>
      </c>
      <c r="I1565" s="40">
        <f t="shared" si="26"/>
        <v>20000</v>
      </c>
    </row>
    <row r="1566" spans="1:9" hidden="1" x14ac:dyDescent="0.25">
      <c r="A1566" s="36" t="s">
        <v>57</v>
      </c>
      <c r="B1566" s="36" t="s">
        <v>2861</v>
      </c>
      <c r="C1566" s="36" t="s">
        <v>2862</v>
      </c>
      <c r="D1566" s="37">
        <f>SUMIF(RAW_File!D:D,C:C,RAW_File!F:F)</f>
        <v>4.5438738597207067</v>
      </c>
      <c r="E1566" s="38">
        <f>SUMIF(RAW_File!D:D,C:C,RAW_File!G:G)</f>
        <v>0</v>
      </c>
      <c r="F1566" s="39">
        <f>SUMIF(RAW_File!D:D,C:C,RAW_File!I:I)</f>
        <v>0</v>
      </c>
      <c r="G1566" s="40">
        <f>SUMIF(RAW_File!D:D,C:C,RAW_File!K:K)</f>
        <v>0</v>
      </c>
      <c r="H1566" s="41">
        <f>SUMIF(RAW_File!D:D,C:C,RAW_File!M:M)</f>
        <v>0</v>
      </c>
      <c r="I1566" s="40">
        <f t="shared" si="26"/>
        <v>0</v>
      </c>
    </row>
    <row r="1567" spans="1:9" hidden="1" x14ac:dyDescent="0.25">
      <c r="A1567" s="36" t="s">
        <v>57</v>
      </c>
      <c r="B1567" s="36" t="s">
        <v>2863</v>
      </c>
      <c r="C1567" s="36" t="s">
        <v>2864</v>
      </c>
      <c r="D1567" s="37">
        <f>SUMIF(RAW_File!D:D,C:C,RAW_File!F:F)</f>
        <v>618.4668751337897</v>
      </c>
      <c r="E1567" s="38">
        <f>SUMIF(RAW_File!D:D,C:C,RAW_File!G:G)</f>
        <v>2000</v>
      </c>
      <c r="F1567" s="39">
        <f>SUMIF(RAW_File!D:D,C:C,RAW_File!I:I)</f>
        <v>4000</v>
      </c>
      <c r="G1567" s="40">
        <f>SUMIF(RAW_File!D:D,C:C,RAW_File!K:K)</f>
        <v>0</v>
      </c>
      <c r="H1567" s="41">
        <f>SUMIF(RAW_File!D:D,C:C,RAW_File!M:M)</f>
        <v>21000</v>
      </c>
      <c r="I1567" s="40">
        <f t="shared" si="26"/>
        <v>21000</v>
      </c>
    </row>
    <row r="1568" spans="1:9" hidden="1" x14ac:dyDescent="0.25">
      <c r="A1568" s="36" t="s">
        <v>57</v>
      </c>
      <c r="B1568" s="36" t="s">
        <v>2949</v>
      </c>
      <c r="C1568" s="36" t="s">
        <v>2950</v>
      </c>
      <c r="D1568" s="37">
        <f>SUMIF(RAW_File!D:D,C:C,RAW_File!F:F)</f>
        <v>9480.9493802196248</v>
      </c>
      <c r="E1568" s="38">
        <f>SUMIF(RAW_File!D:D,C:C,RAW_File!G:G)</f>
        <v>210</v>
      </c>
      <c r="F1568" s="39">
        <f>SUMIF(RAW_File!D:D,C:C,RAW_File!I:I)</f>
        <v>32585</v>
      </c>
      <c r="G1568" s="40">
        <f>SUMIF(RAW_File!D:D,C:C,RAW_File!K:K)</f>
        <v>0</v>
      </c>
      <c r="H1568" s="41">
        <f>SUMIF(RAW_File!D:D,C:C,RAW_File!M:M)</f>
        <v>35000</v>
      </c>
      <c r="I1568" s="40">
        <f t="shared" si="26"/>
        <v>35000</v>
      </c>
    </row>
    <row r="1569" spans="1:9" hidden="1" x14ac:dyDescent="0.25">
      <c r="A1569" s="36" t="s">
        <v>57</v>
      </c>
      <c r="B1569" s="36" t="s">
        <v>1124</v>
      </c>
      <c r="C1569" s="36" t="s">
        <v>3111</v>
      </c>
      <c r="D1569" s="37">
        <f>SUMIF(RAW_File!D:D,C:C,RAW_File!F:F)</f>
        <v>0.84545000000000003</v>
      </c>
      <c r="E1569" s="38">
        <f>SUMIF(RAW_File!D:D,C:C,RAW_File!G:G)</f>
        <v>0</v>
      </c>
      <c r="F1569" s="39">
        <f>SUMIF(RAW_File!D:D,C:C,RAW_File!I:I)</f>
        <v>0</v>
      </c>
      <c r="G1569" s="40">
        <f>SUMIF(RAW_File!D:D,C:C,RAW_File!K:K)</f>
        <v>0</v>
      </c>
      <c r="H1569" s="41">
        <f>SUMIF(RAW_File!D:D,C:C,RAW_File!M:M)</f>
        <v>0</v>
      </c>
      <c r="I1569" s="40">
        <f t="shared" si="26"/>
        <v>0</v>
      </c>
    </row>
    <row r="1570" spans="1:9" hidden="1" x14ac:dyDescent="0.25">
      <c r="A1570" s="36" t="s">
        <v>57</v>
      </c>
      <c r="B1570" s="36" t="s">
        <v>3125</v>
      </c>
      <c r="C1570" s="36" t="s">
        <v>3126</v>
      </c>
      <c r="D1570" s="37">
        <f>SUMIF(RAW_File!D:D,C:C,RAW_File!F:F)</f>
        <v>9152.7440768937704</v>
      </c>
      <c r="E1570" s="38">
        <f>SUMIF(RAW_File!D:D,C:C,RAW_File!G:G)</f>
        <v>3020</v>
      </c>
      <c r="F1570" s="39">
        <f>SUMIF(RAW_File!D:D,C:C,RAW_File!I:I)</f>
        <v>20075</v>
      </c>
      <c r="G1570" s="40">
        <f>SUMIF(RAW_File!D:D,C:C,RAW_File!K:K)</f>
        <v>0</v>
      </c>
      <c r="H1570" s="41">
        <f>SUMIF(RAW_File!D:D,C:C,RAW_File!M:M)</f>
        <v>5000</v>
      </c>
      <c r="I1570" s="40">
        <f t="shared" si="26"/>
        <v>5000</v>
      </c>
    </row>
    <row r="1571" spans="1:9" hidden="1" x14ac:dyDescent="0.25">
      <c r="A1571" s="36" t="s">
        <v>57</v>
      </c>
      <c r="B1571" s="36" t="s">
        <v>3305</v>
      </c>
      <c r="C1571" s="36" t="s">
        <v>3306</v>
      </c>
      <c r="D1571" s="37">
        <f>SUMIF(RAW_File!D:D,C:C,RAW_File!F:F)</f>
        <v>20238.498296827122</v>
      </c>
      <c r="E1571" s="38">
        <f>SUMIF(RAW_File!D:D,C:C,RAW_File!G:G)</f>
        <v>0</v>
      </c>
      <c r="F1571" s="39">
        <f>SUMIF(RAW_File!D:D,C:C,RAW_File!I:I)</f>
        <v>27510</v>
      </c>
      <c r="G1571" s="40">
        <f>SUMIF(RAW_File!D:D,C:C,RAW_File!K:K)</f>
        <v>0</v>
      </c>
      <c r="H1571" s="41">
        <f>SUMIF(RAW_File!D:D,C:C,RAW_File!M:M)</f>
        <v>20000</v>
      </c>
      <c r="I1571" s="40">
        <f t="shared" si="26"/>
        <v>20000</v>
      </c>
    </row>
    <row r="1572" spans="1:9" hidden="1" x14ac:dyDescent="0.25">
      <c r="A1572" s="36" t="s">
        <v>57</v>
      </c>
      <c r="B1572" s="36" t="s">
        <v>3338</v>
      </c>
      <c r="C1572" s="36" t="s">
        <v>3339</v>
      </c>
      <c r="D1572" s="37">
        <f>SUMIF(RAW_File!D:D,C:C,RAW_File!F:F)</f>
        <v>3584.4516745257661</v>
      </c>
      <c r="E1572" s="38">
        <f>SUMIF(RAW_File!D:D,C:C,RAW_File!G:G)</f>
        <v>0</v>
      </c>
      <c r="F1572" s="39">
        <f>SUMIF(RAW_File!D:D,C:C,RAW_File!I:I)</f>
        <v>9420</v>
      </c>
      <c r="G1572" s="40">
        <f>SUMIF(RAW_File!D:D,C:C,RAW_File!K:K)</f>
        <v>0</v>
      </c>
      <c r="H1572" s="41">
        <f>SUMIF(RAW_File!D:D,C:C,RAW_File!M:M)</f>
        <v>17000</v>
      </c>
      <c r="I1572" s="40">
        <f t="shared" si="26"/>
        <v>17000</v>
      </c>
    </row>
    <row r="1573" spans="1:9" hidden="1" x14ac:dyDescent="0.25">
      <c r="A1573" s="36" t="s">
        <v>57</v>
      </c>
      <c r="B1573" s="36" t="s">
        <v>3369</v>
      </c>
      <c r="C1573" s="36" t="s">
        <v>3370</v>
      </c>
      <c r="D1573" s="37">
        <f>SUMIF(RAW_File!D:D,C:C,RAW_File!F:F)</f>
        <v>6122.6825652145499</v>
      </c>
      <c r="E1573" s="38">
        <f>SUMIF(RAW_File!D:D,C:C,RAW_File!G:G)</f>
        <v>0</v>
      </c>
      <c r="F1573" s="39">
        <f>SUMIF(RAW_File!D:D,C:C,RAW_File!I:I)</f>
        <v>65150</v>
      </c>
      <c r="G1573" s="40">
        <f>SUMIF(RAW_File!D:D,C:C,RAW_File!K:K)</f>
        <v>0</v>
      </c>
      <c r="H1573" s="41">
        <f>SUMIF(RAW_File!D:D,C:C,RAW_File!M:M)</f>
        <v>154000</v>
      </c>
      <c r="I1573" s="40">
        <f t="shared" si="26"/>
        <v>154000</v>
      </c>
    </row>
    <row r="1574" spans="1:9" hidden="1" x14ac:dyDescent="0.25">
      <c r="A1574" s="36" t="s">
        <v>57</v>
      </c>
      <c r="B1574" s="36" t="s">
        <v>3549</v>
      </c>
      <c r="C1574" s="36" t="s">
        <v>3550</v>
      </c>
      <c r="D1574" s="37">
        <f>SUMIF(RAW_File!D:D,C:C,RAW_File!F:F)</f>
        <v>5200.9106000000002</v>
      </c>
      <c r="E1574" s="38">
        <f>SUMIF(RAW_File!D:D,C:C,RAW_File!G:G)</f>
        <v>0</v>
      </c>
      <c r="F1574" s="39">
        <f>SUMIF(RAW_File!D:D,C:C,RAW_File!I:I)</f>
        <v>0</v>
      </c>
      <c r="G1574" s="40">
        <f>SUMIF(RAW_File!D:D,C:C,RAW_File!K:K)</f>
        <v>5000</v>
      </c>
      <c r="H1574" s="41">
        <f>SUMIF(RAW_File!D:D,C:C,RAW_File!M:M)</f>
        <v>0</v>
      </c>
      <c r="I1574" s="40">
        <f t="shared" si="26"/>
        <v>5000</v>
      </c>
    </row>
    <row r="1575" spans="1:9" hidden="1" x14ac:dyDescent="0.25">
      <c r="A1575" s="36" t="s">
        <v>86</v>
      </c>
      <c r="B1575" s="36" t="s">
        <v>133</v>
      </c>
      <c r="C1575" s="36" t="s">
        <v>134</v>
      </c>
      <c r="D1575" s="37">
        <f>SUMIF(RAW_File!D:D,C:C,RAW_File!F:F)</f>
        <v>17740.08594790264</v>
      </c>
      <c r="E1575" s="38">
        <f>SUMIF(RAW_File!D:D,C:C,RAW_File!G:G)</f>
        <v>8010</v>
      </c>
      <c r="F1575" s="39">
        <f>SUMIF(RAW_File!D:D,C:C,RAW_File!I:I)</f>
        <v>29770</v>
      </c>
      <c r="G1575" s="40">
        <f>SUMIF(RAW_File!D:D,C:C,RAW_File!K:K)</f>
        <v>0</v>
      </c>
      <c r="H1575" s="41">
        <f>SUMIF(RAW_File!D:D,C:C,RAW_File!M:M)</f>
        <v>15000</v>
      </c>
      <c r="I1575" s="40">
        <f t="shared" si="26"/>
        <v>15000</v>
      </c>
    </row>
    <row r="1576" spans="1:9" hidden="1" x14ac:dyDescent="0.25">
      <c r="A1576" s="36" t="s">
        <v>86</v>
      </c>
      <c r="B1576" s="36" t="s">
        <v>149</v>
      </c>
      <c r="C1576" s="36" t="s">
        <v>150</v>
      </c>
      <c r="D1576" s="37">
        <f>SUMIF(RAW_File!D:D,C:C,RAW_File!F:F)</f>
        <v>1452.750454357026</v>
      </c>
      <c r="E1576" s="38">
        <f>SUMIF(RAW_File!D:D,C:C,RAW_File!G:G)</f>
        <v>200</v>
      </c>
      <c r="F1576" s="39">
        <f>SUMIF(RAW_File!D:D,C:C,RAW_File!I:I)</f>
        <v>1800</v>
      </c>
      <c r="G1576" s="40">
        <f>SUMIF(RAW_File!D:D,C:C,RAW_File!K:K)</f>
        <v>0</v>
      </c>
      <c r="H1576" s="41">
        <f>SUMIF(RAW_File!D:D,C:C,RAW_File!M:M)</f>
        <v>0</v>
      </c>
      <c r="I1576" s="40">
        <f t="shared" si="26"/>
        <v>0</v>
      </c>
    </row>
    <row r="1577" spans="1:9" hidden="1" x14ac:dyDescent="0.25">
      <c r="A1577" s="36" t="s">
        <v>86</v>
      </c>
      <c r="B1577" s="36" t="s">
        <v>151</v>
      </c>
      <c r="C1577" s="36" t="s">
        <v>152</v>
      </c>
      <c r="D1577" s="37">
        <f>SUMIF(RAW_File!D:D,C:C,RAW_File!F:F)</f>
        <v>1188.16445</v>
      </c>
      <c r="E1577" s="38">
        <f>SUMIF(RAW_File!D:D,C:C,RAW_File!G:G)</f>
        <v>5410</v>
      </c>
      <c r="F1577" s="39">
        <f>SUMIF(RAW_File!D:D,C:C,RAW_File!I:I)</f>
        <v>10860</v>
      </c>
      <c r="G1577" s="40">
        <f>SUMIF(RAW_File!D:D,C:C,RAW_File!K:K)</f>
        <v>0</v>
      </c>
      <c r="H1577" s="41">
        <f>SUMIF(RAW_File!D:D,C:C,RAW_File!M:M)</f>
        <v>8000</v>
      </c>
      <c r="I1577" s="40">
        <f t="shared" si="26"/>
        <v>8000</v>
      </c>
    </row>
    <row r="1578" spans="1:9" hidden="1" x14ac:dyDescent="0.25">
      <c r="A1578" s="36" t="s">
        <v>86</v>
      </c>
      <c r="B1578" s="36" t="s">
        <v>276</v>
      </c>
      <c r="C1578" s="36" t="s">
        <v>277</v>
      </c>
      <c r="D1578" s="37">
        <f>SUMIF(RAW_File!D:D,C:C,RAW_File!F:F)</f>
        <v>6580.629758348894</v>
      </c>
      <c r="E1578" s="38">
        <f>SUMIF(RAW_File!D:D,C:C,RAW_File!G:G)</f>
        <v>0</v>
      </c>
      <c r="F1578" s="39">
        <f>SUMIF(RAW_File!D:D,C:C,RAW_File!I:I)</f>
        <v>0</v>
      </c>
      <c r="G1578" s="40">
        <f>SUMIF(RAW_File!D:D,C:C,RAW_File!K:K)</f>
        <v>5000</v>
      </c>
      <c r="H1578" s="41">
        <f>SUMIF(RAW_File!D:D,C:C,RAW_File!M:M)</f>
        <v>0</v>
      </c>
      <c r="I1578" s="40">
        <f t="shared" si="26"/>
        <v>5000</v>
      </c>
    </row>
    <row r="1579" spans="1:9" hidden="1" x14ac:dyDescent="0.25">
      <c r="A1579" s="36" t="s">
        <v>86</v>
      </c>
      <c r="B1579" s="36" t="s">
        <v>322</v>
      </c>
      <c r="C1579" s="36" t="s">
        <v>323</v>
      </c>
      <c r="D1579" s="37">
        <f>SUMIF(RAW_File!D:D,C:C,RAW_File!F:F)</f>
        <v>2401.4748924655369</v>
      </c>
      <c r="E1579" s="38">
        <f>SUMIF(RAW_File!D:D,C:C,RAW_File!G:G)</f>
        <v>350</v>
      </c>
      <c r="F1579" s="39">
        <f>SUMIF(RAW_File!D:D,C:C,RAW_File!I:I)</f>
        <v>1800</v>
      </c>
      <c r="G1579" s="40">
        <f>SUMIF(RAW_File!D:D,C:C,RAW_File!K:K)</f>
        <v>0</v>
      </c>
      <c r="H1579" s="41">
        <f>SUMIF(RAW_File!D:D,C:C,RAW_File!M:M)</f>
        <v>5000</v>
      </c>
      <c r="I1579" s="40">
        <f t="shared" si="26"/>
        <v>5000</v>
      </c>
    </row>
    <row r="1580" spans="1:9" hidden="1" x14ac:dyDescent="0.25">
      <c r="A1580" s="36" t="s">
        <v>86</v>
      </c>
      <c r="B1580" s="36" t="s">
        <v>415</v>
      </c>
      <c r="C1580" s="36" t="s">
        <v>416</v>
      </c>
      <c r="D1580" s="37">
        <f>SUMIF(RAW_File!D:D,C:C,RAW_File!F:F)</f>
        <v>2.3734999999999999</v>
      </c>
      <c r="E1580" s="38">
        <f>SUMIF(RAW_File!D:D,C:C,RAW_File!G:G)</f>
        <v>0</v>
      </c>
      <c r="F1580" s="39">
        <f>SUMIF(RAW_File!D:D,C:C,RAW_File!I:I)</f>
        <v>0</v>
      </c>
      <c r="G1580" s="40">
        <f>SUMIF(RAW_File!D:D,C:C,RAW_File!K:K)</f>
        <v>0</v>
      </c>
      <c r="H1580" s="41">
        <f>SUMIF(RAW_File!D:D,C:C,RAW_File!M:M)</f>
        <v>0</v>
      </c>
      <c r="I1580" s="40">
        <f t="shared" si="26"/>
        <v>0</v>
      </c>
    </row>
    <row r="1581" spans="1:9" hidden="1" x14ac:dyDescent="0.25">
      <c r="A1581" s="36" t="s">
        <v>86</v>
      </c>
      <c r="B1581" s="36" t="s">
        <v>356</v>
      </c>
      <c r="C1581" s="36" t="s">
        <v>469</v>
      </c>
      <c r="D1581" s="37">
        <f>SUMIF(RAW_File!D:D,C:C,RAW_File!F:F)</f>
        <v>35.568899999999999</v>
      </c>
      <c r="E1581" s="38">
        <f>SUMIF(RAW_File!D:D,C:C,RAW_File!G:G)</f>
        <v>0</v>
      </c>
      <c r="F1581" s="39">
        <f>SUMIF(RAW_File!D:D,C:C,RAW_File!I:I)</f>
        <v>0</v>
      </c>
      <c r="G1581" s="40">
        <f>SUMIF(RAW_File!D:D,C:C,RAW_File!K:K)</f>
        <v>0</v>
      </c>
      <c r="H1581" s="41">
        <f>SUMIF(RAW_File!D:D,C:C,RAW_File!M:M)</f>
        <v>0</v>
      </c>
      <c r="I1581" s="40">
        <f t="shared" si="26"/>
        <v>0</v>
      </c>
    </row>
    <row r="1582" spans="1:9" hidden="1" x14ac:dyDescent="0.25">
      <c r="A1582" s="36" t="s">
        <v>86</v>
      </c>
      <c r="B1582" s="36" t="s">
        <v>622</v>
      </c>
      <c r="C1582" s="36" t="s">
        <v>623</v>
      </c>
      <c r="D1582" s="37">
        <f>SUMIF(RAW_File!D:D,C:C,RAW_File!F:F)</f>
        <v>4932.1307717528307</v>
      </c>
      <c r="E1582" s="38">
        <f>SUMIF(RAW_File!D:D,C:C,RAW_File!G:G)</f>
        <v>6010</v>
      </c>
      <c r="F1582" s="39">
        <f>SUMIF(RAW_File!D:D,C:C,RAW_File!I:I)</f>
        <v>11830</v>
      </c>
      <c r="G1582" s="40">
        <f>SUMIF(RAW_File!D:D,C:C,RAW_File!K:K)</f>
        <v>5000</v>
      </c>
      <c r="H1582" s="41">
        <f>SUMIF(RAW_File!D:D,C:C,RAW_File!M:M)</f>
        <v>0</v>
      </c>
      <c r="I1582" s="40">
        <f t="shared" si="26"/>
        <v>5000</v>
      </c>
    </row>
    <row r="1583" spans="1:9" hidden="1" x14ac:dyDescent="0.25">
      <c r="A1583" s="36" t="s">
        <v>86</v>
      </c>
      <c r="B1583" s="36" t="s">
        <v>679</v>
      </c>
      <c r="C1583" s="36" t="s">
        <v>680</v>
      </c>
      <c r="D1583" s="37">
        <f>SUMIF(RAW_File!D:D,C:C,RAW_File!F:F)</f>
        <v>5141.533686849797</v>
      </c>
      <c r="E1583" s="38">
        <f>SUMIF(RAW_File!D:D,C:C,RAW_File!G:G)</f>
        <v>0</v>
      </c>
      <c r="F1583" s="39">
        <f>SUMIF(RAW_File!D:D,C:C,RAW_File!I:I)</f>
        <v>6550</v>
      </c>
      <c r="G1583" s="40">
        <f>SUMIF(RAW_File!D:D,C:C,RAW_File!K:K)</f>
        <v>0</v>
      </c>
      <c r="H1583" s="41">
        <f>SUMIF(RAW_File!D:D,C:C,RAW_File!M:M)</f>
        <v>19000</v>
      </c>
      <c r="I1583" s="40">
        <f t="shared" si="26"/>
        <v>19000</v>
      </c>
    </row>
    <row r="1584" spans="1:9" hidden="1" x14ac:dyDescent="0.25">
      <c r="A1584" s="36" t="s">
        <v>86</v>
      </c>
      <c r="B1584" s="36" t="s">
        <v>705</v>
      </c>
      <c r="C1584" s="36" t="s">
        <v>706</v>
      </c>
      <c r="D1584" s="37">
        <f>SUMIF(RAW_File!D:D,C:C,RAW_File!F:F)</f>
        <v>29886.202348923609</v>
      </c>
      <c r="E1584" s="38">
        <f>SUMIF(RAW_File!D:D,C:C,RAW_File!G:G)</f>
        <v>4130</v>
      </c>
      <c r="F1584" s="39">
        <f>SUMIF(RAW_File!D:D,C:C,RAW_File!I:I)</f>
        <v>50130</v>
      </c>
      <c r="G1584" s="40">
        <f>SUMIF(RAW_File!D:D,C:C,RAW_File!K:K)</f>
        <v>5000</v>
      </c>
      <c r="H1584" s="41">
        <f>SUMIF(RAW_File!D:D,C:C,RAW_File!M:M)</f>
        <v>115000</v>
      </c>
      <c r="I1584" s="40">
        <f t="shared" si="26"/>
        <v>110000</v>
      </c>
    </row>
    <row r="1585" spans="1:9" hidden="1" x14ac:dyDescent="0.25">
      <c r="A1585" s="36" t="s">
        <v>86</v>
      </c>
      <c r="B1585" s="36" t="s">
        <v>777</v>
      </c>
      <c r="C1585" s="36" t="s">
        <v>778</v>
      </c>
      <c r="D1585" s="37">
        <f>SUMIF(RAW_File!D:D,C:C,RAW_File!F:F)</f>
        <v>35.308199999999999</v>
      </c>
      <c r="E1585" s="38">
        <f>SUMIF(RAW_File!D:D,C:C,RAW_File!G:G)</f>
        <v>1400</v>
      </c>
      <c r="F1585" s="39">
        <f>SUMIF(RAW_File!D:D,C:C,RAW_File!I:I)</f>
        <v>6400</v>
      </c>
      <c r="G1585" s="40">
        <f>SUMIF(RAW_File!D:D,C:C,RAW_File!K:K)</f>
        <v>0</v>
      </c>
      <c r="H1585" s="41">
        <f>SUMIF(RAW_File!D:D,C:C,RAW_File!M:M)</f>
        <v>5000</v>
      </c>
      <c r="I1585" s="40">
        <f t="shared" si="26"/>
        <v>5000</v>
      </c>
    </row>
    <row r="1586" spans="1:9" hidden="1" x14ac:dyDescent="0.25">
      <c r="A1586" s="36" t="s">
        <v>86</v>
      </c>
      <c r="B1586" s="36" t="s">
        <v>850</v>
      </c>
      <c r="C1586" s="36" t="s">
        <v>851</v>
      </c>
      <c r="D1586" s="37">
        <f>SUMIF(RAW_File!D:D,C:C,RAW_File!F:F)</f>
        <v>2226.099828153518</v>
      </c>
      <c r="E1586" s="38">
        <f>SUMIF(RAW_File!D:D,C:C,RAW_File!G:G)</f>
        <v>2400</v>
      </c>
      <c r="F1586" s="39">
        <f>SUMIF(RAW_File!D:D,C:C,RAW_File!I:I)</f>
        <v>6200</v>
      </c>
      <c r="G1586" s="40">
        <f>SUMIF(RAW_File!D:D,C:C,RAW_File!K:K)</f>
        <v>0</v>
      </c>
      <c r="H1586" s="41">
        <f>SUMIF(RAW_File!D:D,C:C,RAW_File!M:M)</f>
        <v>5000</v>
      </c>
      <c r="I1586" s="40">
        <f t="shared" si="26"/>
        <v>5000</v>
      </c>
    </row>
    <row r="1587" spans="1:9" hidden="1" x14ac:dyDescent="0.25">
      <c r="A1587" s="36" t="s">
        <v>86</v>
      </c>
      <c r="B1587" s="36" t="s">
        <v>877</v>
      </c>
      <c r="C1587" s="36" t="s">
        <v>878</v>
      </c>
      <c r="D1587" s="37">
        <f>SUMIF(RAW_File!D:D,C:C,RAW_File!F:F)</f>
        <v>5469.1387500000001</v>
      </c>
      <c r="E1587" s="38">
        <f>SUMIF(RAW_File!D:D,C:C,RAW_File!G:G)</f>
        <v>0</v>
      </c>
      <c r="F1587" s="39">
        <f>SUMIF(RAW_File!D:D,C:C,RAW_File!I:I)</f>
        <v>0</v>
      </c>
      <c r="G1587" s="40">
        <f>SUMIF(RAW_File!D:D,C:C,RAW_File!K:K)</f>
        <v>5000</v>
      </c>
      <c r="H1587" s="41">
        <f>SUMIF(RAW_File!D:D,C:C,RAW_File!M:M)</f>
        <v>0</v>
      </c>
      <c r="I1587" s="40">
        <f t="shared" si="26"/>
        <v>5000</v>
      </c>
    </row>
    <row r="1588" spans="1:9" hidden="1" x14ac:dyDescent="0.25">
      <c r="A1588" s="36" t="s">
        <v>86</v>
      </c>
      <c r="B1588" s="36" t="s">
        <v>883</v>
      </c>
      <c r="C1588" s="36" t="s">
        <v>884</v>
      </c>
      <c r="D1588" s="37">
        <f>SUMIF(RAW_File!D:D,C:C,RAW_File!F:F)</f>
        <v>9081.2311499999996</v>
      </c>
      <c r="E1588" s="38">
        <f>SUMIF(RAW_File!D:D,C:C,RAW_File!G:G)</f>
        <v>5050</v>
      </c>
      <c r="F1588" s="39">
        <f>SUMIF(RAW_File!D:D,C:C,RAW_File!I:I)</f>
        <v>28570</v>
      </c>
      <c r="G1588" s="40">
        <f>SUMIF(RAW_File!D:D,C:C,RAW_File!K:K)</f>
        <v>5000</v>
      </c>
      <c r="H1588" s="41">
        <f>SUMIF(RAW_File!D:D,C:C,RAW_File!M:M)</f>
        <v>30000</v>
      </c>
      <c r="I1588" s="40">
        <f t="shared" si="26"/>
        <v>25000</v>
      </c>
    </row>
    <row r="1589" spans="1:9" hidden="1" x14ac:dyDescent="0.25">
      <c r="A1589" s="36" t="s">
        <v>86</v>
      </c>
      <c r="B1589" s="36" t="s">
        <v>1027</v>
      </c>
      <c r="C1589" s="36" t="s">
        <v>1028</v>
      </c>
      <c r="D1589" s="37">
        <f>SUMIF(RAW_File!D:D,C:C,RAW_File!F:F)</f>
        <v>3472.2662999999998</v>
      </c>
      <c r="E1589" s="38">
        <f>SUMIF(RAW_File!D:D,C:C,RAW_File!G:G)</f>
        <v>100</v>
      </c>
      <c r="F1589" s="39">
        <f>SUMIF(RAW_File!D:D,C:C,RAW_File!I:I)</f>
        <v>100</v>
      </c>
      <c r="G1589" s="40">
        <f>SUMIF(RAW_File!D:D,C:C,RAW_File!K:K)</f>
        <v>0</v>
      </c>
      <c r="H1589" s="41">
        <f>SUMIF(RAW_File!D:D,C:C,RAW_File!M:M)</f>
        <v>6000</v>
      </c>
      <c r="I1589" s="40">
        <f t="shared" si="26"/>
        <v>6000</v>
      </c>
    </row>
    <row r="1590" spans="1:9" hidden="1" x14ac:dyDescent="0.25">
      <c r="A1590" s="36" t="s">
        <v>86</v>
      </c>
      <c r="B1590" s="36" t="s">
        <v>1118</v>
      </c>
      <c r="C1590" s="36" t="s">
        <v>1119</v>
      </c>
      <c r="D1590" s="37">
        <f>SUMIF(RAW_File!D:D,C:C,RAW_File!F:F)</f>
        <v>13387.053400000001</v>
      </c>
      <c r="E1590" s="38">
        <f>SUMIF(RAW_File!D:D,C:C,RAW_File!G:G)</f>
        <v>4330</v>
      </c>
      <c r="F1590" s="39">
        <f>SUMIF(RAW_File!D:D,C:C,RAW_File!I:I)</f>
        <v>12230</v>
      </c>
      <c r="G1590" s="40">
        <f>SUMIF(RAW_File!D:D,C:C,RAW_File!K:K)</f>
        <v>0</v>
      </c>
      <c r="H1590" s="41">
        <f>SUMIF(RAW_File!D:D,C:C,RAW_File!M:M)</f>
        <v>20000</v>
      </c>
      <c r="I1590" s="40">
        <f t="shared" si="26"/>
        <v>20000</v>
      </c>
    </row>
    <row r="1591" spans="1:9" hidden="1" x14ac:dyDescent="0.25">
      <c r="A1591" s="36" t="s">
        <v>86</v>
      </c>
      <c r="B1591" s="36" t="s">
        <v>1195</v>
      </c>
      <c r="C1591" s="36" t="s">
        <v>1196</v>
      </c>
      <c r="D1591" s="37">
        <f>SUMIF(RAW_File!D:D,C:C,RAW_File!F:F)</f>
        <v>1260.3254335074821</v>
      </c>
      <c r="E1591" s="38">
        <f>SUMIF(RAW_File!D:D,C:C,RAW_File!G:G)</f>
        <v>0</v>
      </c>
      <c r="F1591" s="39">
        <f>SUMIF(RAW_File!D:D,C:C,RAW_File!I:I)</f>
        <v>0</v>
      </c>
      <c r="G1591" s="40">
        <f>SUMIF(RAW_File!D:D,C:C,RAW_File!K:K)</f>
        <v>0</v>
      </c>
      <c r="H1591" s="41">
        <f>SUMIF(RAW_File!D:D,C:C,RAW_File!M:M)</f>
        <v>0</v>
      </c>
      <c r="I1591" s="40">
        <f t="shared" si="26"/>
        <v>0</v>
      </c>
    </row>
    <row r="1592" spans="1:9" hidden="1" x14ac:dyDescent="0.25">
      <c r="A1592" s="36" t="s">
        <v>86</v>
      </c>
      <c r="B1592" s="36" t="s">
        <v>1293</v>
      </c>
      <c r="C1592" s="36" t="s">
        <v>1294</v>
      </c>
      <c r="D1592" s="37">
        <f>SUMIF(RAW_File!D:D,C:C,RAW_File!F:F)</f>
        <v>8136.5145476359894</v>
      </c>
      <c r="E1592" s="38">
        <f>SUMIF(RAW_File!D:D,C:C,RAW_File!G:G)</f>
        <v>3255</v>
      </c>
      <c r="F1592" s="39">
        <f>SUMIF(RAW_File!D:D,C:C,RAW_File!I:I)</f>
        <v>9705</v>
      </c>
      <c r="G1592" s="40">
        <f>SUMIF(RAW_File!D:D,C:C,RAW_File!K:K)</f>
        <v>0</v>
      </c>
      <c r="H1592" s="41">
        <f>SUMIF(RAW_File!D:D,C:C,RAW_File!M:M)</f>
        <v>10000</v>
      </c>
      <c r="I1592" s="40">
        <f t="shared" si="26"/>
        <v>10000</v>
      </c>
    </row>
    <row r="1593" spans="1:9" hidden="1" x14ac:dyDescent="0.25">
      <c r="A1593" s="42" t="s">
        <v>86</v>
      </c>
      <c r="B1593" s="36" t="s">
        <v>1295</v>
      </c>
      <c r="C1593" s="36" t="s">
        <v>1296</v>
      </c>
      <c r="D1593" s="37">
        <f>SUMIF(RAW_File!D:D,C:C,RAW_File!F:F)</f>
        <v>12820.315766478099</v>
      </c>
      <c r="E1593" s="38">
        <f>SUMIF(RAW_File!D:D,C:C,RAW_File!G:G)</f>
        <v>7700</v>
      </c>
      <c r="F1593" s="39">
        <f>SUMIF(RAW_File!D:D,C:C,RAW_File!I:I)</f>
        <v>16200</v>
      </c>
      <c r="G1593" s="40">
        <f>SUMIF(RAW_File!D:D,C:C,RAW_File!K:K)</f>
        <v>0</v>
      </c>
      <c r="H1593" s="41">
        <f>SUMIF(RAW_File!D:D,C:C,RAW_File!M:M)</f>
        <v>5000</v>
      </c>
      <c r="I1593" s="40">
        <f t="shared" si="26"/>
        <v>5000</v>
      </c>
    </row>
    <row r="1594" spans="1:9" hidden="1" x14ac:dyDescent="0.25">
      <c r="A1594" s="36" t="s">
        <v>86</v>
      </c>
      <c r="B1594" s="36" t="s">
        <v>1436</v>
      </c>
      <c r="C1594" s="36" t="s">
        <v>1437</v>
      </c>
      <c r="D1594" s="37">
        <f>SUMIF(RAW_File!D:D,C:C,RAW_File!F:F)</f>
        <v>6480.0503047825996</v>
      </c>
      <c r="E1594" s="38">
        <f>SUMIF(RAW_File!D:D,C:C,RAW_File!G:G)</f>
        <v>5750</v>
      </c>
      <c r="F1594" s="39">
        <f>SUMIF(RAW_File!D:D,C:C,RAW_File!I:I)</f>
        <v>43340</v>
      </c>
      <c r="G1594" s="40">
        <f>SUMIF(RAW_File!D:D,C:C,RAW_File!K:K)</f>
        <v>5000</v>
      </c>
      <c r="H1594" s="41">
        <f>SUMIF(RAW_File!D:D,C:C,RAW_File!M:M)</f>
        <v>45000</v>
      </c>
      <c r="I1594" s="40">
        <f t="shared" si="26"/>
        <v>40000</v>
      </c>
    </row>
    <row r="1595" spans="1:9" hidden="1" x14ac:dyDescent="0.25">
      <c r="A1595" s="36" t="s">
        <v>86</v>
      </c>
      <c r="B1595" s="36" t="s">
        <v>1476</v>
      </c>
      <c r="C1595" s="36" t="s">
        <v>1477</v>
      </c>
      <c r="D1595" s="37">
        <f>SUMIF(RAW_File!D:D,C:C,RAW_File!F:F)</f>
        <v>15279.7449</v>
      </c>
      <c r="E1595" s="38">
        <f>SUMIF(RAW_File!D:D,C:C,RAW_File!G:G)</f>
        <v>4550</v>
      </c>
      <c r="F1595" s="39">
        <f>SUMIF(RAW_File!D:D,C:C,RAW_File!I:I)</f>
        <v>19213</v>
      </c>
      <c r="G1595" s="40">
        <f>SUMIF(RAW_File!D:D,C:C,RAW_File!K:K)</f>
        <v>5000</v>
      </c>
      <c r="H1595" s="41">
        <f>SUMIF(RAW_File!D:D,C:C,RAW_File!M:M)</f>
        <v>0</v>
      </c>
      <c r="I1595" s="40">
        <f t="shared" si="26"/>
        <v>5000</v>
      </c>
    </row>
    <row r="1596" spans="1:9" hidden="1" x14ac:dyDescent="0.25">
      <c r="A1596" s="36" t="s">
        <v>86</v>
      </c>
      <c r="B1596" s="36" t="s">
        <v>1605</v>
      </c>
      <c r="C1596" s="36" t="s">
        <v>1606</v>
      </c>
      <c r="D1596" s="37">
        <f>SUMIF(RAW_File!D:D,C:C,RAW_File!F:F)</f>
        <v>1632.2902682178669</v>
      </c>
      <c r="E1596" s="38">
        <f>SUMIF(RAW_File!D:D,C:C,RAW_File!G:G)</f>
        <v>4560</v>
      </c>
      <c r="F1596" s="39">
        <f>SUMIF(RAW_File!D:D,C:C,RAW_File!I:I)</f>
        <v>49720</v>
      </c>
      <c r="G1596" s="40">
        <f>SUMIF(RAW_File!D:D,C:C,RAW_File!K:K)</f>
        <v>0</v>
      </c>
      <c r="H1596" s="41">
        <f>SUMIF(RAW_File!D:D,C:C,RAW_File!M:M)</f>
        <v>70000</v>
      </c>
      <c r="I1596" s="40">
        <f t="shared" si="26"/>
        <v>70000</v>
      </c>
    </row>
    <row r="1597" spans="1:9" hidden="1" x14ac:dyDescent="0.25">
      <c r="A1597" s="36" t="s">
        <v>86</v>
      </c>
      <c r="B1597" s="36" t="s">
        <v>1712</v>
      </c>
      <c r="C1597" s="36" t="s">
        <v>1713</v>
      </c>
      <c r="D1597" s="37">
        <f>SUMIF(RAW_File!D:D,C:C,RAW_File!F:F)</f>
        <v>2172.789941</v>
      </c>
      <c r="E1597" s="38">
        <f>SUMIF(RAW_File!D:D,C:C,RAW_File!G:G)</f>
        <v>3050</v>
      </c>
      <c r="F1597" s="39">
        <f>SUMIF(RAW_File!D:D,C:C,RAW_File!I:I)</f>
        <v>54540</v>
      </c>
      <c r="G1597" s="40">
        <f>SUMIF(RAW_File!D:D,C:C,RAW_File!K:K)</f>
        <v>5000</v>
      </c>
      <c r="H1597" s="41">
        <f>SUMIF(RAW_File!D:D,C:C,RAW_File!M:M)</f>
        <v>65000</v>
      </c>
      <c r="I1597" s="40">
        <f t="shared" si="26"/>
        <v>60000</v>
      </c>
    </row>
    <row r="1598" spans="1:9" hidden="1" x14ac:dyDescent="0.25">
      <c r="A1598" s="36" t="s">
        <v>86</v>
      </c>
      <c r="B1598" s="36" t="s">
        <v>1841</v>
      </c>
      <c r="C1598" s="36" t="s">
        <v>1842</v>
      </c>
      <c r="D1598" s="37">
        <f>SUMIF(RAW_File!D:D,C:C,RAW_File!F:F)</f>
        <v>2155.8886946739772</v>
      </c>
      <c r="E1598" s="38">
        <f>SUMIF(RAW_File!D:D,C:C,RAW_File!G:G)</f>
        <v>710</v>
      </c>
      <c r="F1598" s="39">
        <f>SUMIF(RAW_File!D:D,C:C,RAW_File!I:I)</f>
        <v>11425</v>
      </c>
      <c r="G1598" s="40">
        <f>SUMIF(RAW_File!D:D,C:C,RAW_File!K:K)</f>
        <v>0</v>
      </c>
      <c r="H1598" s="41">
        <f>SUMIF(RAW_File!D:D,C:C,RAW_File!M:M)</f>
        <v>10000</v>
      </c>
      <c r="I1598" s="40">
        <f t="shared" si="26"/>
        <v>10000</v>
      </c>
    </row>
    <row r="1599" spans="1:9" hidden="1" x14ac:dyDescent="0.25">
      <c r="A1599" s="36" t="s">
        <v>86</v>
      </c>
      <c r="B1599" s="36" t="s">
        <v>2012</v>
      </c>
      <c r="C1599" s="36" t="s">
        <v>2013</v>
      </c>
      <c r="D1599" s="37">
        <f>SUMIF(RAW_File!D:D,C:C,RAW_File!F:F)</f>
        <v>7323.8396875599547</v>
      </c>
      <c r="E1599" s="38">
        <f>SUMIF(RAW_File!D:D,C:C,RAW_File!G:G)</f>
        <v>500</v>
      </c>
      <c r="F1599" s="39">
        <f>SUMIF(RAW_File!D:D,C:C,RAW_File!I:I)</f>
        <v>500</v>
      </c>
      <c r="G1599" s="40">
        <f>SUMIF(RAW_File!D:D,C:C,RAW_File!K:K)</f>
        <v>7000</v>
      </c>
      <c r="H1599" s="41">
        <f>SUMIF(RAW_File!D:D,C:C,RAW_File!M:M)</f>
        <v>0</v>
      </c>
      <c r="I1599" s="40">
        <f t="shared" si="26"/>
        <v>7000</v>
      </c>
    </row>
    <row r="1600" spans="1:9" hidden="1" x14ac:dyDescent="0.25">
      <c r="A1600" s="36" t="s">
        <v>86</v>
      </c>
      <c r="B1600" s="36" t="s">
        <v>2195</v>
      </c>
      <c r="C1600" s="36" t="s">
        <v>2196</v>
      </c>
      <c r="D1600" s="37">
        <f>SUMIF(RAW_File!D:D,C:C,RAW_File!F:F)</f>
        <v>2232.1750957880081</v>
      </c>
      <c r="E1600" s="38">
        <f>SUMIF(RAW_File!D:D,C:C,RAW_File!G:G)</f>
        <v>2875</v>
      </c>
      <c r="F1600" s="39">
        <f>SUMIF(RAW_File!D:D,C:C,RAW_File!I:I)</f>
        <v>6775</v>
      </c>
      <c r="G1600" s="40">
        <f>SUMIF(RAW_File!D:D,C:C,RAW_File!K:K)</f>
        <v>0</v>
      </c>
      <c r="H1600" s="41">
        <f>SUMIF(RAW_File!D:D,C:C,RAW_File!M:M)</f>
        <v>8000</v>
      </c>
      <c r="I1600" s="40">
        <f t="shared" si="26"/>
        <v>8000</v>
      </c>
    </row>
    <row r="1601" spans="1:9" hidden="1" x14ac:dyDescent="0.25">
      <c r="A1601" s="36" t="s">
        <v>86</v>
      </c>
      <c r="B1601" s="36" t="s">
        <v>2201</v>
      </c>
      <c r="C1601" s="36" t="s">
        <v>2202</v>
      </c>
      <c r="D1601" s="37">
        <f>SUMIF(RAW_File!D:D,C:C,RAW_File!F:F)</f>
        <v>24634.992399999999</v>
      </c>
      <c r="E1601" s="38">
        <f>SUMIF(RAW_File!D:D,C:C,RAW_File!G:G)</f>
        <v>2250</v>
      </c>
      <c r="F1601" s="39">
        <f>SUMIF(RAW_File!D:D,C:C,RAW_File!I:I)</f>
        <v>37775</v>
      </c>
      <c r="G1601" s="40">
        <f>SUMIF(RAW_File!D:D,C:C,RAW_File!K:K)</f>
        <v>0</v>
      </c>
      <c r="H1601" s="41">
        <f>SUMIF(RAW_File!D:D,C:C,RAW_File!M:M)</f>
        <v>50000</v>
      </c>
      <c r="I1601" s="40">
        <f t="shared" si="26"/>
        <v>50000</v>
      </c>
    </row>
    <row r="1602" spans="1:9" hidden="1" x14ac:dyDescent="0.25">
      <c r="A1602" s="36" t="s">
        <v>86</v>
      </c>
      <c r="B1602" s="36" t="s">
        <v>2329</v>
      </c>
      <c r="C1602" s="36" t="s">
        <v>2330</v>
      </c>
      <c r="D1602" s="37">
        <f>SUMIF(RAW_File!D:D,C:C,RAW_File!F:F)</f>
        <v>50.282145999999997</v>
      </c>
      <c r="E1602" s="38">
        <f>SUMIF(RAW_File!D:D,C:C,RAW_File!G:G)</f>
        <v>0</v>
      </c>
      <c r="F1602" s="39">
        <f>SUMIF(RAW_File!D:D,C:C,RAW_File!I:I)</f>
        <v>0</v>
      </c>
      <c r="G1602" s="40">
        <f>SUMIF(RAW_File!D:D,C:C,RAW_File!K:K)</f>
        <v>0</v>
      </c>
      <c r="H1602" s="41">
        <f>SUMIF(RAW_File!D:D,C:C,RAW_File!M:M)</f>
        <v>0</v>
      </c>
      <c r="I1602" s="40">
        <f t="shared" si="26"/>
        <v>0</v>
      </c>
    </row>
    <row r="1603" spans="1:9" hidden="1" x14ac:dyDescent="0.25">
      <c r="A1603" s="36" t="s">
        <v>86</v>
      </c>
      <c r="B1603" s="36" t="s">
        <v>2424</v>
      </c>
      <c r="C1603" s="36" t="s">
        <v>2425</v>
      </c>
      <c r="D1603" s="37">
        <f>SUMIF(RAW_File!D:D,C:C,RAW_File!F:F)</f>
        <v>6.4877949603424456</v>
      </c>
      <c r="E1603" s="38">
        <f>SUMIF(RAW_File!D:D,C:C,RAW_File!G:G)</f>
        <v>100</v>
      </c>
      <c r="F1603" s="39">
        <f>SUMIF(RAW_File!D:D,C:C,RAW_File!I:I)</f>
        <v>100</v>
      </c>
      <c r="G1603" s="40">
        <f>SUMIF(RAW_File!D:D,C:C,RAW_File!K:K)</f>
        <v>0</v>
      </c>
      <c r="H1603" s="41">
        <f>SUMIF(RAW_File!D:D,C:C,RAW_File!M:M)</f>
        <v>0</v>
      </c>
      <c r="I1603" s="40">
        <f t="shared" si="26"/>
        <v>0</v>
      </c>
    </row>
    <row r="1604" spans="1:9" hidden="1" x14ac:dyDescent="0.25">
      <c r="A1604" s="36" t="s">
        <v>86</v>
      </c>
      <c r="B1604" s="36" t="s">
        <v>2451</v>
      </c>
      <c r="C1604" s="36" t="s">
        <v>2452</v>
      </c>
      <c r="D1604" s="37">
        <f>SUMIF(RAW_File!D:D,C:C,RAW_File!F:F)</f>
        <v>15.690720000000001</v>
      </c>
      <c r="E1604" s="38">
        <f>SUMIF(RAW_File!D:D,C:C,RAW_File!G:G)</f>
        <v>0</v>
      </c>
      <c r="F1604" s="39">
        <f>SUMIF(RAW_File!D:D,C:C,RAW_File!I:I)</f>
        <v>0</v>
      </c>
      <c r="G1604" s="40">
        <f>SUMIF(RAW_File!D:D,C:C,RAW_File!K:K)</f>
        <v>0</v>
      </c>
      <c r="H1604" s="41">
        <f>SUMIF(RAW_File!D:D,C:C,RAW_File!M:M)</f>
        <v>0</v>
      </c>
      <c r="I1604" s="40">
        <f t="shared" si="26"/>
        <v>0</v>
      </c>
    </row>
    <row r="1605" spans="1:9" hidden="1" x14ac:dyDescent="0.25">
      <c r="A1605" s="36" t="s">
        <v>86</v>
      </c>
      <c r="B1605" s="36" t="s">
        <v>2510</v>
      </c>
      <c r="C1605" s="36" t="s">
        <v>2511</v>
      </c>
      <c r="D1605" s="37">
        <f>SUMIF(RAW_File!D:D,C:C,RAW_File!F:F)</f>
        <v>3057.7224143478002</v>
      </c>
      <c r="E1605" s="38">
        <f>SUMIF(RAW_File!D:D,C:C,RAW_File!G:G)</f>
        <v>0</v>
      </c>
      <c r="F1605" s="39">
        <f>SUMIF(RAW_File!D:D,C:C,RAW_File!I:I)</f>
        <v>1110</v>
      </c>
      <c r="G1605" s="40">
        <f>SUMIF(RAW_File!D:D,C:C,RAW_File!K:K)</f>
        <v>0</v>
      </c>
      <c r="H1605" s="41">
        <f>SUMIF(RAW_File!D:D,C:C,RAW_File!M:M)</f>
        <v>15000</v>
      </c>
      <c r="I1605" s="40">
        <f t="shared" ref="I1605:I1668" si="27">ABS(G1605-H1605)</f>
        <v>15000</v>
      </c>
    </row>
    <row r="1606" spans="1:9" hidden="1" x14ac:dyDescent="0.25">
      <c r="A1606" s="36" t="s">
        <v>86</v>
      </c>
      <c r="B1606" s="36" t="s">
        <v>2548</v>
      </c>
      <c r="C1606" s="36" t="s">
        <v>2549</v>
      </c>
      <c r="D1606" s="37">
        <f>SUMIF(RAW_File!D:D,C:C,RAW_File!F:F)</f>
        <v>2990.5799368745029</v>
      </c>
      <c r="E1606" s="38">
        <f>SUMIF(RAW_File!D:D,C:C,RAW_File!G:G)</f>
        <v>1510</v>
      </c>
      <c r="F1606" s="39">
        <f>SUMIF(RAW_File!D:D,C:C,RAW_File!I:I)</f>
        <v>10606</v>
      </c>
      <c r="G1606" s="40">
        <f>SUMIF(RAW_File!D:D,C:C,RAW_File!K:K)</f>
        <v>0</v>
      </c>
      <c r="H1606" s="41">
        <f>SUMIF(RAW_File!D:D,C:C,RAW_File!M:M)</f>
        <v>5000</v>
      </c>
      <c r="I1606" s="40">
        <f t="shared" si="27"/>
        <v>5000</v>
      </c>
    </row>
    <row r="1607" spans="1:9" hidden="1" x14ac:dyDescent="0.25">
      <c r="A1607" s="36" t="s">
        <v>86</v>
      </c>
      <c r="B1607" s="36" t="s">
        <v>2580</v>
      </c>
      <c r="C1607" s="36" t="s">
        <v>2581</v>
      </c>
      <c r="D1607" s="37">
        <f>SUMIF(RAW_File!D:D,C:C,RAW_File!F:F)</f>
        <v>5726.6403895331596</v>
      </c>
      <c r="E1607" s="38">
        <f>SUMIF(RAW_File!D:D,C:C,RAW_File!G:G)</f>
        <v>0</v>
      </c>
      <c r="F1607" s="39">
        <f>SUMIF(RAW_File!D:D,C:C,RAW_File!I:I)</f>
        <v>0</v>
      </c>
      <c r="G1607" s="40">
        <f>SUMIF(RAW_File!D:D,C:C,RAW_File!K:K)</f>
        <v>0</v>
      </c>
      <c r="H1607" s="41">
        <f>SUMIF(RAW_File!D:D,C:C,RAW_File!M:M)</f>
        <v>8000</v>
      </c>
      <c r="I1607" s="40">
        <f t="shared" si="27"/>
        <v>8000</v>
      </c>
    </row>
    <row r="1608" spans="1:9" hidden="1" x14ac:dyDescent="0.25">
      <c r="A1608" s="36" t="s">
        <v>86</v>
      </c>
      <c r="B1608" s="36" t="s">
        <v>1178</v>
      </c>
      <c r="C1608" s="36" t="s">
        <v>2604</v>
      </c>
      <c r="D1608" s="37">
        <f>SUMIF(RAW_File!D:D,C:C,RAW_File!F:F)</f>
        <v>10826.056</v>
      </c>
      <c r="E1608" s="38">
        <f>SUMIF(RAW_File!D:D,C:C,RAW_File!G:G)</f>
        <v>7310</v>
      </c>
      <c r="F1608" s="39">
        <f>SUMIF(RAW_File!D:D,C:C,RAW_File!I:I)</f>
        <v>10350</v>
      </c>
      <c r="G1608" s="40">
        <f>SUMIF(RAW_File!D:D,C:C,RAW_File!K:K)</f>
        <v>15000</v>
      </c>
      <c r="H1608" s="41">
        <f>SUMIF(RAW_File!D:D,C:C,RAW_File!M:M)</f>
        <v>0</v>
      </c>
      <c r="I1608" s="40">
        <f t="shared" si="27"/>
        <v>15000</v>
      </c>
    </row>
    <row r="1609" spans="1:9" hidden="1" x14ac:dyDescent="0.25">
      <c r="A1609" s="36" t="s">
        <v>86</v>
      </c>
      <c r="B1609" s="36" t="s">
        <v>2705</v>
      </c>
      <c r="C1609" s="36" t="s">
        <v>2706</v>
      </c>
      <c r="D1609" s="37">
        <f>SUMIF(RAW_File!D:D,C:C,RAW_File!F:F)</f>
        <v>18.36437538292434</v>
      </c>
      <c r="E1609" s="38">
        <f>SUMIF(RAW_File!D:D,C:C,RAW_File!G:G)</f>
        <v>0</v>
      </c>
      <c r="F1609" s="39">
        <f>SUMIF(RAW_File!D:D,C:C,RAW_File!I:I)</f>
        <v>0</v>
      </c>
      <c r="G1609" s="40">
        <f>SUMIF(RAW_File!D:D,C:C,RAW_File!K:K)</f>
        <v>0</v>
      </c>
      <c r="H1609" s="41">
        <f>SUMIF(RAW_File!D:D,C:C,RAW_File!M:M)</f>
        <v>0</v>
      </c>
      <c r="I1609" s="40">
        <f t="shared" si="27"/>
        <v>0</v>
      </c>
    </row>
    <row r="1610" spans="1:9" hidden="1" x14ac:dyDescent="0.25">
      <c r="A1610" s="36" t="s">
        <v>86</v>
      </c>
      <c r="B1610" s="36" t="s">
        <v>2724</v>
      </c>
      <c r="C1610" s="36" t="s">
        <v>2725</v>
      </c>
      <c r="D1610" s="37">
        <f>SUMIF(RAW_File!D:D,C:C,RAW_File!F:F)</f>
        <v>31427.665193126941</v>
      </c>
      <c r="E1610" s="38">
        <f>SUMIF(RAW_File!D:D,C:C,RAW_File!G:G)</f>
        <v>4860</v>
      </c>
      <c r="F1610" s="39">
        <f>SUMIF(RAW_File!D:D,C:C,RAW_File!I:I)</f>
        <v>40770</v>
      </c>
      <c r="G1610" s="40">
        <f>SUMIF(RAW_File!D:D,C:C,RAW_File!K:K)</f>
        <v>0</v>
      </c>
      <c r="H1610" s="41">
        <f>SUMIF(RAW_File!D:D,C:C,RAW_File!M:M)</f>
        <v>55000</v>
      </c>
      <c r="I1610" s="40">
        <f t="shared" si="27"/>
        <v>55000</v>
      </c>
    </row>
    <row r="1611" spans="1:9" hidden="1" x14ac:dyDescent="0.25">
      <c r="A1611" s="36" t="s">
        <v>86</v>
      </c>
      <c r="B1611" s="36" t="s">
        <v>2730</v>
      </c>
      <c r="C1611" s="36" t="s">
        <v>2731</v>
      </c>
      <c r="D1611" s="37">
        <f>SUMIF(RAW_File!D:D,C:C,RAW_File!F:F)</f>
        <v>3890.1163999999999</v>
      </c>
      <c r="E1611" s="38">
        <f>SUMIF(RAW_File!D:D,C:C,RAW_File!G:G)</f>
        <v>1950</v>
      </c>
      <c r="F1611" s="39">
        <f>SUMIF(RAW_File!D:D,C:C,RAW_File!I:I)</f>
        <v>36540</v>
      </c>
      <c r="G1611" s="40">
        <f>SUMIF(RAW_File!D:D,C:C,RAW_File!K:K)</f>
        <v>0</v>
      </c>
      <c r="H1611" s="41">
        <f>SUMIF(RAW_File!D:D,C:C,RAW_File!M:M)</f>
        <v>70000</v>
      </c>
      <c r="I1611" s="40">
        <f t="shared" si="27"/>
        <v>70000</v>
      </c>
    </row>
    <row r="1612" spans="1:9" hidden="1" x14ac:dyDescent="0.25">
      <c r="A1612" s="36" t="s">
        <v>86</v>
      </c>
      <c r="B1612" s="36" t="s">
        <v>2832</v>
      </c>
      <c r="C1612" s="36" t="s">
        <v>2833</v>
      </c>
      <c r="D1612" s="37">
        <f>SUMIF(RAW_File!D:D,C:C,RAW_File!F:F)</f>
        <v>2715.0751559618002</v>
      </c>
      <c r="E1612" s="38">
        <f>SUMIF(RAW_File!D:D,C:C,RAW_File!G:G)</f>
        <v>2410</v>
      </c>
      <c r="F1612" s="39">
        <f>SUMIF(RAW_File!D:D,C:C,RAW_File!I:I)</f>
        <v>2910</v>
      </c>
      <c r="G1612" s="40">
        <f>SUMIF(RAW_File!D:D,C:C,RAW_File!K:K)</f>
        <v>5000</v>
      </c>
      <c r="H1612" s="41">
        <f>SUMIF(RAW_File!D:D,C:C,RAW_File!M:M)</f>
        <v>0</v>
      </c>
      <c r="I1612" s="40">
        <f t="shared" si="27"/>
        <v>5000</v>
      </c>
    </row>
    <row r="1613" spans="1:9" hidden="1" x14ac:dyDescent="0.25">
      <c r="A1613" s="36" t="s">
        <v>86</v>
      </c>
      <c r="B1613" s="36" t="s">
        <v>2969</v>
      </c>
      <c r="C1613" s="36" t="s">
        <v>2970</v>
      </c>
      <c r="D1613" s="37">
        <f>SUMIF(RAW_File!D:D,C:C,RAW_File!F:F)</f>
        <v>226.52729538604811</v>
      </c>
      <c r="E1613" s="38">
        <f>SUMIF(RAW_File!D:D,C:C,RAW_File!G:G)</f>
        <v>2000</v>
      </c>
      <c r="F1613" s="39">
        <f>SUMIF(RAW_File!D:D,C:C,RAW_File!I:I)</f>
        <v>3500</v>
      </c>
      <c r="G1613" s="40">
        <f>SUMIF(RAW_File!D:D,C:C,RAW_File!K:K)</f>
        <v>0</v>
      </c>
      <c r="H1613" s="41">
        <f>SUMIF(RAW_File!D:D,C:C,RAW_File!M:M)</f>
        <v>12000</v>
      </c>
      <c r="I1613" s="40">
        <f t="shared" si="27"/>
        <v>12000</v>
      </c>
    </row>
    <row r="1614" spans="1:9" hidden="1" x14ac:dyDescent="0.25">
      <c r="A1614" s="36" t="s">
        <v>86</v>
      </c>
      <c r="B1614" s="36" t="s">
        <v>3008</v>
      </c>
      <c r="C1614" s="36" t="s">
        <v>3009</v>
      </c>
      <c r="D1614" s="37">
        <f>SUMIF(RAW_File!D:D,C:C,RAW_File!F:F)</f>
        <v>2096.5798416520661</v>
      </c>
      <c r="E1614" s="38">
        <f>SUMIF(RAW_File!D:D,C:C,RAW_File!G:G)</f>
        <v>0</v>
      </c>
      <c r="F1614" s="39">
        <f>SUMIF(RAW_File!D:D,C:C,RAW_File!I:I)</f>
        <v>480</v>
      </c>
      <c r="G1614" s="40">
        <f>SUMIF(RAW_File!D:D,C:C,RAW_File!K:K)</f>
        <v>0</v>
      </c>
      <c r="H1614" s="41">
        <f>SUMIF(RAW_File!D:D,C:C,RAW_File!M:M)</f>
        <v>0</v>
      </c>
      <c r="I1614" s="40">
        <f t="shared" si="27"/>
        <v>0</v>
      </c>
    </row>
    <row r="1615" spans="1:9" hidden="1" x14ac:dyDescent="0.25">
      <c r="A1615" s="36" t="s">
        <v>86</v>
      </c>
      <c r="B1615" s="36" t="s">
        <v>3024</v>
      </c>
      <c r="C1615" s="36" t="s">
        <v>3025</v>
      </c>
      <c r="D1615" s="37">
        <f>SUMIF(RAW_File!D:D,C:C,RAW_File!F:F)</f>
        <v>5387.2124999999996</v>
      </c>
      <c r="E1615" s="38">
        <f>SUMIF(RAW_File!D:D,C:C,RAW_File!G:G)</f>
        <v>1750</v>
      </c>
      <c r="F1615" s="39">
        <f>SUMIF(RAW_File!D:D,C:C,RAW_File!I:I)</f>
        <v>6510</v>
      </c>
      <c r="G1615" s="40">
        <f>SUMIF(RAW_File!D:D,C:C,RAW_File!K:K)</f>
        <v>0</v>
      </c>
      <c r="H1615" s="41">
        <f>SUMIF(RAW_File!D:D,C:C,RAW_File!M:M)</f>
        <v>20000</v>
      </c>
      <c r="I1615" s="40">
        <f t="shared" si="27"/>
        <v>20000</v>
      </c>
    </row>
    <row r="1616" spans="1:9" hidden="1" x14ac:dyDescent="0.25">
      <c r="A1616" s="36" t="s">
        <v>86</v>
      </c>
      <c r="B1616" s="36" t="s">
        <v>3109</v>
      </c>
      <c r="C1616" s="36" t="s">
        <v>3110</v>
      </c>
      <c r="D1616" s="37">
        <f>SUMIF(RAW_File!D:D,C:C,RAW_File!F:F)</f>
        <v>26336.74156040842</v>
      </c>
      <c r="E1616" s="38">
        <f>SUMIF(RAW_File!D:D,C:C,RAW_File!G:G)</f>
        <v>5370</v>
      </c>
      <c r="F1616" s="39">
        <f>SUMIF(RAW_File!D:D,C:C,RAW_File!I:I)</f>
        <v>48060</v>
      </c>
      <c r="G1616" s="40">
        <f>SUMIF(RAW_File!D:D,C:C,RAW_File!K:K)</f>
        <v>0</v>
      </c>
      <c r="H1616" s="41">
        <f>SUMIF(RAW_File!D:D,C:C,RAW_File!M:M)</f>
        <v>44000</v>
      </c>
      <c r="I1616" s="40">
        <f t="shared" si="27"/>
        <v>44000</v>
      </c>
    </row>
    <row r="1617" spans="1:9" hidden="1" x14ac:dyDescent="0.25">
      <c r="A1617" s="36" t="s">
        <v>86</v>
      </c>
      <c r="B1617" s="36" t="s">
        <v>2409</v>
      </c>
      <c r="C1617" s="36" t="s">
        <v>3148</v>
      </c>
      <c r="D1617" s="37">
        <f>SUMIF(RAW_File!D:D,C:C,RAW_File!F:F)</f>
        <v>603.26493070647552</v>
      </c>
      <c r="E1617" s="38">
        <f>SUMIF(RAW_File!D:D,C:C,RAW_File!G:G)</f>
        <v>150</v>
      </c>
      <c r="F1617" s="39">
        <f>SUMIF(RAW_File!D:D,C:C,RAW_File!I:I)</f>
        <v>3750</v>
      </c>
      <c r="G1617" s="40">
        <f>SUMIF(RAW_File!D:D,C:C,RAW_File!K:K)</f>
        <v>5000</v>
      </c>
      <c r="H1617" s="41">
        <f>SUMIF(RAW_File!D:D,C:C,RAW_File!M:M)</f>
        <v>8000</v>
      </c>
      <c r="I1617" s="40">
        <f t="shared" si="27"/>
        <v>3000</v>
      </c>
    </row>
    <row r="1618" spans="1:9" hidden="1" x14ac:dyDescent="0.25">
      <c r="A1618" s="36" t="s">
        <v>86</v>
      </c>
      <c r="B1618" s="36" t="s">
        <v>3201</v>
      </c>
      <c r="C1618" s="36" t="s">
        <v>3202</v>
      </c>
      <c r="D1618" s="37">
        <f>SUMIF(RAW_File!D:D,C:C,RAW_File!F:F)</f>
        <v>11162.6859000319</v>
      </c>
      <c r="E1618" s="38">
        <f>SUMIF(RAW_File!D:D,C:C,RAW_File!G:G)</f>
        <v>4930</v>
      </c>
      <c r="F1618" s="39">
        <f>SUMIF(RAW_File!D:D,C:C,RAW_File!I:I)</f>
        <v>10030</v>
      </c>
      <c r="G1618" s="40">
        <f>SUMIF(RAW_File!D:D,C:C,RAW_File!K:K)</f>
        <v>5000</v>
      </c>
      <c r="H1618" s="41">
        <f>SUMIF(RAW_File!D:D,C:C,RAW_File!M:M)</f>
        <v>0</v>
      </c>
      <c r="I1618" s="40">
        <f t="shared" si="27"/>
        <v>5000</v>
      </c>
    </row>
    <row r="1619" spans="1:9" hidden="1" x14ac:dyDescent="0.25">
      <c r="A1619" s="36" t="s">
        <v>86</v>
      </c>
      <c r="B1619" s="36" t="s">
        <v>3278</v>
      </c>
      <c r="C1619" s="36" t="s">
        <v>3279</v>
      </c>
      <c r="D1619" s="37">
        <f>SUMIF(RAW_File!D:D,C:C,RAW_File!F:F)</f>
        <v>2.128857</v>
      </c>
      <c r="E1619" s="38">
        <f>SUMIF(RAW_File!D:D,C:C,RAW_File!G:G)</f>
        <v>0</v>
      </c>
      <c r="F1619" s="39">
        <f>SUMIF(RAW_File!D:D,C:C,RAW_File!I:I)</f>
        <v>0</v>
      </c>
      <c r="G1619" s="40">
        <f>SUMIF(RAW_File!D:D,C:C,RAW_File!K:K)</f>
        <v>0</v>
      </c>
      <c r="H1619" s="41">
        <f>SUMIF(RAW_File!D:D,C:C,RAW_File!M:M)</f>
        <v>0</v>
      </c>
      <c r="I1619" s="40">
        <f t="shared" si="27"/>
        <v>0</v>
      </c>
    </row>
    <row r="1620" spans="1:9" hidden="1" x14ac:dyDescent="0.25">
      <c r="A1620" s="36" t="s">
        <v>86</v>
      </c>
      <c r="B1620" s="36" t="s">
        <v>3280</v>
      </c>
      <c r="C1620" s="36" t="s">
        <v>3281</v>
      </c>
      <c r="D1620" s="37">
        <f>SUMIF(RAW_File!D:D,C:C,RAW_File!F:F)</f>
        <v>8504.830475942561</v>
      </c>
      <c r="E1620" s="38">
        <f>SUMIF(RAW_File!D:D,C:C,RAW_File!G:G)</f>
        <v>200</v>
      </c>
      <c r="F1620" s="39">
        <f>SUMIF(RAW_File!D:D,C:C,RAW_File!I:I)</f>
        <v>49530</v>
      </c>
      <c r="G1620" s="40">
        <f>SUMIF(RAW_File!D:D,C:C,RAW_File!K:K)</f>
        <v>0</v>
      </c>
      <c r="H1620" s="41">
        <f>SUMIF(RAW_File!D:D,C:C,RAW_File!M:M)</f>
        <v>70000</v>
      </c>
      <c r="I1620" s="40">
        <f t="shared" si="27"/>
        <v>70000</v>
      </c>
    </row>
    <row r="1621" spans="1:9" hidden="1" x14ac:dyDescent="0.25">
      <c r="A1621" s="36" t="s">
        <v>86</v>
      </c>
      <c r="B1621" s="36" t="s">
        <v>3321</v>
      </c>
      <c r="C1621" s="36" t="s">
        <v>3322</v>
      </c>
      <c r="D1621" s="37">
        <f>SUMIF(RAW_File!D:D,C:C,RAW_File!F:F)</f>
        <v>11284.22577042282</v>
      </c>
      <c r="E1621" s="38">
        <f>SUMIF(RAW_File!D:D,C:C,RAW_File!G:G)</f>
        <v>29413</v>
      </c>
      <c r="F1621" s="39">
        <f>SUMIF(RAW_File!D:D,C:C,RAW_File!I:I)</f>
        <v>65148</v>
      </c>
      <c r="G1621" s="40">
        <f>SUMIF(RAW_File!D:D,C:C,RAW_File!K:K)</f>
        <v>10000</v>
      </c>
      <c r="H1621" s="41">
        <f>SUMIF(RAW_File!D:D,C:C,RAW_File!M:M)</f>
        <v>15000</v>
      </c>
      <c r="I1621" s="40">
        <f t="shared" si="27"/>
        <v>5000</v>
      </c>
    </row>
    <row r="1622" spans="1:9" hidden="1" x14ac:dyDescent="0.25">
      <c r="A1622" s="36" t="s">
        <v>86</v>
      </c>
      <c r="B1622" s="36" t="s">
        <v>3355</v>
      </c>
      <c r="C1622" s="36" t="s">
        <v>3356</v>
      </c>
      <c r="D1622" s="37">
        <f>SUMIF(RAW_File!D:D,C:C,RAW_File!F:F)</f>
        <v>7546.5649999999996</v>
      </c>
      <c r="E1622" s="38">
        <f>SUMIF(RAW_File!D:D,C:C,RAW_File!G:G)</f>
        <v>600</v>
      </c>
      <c r="F1622" s="39">
        <f>SUMIF(RAW_File!D:D,C:C,RAW_File!I:I)</f>
        <v>3590</v>
      </c>
      <c r="G1622" s="40">
        <f>SUMIF(RAW_File!D:D,C:C,RAW_File!K:K)</f>
        <v>5000</v>
      </c>
      <c r="H1622" s="41">
        <f>SUMIF(RAW_File!D:D,C:C,RAW_File!M:M)</f>
        <v>0</v>
      </c>
      <c r="I1622" s="40">
        <f t="shared" si="27"/>
        <v>5000</v>
      </c>
    </row>
    <row r="1623" spans="1:9" hidden="1" x14ac:dyDescent="0.25">
      <c r="A1623" s="36" t="s">
        <v>86</v>
      </c>
      <c r="B1623" s="36" t="s">
        <v>3449</v>
      </c>
      <c r="C1623" s="36" t="s">
        <v>3450</v>
      </c>
      <c r="D1623" s="37">
        <f>SUMIF(RAW_File!D:D,C:C,RAW_File!F:F)</f>
        <v>11533.059800000001</v>
      </c>
      <c r="E1623" s="38">
        <f>SUMIF(RAW_File!D:D,C:C,RAW_File!G:G)</f>
        <v>14415</v>
      </c>
      <c r="F1623" s="39">
        <f>SUMIF(RAW_File!D:D,C:C,RAW_File!I:I)</f>
        <v>18915</v>
      </c>
      <c r="G1623" s="40">
        <f>SUMIF(RAW_File!D:D,C:C,RAW_File!K:K)</f>
        <v>30000</v>
      </c>
      <c r="H1623" s="41">
        <f>SUMIF(RAW_File!D:D,C:C,RAW_File!M:M)</f>
        <v>10000</v>
      </c>
      <c r="I1623" s="40">
        <f t="shared" si="27"/>
        <v>20000</v>
      </c>
    </row>
    <row r="1624" spans="1:9" hidden="1" x14ac:dyDescent="0.25">
      <c r="A1624" s="36" t="s">
        <v>86</v>
      </c>
      <c r="B1624" s="36" t="s">
        <v>3502</v>
      </c>
      <c r="C1624" s="36" t="s">
        <v>3503</v>
      </c>
      <c r="D1624" s="37">
        <f>SUMIF(RAW_File!D:D,C:C,RAW_File!F:F)</f>
        <v>24.607399999999998</v>
      </c>
      <c r="E1624" s="38">
        <f>SUMIF(RAW_File!D:D,C:C,RAW_File!G:G)</f>
        <v>0</v>
      </c>
      <c r="F1624" s="39">
        <f>SUMIF(RAW_File!D:D,C:C,RAW_File!I:I)</f>
        <v>0</v>
      </c>
      <c r="G1624" s="40">
        <f>SUMIF(RAW_File!D:D,C:C,RAW_File!K:K)</f>
        <v>0</v>
      </c>
      <c r="H1624" s="41">
        <f>SUMIF(RAW_File!D:D,C:C,RAW_File!M:M)</f>
        <v>0</v>
      </c>
      <c r="I1624" s="40">
        <f t="shared" si="27"/>
        <v>0</v>
      </c>
    </row>
    <row r="1625" spans="1:9" hidden="1" x14ac:dyDescent="0.25">
      <c r="A1625" s="36" t="s">
        <v>86</v>
      </c>
      <c r="B1625" s="36" t="s">
        <v>3545</v>
      </c>
      <c r="C1625" s="36" t="s">
        <v>3546</v>
      </c>
      <c r="D1625" s="37">
        <f>SUMIF(RAW_File!D:D,C:C,RAW_File!F:F)</f>
        <v>12542.918100000001</v>
      </c>
      <c r="E1625" s="38">
        <f>SUMIF(RAW_File!D:D,C:C,RAW_File!G:G)</f>
        <v>0</v>
      </c>
      <c r="F1625" s="39">
        <f>SUMIF(RAW_File!D:D,C:C,RAW_File!I:I)</f>
        <v>5730</v>
      </c>
      <c r="G1625" s="40">
        <f>SUMIF(RAW_File!D:D,C:C,RAW_File!K:K)</f>
        <v>5000</v>
      </c>
      <c r="H1625" s="41">
        <f>SUMIF(RAW_File!D:D,C:C,RAW_File!M:M)</f>
        <v>0</v>
      </c>
      <c r="I1625" s="40">
        <f t="shared" si="27"/>
        <v>5000</v>
      </c>
    </row>
    <row r="1626" spans="1:9" hidden="1" x14ac:dyDescent="0.25">
      <c r="A1626" s="36" t="s">
        <v>59</v>
      </c>
      <c r="B1626" s="36" t="s">
        <v>143</v>
      </c>
      <c r="C1626" s="36" t="s">
        <v>144</v>
      </c>
      <c r="D1626" s="37">
        <f>SUMIF(RAW_File!D:D,C:C,RAW_File!F:F)</f>
        <v>178.84921259445659</v>
      </c>
      <c r="E1626" s="38">
        <f>SUMIF(RAW_File!D:D,C:C,RAW_File!G:G)</f>
        <v>0</v>
      </c>
      <c r="F1626" s="39">
        <f>SUMIF(RAW_File!D:D,C:C,RAW_File!I:I)</f>
        <v>4940</v>
      </c>
      <c r="G1626" s="40">
        <f>SUMIF(RAW_File!D:D,C:C,RAW_File!K:K)</f>
        <v>0</v>
      </c>
      <c r="H1626" s="41">
        <f>SUMIF(RAW_File!D:D,C:C,RAW_File!M:M)</f>
        <v>0</v>
      </c>
      <c r="I1626" s="40">
        <f t="shared" si="27"/>
        <v>0</v>
      </c>
    </row>
    <row r="1627" spans="1:9" hidden="1" x14ac:dyDescent="0.25">
      <c r="A1627" s="36" t="s">
        <v>59</v>
      </c>
      <c r="B1627" s="36" t="s">
        <v>155</v>
      </c>
      <c r="C1627" s="36" t="s">
        <v>156</v>
      </c>
      <c r="D1627" s="37">
        <f>SUMIF(RAW_File!D:D,C:C,RAW_File!F:F)</f>
        <v>2288.1025</v>
      </c>
      <c r="E1627" s="38">
        <f>SUMIF(RAW_File!D:D,C:C,RAW_File!G:G)</f>
        <v>1000</v>
      </c>
      <c r="F1627" s="39">
        <f>SUMIF(RAW_File!D:D,C:C,RAW_File!I:I)</f>
        <v>10550</v>
      </c>
      <c r="G1627" s="40">
        <f>SUMIF(RAW_File!D:D,C:C,RAW_File!K:K)</f>
        <v>0</v>
      </c>
      <c r="H1627" s="41">
        <f>SUMIF(RAW_File!D:D,C:C,RAW_File!M:M)</f>
        <v>25000</v>
      </c>
      <c r="I1627" s="40">
        <f t="shared" si="27"/>
        <v>25000</v>
      </c>
    </row>
    <row r="1628" spans="1:9" hidden="1" x14ac:dyDescent="0.25">
      <c r="A1628" s="36" t="s">
        <v>59</v>
      </c>
      <c r="B1628" s="36" t="s">
        <v>248</v>
      </c>
      <c r="C1628" s="36" t="s">
        <v>249</v>
      </c>
      <c r="D1628" s="37">
        <f>SUMIF(RAW_File!D:D,C:C,RAW_File!F:F)</f>
        <v>7.1051906116048684</v>
      </c>
      <c r="E1628" s="38">
        <f>SUMIF(RAW_File!D:D,C:C,RAW_File!G:G)</f>
        <v>0</v>
      </c>
      <c r="F1628" s="39">
        <f>SUMIF(RAW_File!D:D,C:C,RAW_File!I:I)</f>
        <v>0</v>
      </c>
      <c r="G1628" s="40">
        <f>SUMIF(RAW_File!D:D,C:C,RAW_File!K:K)</f>
        <v>0</v>
      </c>
      <c r="H1628" s="41">
        <f>SUMIF(RAW_File!D:D,C:C,RAW_File!M:M)</f>
        <v>0</v>
      </c>
      <c r="I1628" s="40">
        <f t="shared" si="27"/>
        <v>0</v>
      </c>
    </row>
    <row r="1629" spans="1:9" hidden="1" x14ac:dyDescent="0.25">
      <c r="A1629" s="36" t="s">
        <v>59</v>
      </c>
      <c r="B1629" s="36" t="s">
        <v>256</v>
      </c>
      <c r="C1629" s="36" t="s">
        <v>257</v>
      </c>
      <c r="D1629" s="37">
        <f>SUMIF(RAW_File!D:D,C:C,RAW_File!F:F)</f>
        <v>47.270846216469401</v>
      </c>
      <c r="E1629" s="38">
        <f>SUMIF(RAW_File!D:D,C:C,RAW_File!G:G)</f>
        <v>0</v>
      </c>
      <c r="F1629" s="39">
        <f>SUMIF(RAW_File!D:D,C:C,RAW_File!I:I)</f>
        <v>0</v>
      </c>
      <c r="G1629" s="40">
        <f>SUMIF(RAW_File!D:D,C:C,RAW_File!K:K)</f>
        <v>0</v>
      </c>
      <c r="H1629" s="41">
        <f>SUMIF(RAW_File!D:D,C:C,RAW_File!M:M)</f>
        <v>0</v>
      </c>
      <c r="I1629" s="40">
        <f t="shared" si="27"/>
        <v>0</v>
      </c>
    </row>
    <row r="1630" spans="1:9" hidden="1" x14ac:dyDescent="0.25">
      <c r="A1630" s="36" t="s">
        <v>59</v>
      </c>
      <c r="B1630" s="36" t="s">
        <v>338</v>
      </c>
      <c r="C1630" s="36" t="s">
        <v>339</v>
      </c>
      <c r="D1630" s="37">
        <f>SUMIF(RAW_File!D:D,C:C,RAW_File!F:F)</f>
        <v>2934.5291256987521</v>
      </c>
      <c r="E1630" s="38">
        <f>SUMIF(RAW_File!D:D,C:C,RAW_File!G:G)</f>
        <v>0</v>
      </c>
      <c r="F1630" s="39">
        <f>SUMIF(RAW_File!D:D,C:C,RAW_File!I:I)</f>
        <v>4500</v>
      </c>
      <c r="G1630" s="40">
        <f>SUMIF(RAW_File!D:D,C:C,RAW_File!K:K)</f>
        <v>5000</v>
      </c>
      <c r="H1630" s="41">
        <f>SUMIF(RAW_File!D:D,C:C,RAW_File!M:M)</f>
        <v>15000</v>
      </c>
      <c r="I1630" s="40">
        <f t="shared" si="27"/>
        <v>10000</v>
      </c>
    </row>
    <row r="1631" spans="1:9" hidden="1" x14ac:dyDescent="0.25">
      <c r="A1631" s="36" t="s">
        <v>59</v>
      </c>
      <c r="B1631" s="36" t="s">
        <v>340</v>
      </c>
      <c r="C1631" s="36" t="s">
        <v>341</v>
      </c>
      <c r="D1631" s="37">
        <f>SUMIF(RAW_File!D:D,C:C,RAW_File!F:F)</f>
        <v>5855.60275</v>
      </c>
      <c r="E1631" s="38">
        <f>SUMIF(RAW_File!D:D,C:C,RAW_File!G:G)</f>
        <v>6500</v>
      </c>
      <c r="F1631" s="39">
        <f>SUMIF(RAW_File!D:D,C:C,RAW_File!I:I)</f>
        <v>11250</v>
      </c>
      <c r="G1631" s="40">
        <f>SUMIF(RAW_File!D:D,C:C,RAW_File!K:K)</f>
        <v>0</v>
      </c>
      <c r="H1631" s="41">
        <f>SUMIF(RAW_File!D:D,C:C,RAW_File!M:M)</f>
        <v>10000</v>
      </c>
      <c r="I1631" s="40">
        <f t="shared" si="27"/>
        <v>10000</v>
      </c>
    </row>
    <row r="1632" spans="1:9" hidden="1" x14ac:dyDescent="0.25">
      <c r="A1632" s="36" t="s">
        <v>59</v>
      </c>
      <c r="B1632" s="36" t="s">
        <v>348</v>
      </c>
      <c r="C1632" s="36" t="s">
        <v>349</v>
      </c>
      <c r="D1632" s="37">
        <f>SUMIF(RAW_File!D:D,C:C,RAW_File!F:F)</f>
        <v>3561.9180000000001</v>
      </c>
      <c r="E1632" s="38">
        <f>SUMIF(RAW_File!D:D,C:C,RAW_File!G:G)</f>
        <v>520</v>
      </c>
      <c r="F1632" s="39">
        <f>SUMIF(RAW_File!D:D,C:C,RAW_File!I:I)</f>
        <v>9380</v>
      </c>
      <c r="G1632" s="40">
        <f>SUMIF(RAW_File!D:D,C:C,RAW_File!K:K)</f>
        <v>0</v>
      </c>
      <c r="H1632" s="41">
        <f>SUMIF(RAW_File!D:D,C:C,RAW_File!M:M)</f>
        <v>5000</v>
      </c>
      <c r="I1632" s="40">
        <f t="shared" si="27"/>
        <v>5000</v>
      </c>
    </row>
    <row r="1633" spans="1:9" hidden="1" x14ac:dyDescent="0.25">
      <c r="A1633" s="36" t="s">
        <v>59</v>
      </c>
      <c r="B1633" s="36" t="s">
        <v>372</v>
      </c>
      <c r="C1633" s="36" t="s">
        <v>373</v>
      </c>
      <c r="D1633" s="37">
        <f>SUMIF(RAW_File!D:D,C:C,RAW_File!F:F)</f>
        <v>3835.3792759790158</v>
      </c>
      <c r="E1633" s="38">
        <f>SUMIF(RAW_File!D:D,C:C,RAW_File!G:G)</f>
        <v>5850</v>
      </c>
      <c r="F1633" s="39">
        <f>SUMIF(RAW_File!D:D,C:C,RAW_File!I:I)</f>
        <v>25725</v>
      </c>
      <c r="G1633" s="40">
        <f>SUMIF(RAW_File!D:D,C:C,RAW_File!K:K)</f>
        <v>5000</v>
      </c>
      <c r="H1633" s="41">
        <f>SUMIF(RAW_File!D:D,C:C,RAW_File!M:M)</f>
        <v>15000</v>
      </c>
      <c r="I1633" s="40">
        <f t="shared" si="27"/>
        <v>10000</v>
      </c>
    </row>
    <row r="1634" spans="1:9" hidden="1" x14ac:dyDescent="0.25">
      <c r="A1634" s="36" t="s">
        <v>59</v>
      </c>
      <c r="B1634" s="36" t="s">
        <v>417</v>
      </c>
      <c r="C1634" s="36" t="s">
        <v>418</v>
      </c>
      <c r="D1634" s="37">
        <f>SUMIF(RAW_File!D:D,C:C,RAW_File!F:F)</f>
        <v>2840.1543000000001</v>
      </c>
      <c r="E1634" s="38">
        <f>SUMIF(RAW_File!D:D,C:C,RAW_File!G:G)</f>
        <v>10340</v>
      </c>
      <c r="F1634" s="39">
        <f>SUMIF(RAW_File!D:D,C:C,RAW_File!I:I)</f>
        <v>16740</v>
      </c>
      <c r="G1634" s="40">
        <f>SUMIF(RAW_File!D:D,C:C,RAW_File!K:K)</f>
        <v>0</v>
      </c>
      <c r="H1634" s="41">
        <f>SUMIF(RAW_File!D:D,C:C,RAW_File!M:M)</f>
        <v>20000</v>
      </c>
      <c r="I1634" s="40">
        <f t="shared" si="27"/>
        <v>20000</v>
      </c>
    </row>
    <row r="1635" spans="1:9" hidden="1" x14ac:dyDescent="0.25">
      <c r="A1635" s="36" t="s">
        <v>59</v>
      </c>
      <c r="B1635" s="36" t="s">
        <v>685</v>
      </c>
      <c r="C1635" s="36" t="s">
        <v>686</v>
      </c>
      <c r="D1635" s="37">
        <f>SUMIF(RAW_File!D:D,C:C,RAW_File!F:F)</f>
        <v>24517.785426920262</v>
      </c>
      <c r="E1635" s="38">
        <f>SUMIF(RAW_File!D:D,C:C,RAW_File!G:G)</f>
        <v>6235</v>
      </c>
      <c r="F1635" s="39">
        <f>SUMIF(RAW_File!D:D,C:C,RAW_File!I:I)</f>
        <v>37585</v>
      </c>
      <c r="G1635" s="40">
        <f>SUMIF(RAW_File!D:D,C:C,RAW_File!K:K)</f>
        <v>5000</v>
      </c>
      <c r="H1635" s="41">
        <f>SUMIF(RAW_File!D:D,C:C,RAW_File!M:M)</f>
        <v>20000</v>
      </c>
      <c r="I1635" s="40">
        <f t="shared" si="27"/>
        <v>15000</v>
      </c>
    </row>
    <row r="1636" spans="1:9" hidden="1" x14ac:dyDescent="0.25">
      <c r="A1636" s="36" t="s">
        <v>59</v>
      </c>
      <c r="B1636" s="36" t="s">
        <v>687</v>
      </c>
      <c r="C1636" s="36" t="s">
        <v>688</v>
      </c>
      <c r="D1636" s="37">
        <f>SUMIF(RAW_File!D:D,C:C,RAW_File!F:F)</f>
        <v>21046.412199999999</v>
      </c>
      <c r="E1636" s="38">
        <f>SUMIF(RAW_File!D:D,C:C,RAW_File!G:G)</f>
        <v>1500</v>
      </c>
      <c r="F1636" s="39">
        <f>SUMIF(RAW_File!D:D,C:C,RAW_File!I:I)</f>
        <v>1500</v>
      </c>
      <c r="G1636" s="40">
        <f>SUMIF(RAW_File!D:D,C:C,RAW_File!K:K)</f>
        <v>5000</v>
      </c>
      <c r="H1636" s="41">
        <f>SUMIF(RAW_File!D:D,C:C,RAW_File!M:M)</f>
        <v>0</v>
      </c>
      <c r="I1636" s="40">
        <f t="shared" si="27"/>
        <v>5000</v>
      </c>
    </row>
    <row r="1637" spans="1:9" hidden="1" x14ac:dyDescent="0.25">
      <c r="A1637" s="36" t="s">
        <v>59</v>
      </c>
      <c r="B1637" s="36" t="s">
        <v>826</v>
      </c>
      <c r="C1637" s="36" t="s">
        <v>827</v>
      </c>
      <c r="D1637" s="37">
        <f>SUMIF(RAW_File!D:D,C:C,RAW_File!F:F)</f>
        <v>102.8582686538885</v>
      </c>
      <c r="E1637" s="38">
        <f>SUMIF(RAW_File!D:D,C:C,RAW_File!G:G)</f>
        <v>0</v>
      </c>
      <c r="F1637" s="39">
        <f>SUMIF(RAW_File!D:D,C:C,RAW_File!I:I)</f>
        <v>0</v>
      </c>
      <c r="G1637" s="40">
        <f>SUMIF(RAW_File!D:D,C:C,RAW_File!K:K)</f>
        <v>0</v>
      </c>
      <c r="H1637" s="41">
        <f>SUMIF(RAW_File!D:D,C:C,RAW_File!M:M)</f>
        <v>0</v>
      </c>
      <c r="I1637" s="40">
        <f t="shared" si="27"/>
        <v>0</v>
      </c>
    </row>
    <row r="1638" spans="1:9" hidden="1" x14ac:dyDescent="0.25">
      <c r="A1638" s="36" t="s">
        <v>59</v>
      </c>
      <c r="B1638" s="36" t="s">
        <v>945</v>
      </c>
      <c r="C1638" s="36" t="s">
        <v>946</v>
      </c>
      <c r="D1638" s="37">
        <f>SUMIF(RAW_File!D:D,C:C,RAW_File!F:F)</f>
        <v>1615.4102</v>
      </c>
      <c r="E1638" s="38">
        <f>SUMIF(RAW_File!D:D,C:C,RAW_File!G:G)</f>
        <v>2810</v>
      </c>
      <c r="F1638" s="39">
        <f>SUMIF(RAW_File!D:D,C:C,RAW_File!I:I)</f>
        <v>11610</v>
      </c>
      <c r="G1638" s="40">
        <f>SUMIF(RAW_File!D:D,C:C,RAW_File!K:K)</f>
        <v>5000</v>
      </c>
      <c r="H1638" s="41">
        <f>SUMIF(RAW_File!D:D,C:C,RAW_File!M:M)</f>
        <v>10000</v>
      </c>
      <c r="I1638" s="40">
        <f t="shared" si="27"/>
        <v>5000</v>
      </c>
    </row>
    <row r="1639" spans="1:9" hidden="1" x14ac:dyDescent="0.25">
      <c r="A1639" s="36" t="s">
        <v>59</v>
      </c>
      <c r="B1639" s="36" t="s">
        <v>985</v>
      </c>
      <c r="C1639" s="36" t="s">
        <v>986</v>
      </c>
      <c r="D1639" s="37">
        <f>SUMIF(RAW_File!D:D,C:C,RAW_File!F:F)</f>
        <v>928.62819999999999</v>
      </c>
      <c r="E1639" s="38">
        <f>SUMIF(RAW_File!D:D,C:C,RAW_File!G:G)</f>
        <v>0</v>
      </c>
      <c r="F1639" s="39">
        <f>SUMIF(RAW_File!D:D,C:C,RAW_File!I:I)</f>
        <v>5880</v>
      </c>
      <c r="G1639" s="40">
        <f>SUMIF(RAW_File!D:D,C:C,RAW_File!K:K)</f>
        <v>5000</v>
      </c>
      <c r="H1639" s="41">
        <f>SUMIF(RAW_File!D:D,C:C,RAW_File!M:M)</f>
        <v>10000</v>
      </c>
      <c r="I1639" s="40">
        <f t="shared" si="27"/>
        <v>5000</v>
      </c>
    </row>
    <row r="1640" spans="1:9" hidden="1" x14ac:dyDescent="0.25">
      <c r="A1640" s="36" t="s">
        <v>59</v>
      </c>
      <c r="B1640" s="36" t="s">
        <v>1015</v>
      </c>
      <c r="C1640" s="36" t="s">
        <v>1016</v>
      </c>
      <c r="D1640" s="37">
        <f>SUMIF(RAW_File!D:D,C:C,RAW_File!F:F)</f>
        <v>751.20790636075424</v>
      </c>
      <c r="E1640" s="38">
        <f>SUMIF(RAW_File!D:D,C:C,RAW_File!G:G)</f>
        <v>6510</v>
      </c>
      <c r="F1640" s="39">
        <f>SUMIF(RAW_File!D:D,C:C,RAW_File!I:I)</f>
        <v>8630</v>
      </c>
      <c r="G1640" s="40">
        <f>SUMIF(RAW_File!D:D,C:C,RAW_File!K:K)</f>
        <v>5000</v>
      </c>
      <c r="H1640" s="41">
        <f>SUMIF(RAW_File!D:D,C:C,RAW_File!M:M)</f>
        <v>0</v>
      </c>
      <c r="I1640" s="40">
        <f t="shared" si="27"/>
        <v>5000</v>
      </c>
    </row>
    <row r="1641" spans="1:9" hidden="1" x14ac:dyDescent="0.25">
      <c r="A1641" s="36" t="s">
        <v>59</v>
      </c>
      <c r="B1641" s="36" t="s">
        <v>1023</v>
      </c>
      <c r="C1641" s="36" t="s">
        <v>1024</v>
      </c>
      <c r="D1641" s="37">
        <f>SUMIF(RAW_File!D:D,C:C,RAW_File!F:F)</f>
        <v>8122.5739824637876</v>
      </c>
      <c r="E1641" s="38">
        <f>SUMIF(RAW_File!D:D,C:C,RAW_File!G:G)</f>
        <v>4120</v>
      </c>
      <c r="F1641" s="39">
        <f>SUMIF(RAW_File!D:D,C:C,RAW_File!I:I)</f>
        <v>9580</v>
      </c>
      <c r="G1641" s="40">
        <f>SUMIF(RAW_File!D:D,C:C,RAW_File!K:K)</f>
        <v>5000</v>
      </c>
      <c r="H1641" s="41">
        <f>SUMIF(RAW_File!D:D,C:C,RAW_File!M:M)</f>
        <v>0</v>
      </c>
      <c r="I1641" s="40">
        <f t="shared" si="27"/>
        <v>5000</v>
      </c>
    </row>
    <row r="1642" spans="1:9" hidden="1" x14ac:dyDescent="0.25">
      <c r="A1642" s="36" t="s">
        <v>59</v>
      </c>
      <c r="B1642" s="36" t="s">
        <v>1174</v>
      </c>
      <c r="C1642" s="36" t="s">
        <v>1175</v>
      </c>
      <c r="D1642" s="37">
        <f>SUMIF(RAW_File!D:D,C:C,RAW_File!F:F)</f>
        <v>17008.410736743412</v>
      </c>
      <c r="E1642" s="38">
        <f>SUMIF(RAW_File!D:D,C:C,RAW_File!G:G)</f>
        <v>30140</v>
      </c>
      <c r="F1642" s="39">
        <f>SUMIF(RAW_File!D:D,C:C,RAW_File!I:I)</f>
        <v>80020</v>
      </c>
      <c r="G1642" s="40">
        <f>SUMIF(RAW_File!D:D,C:C,RAW_File!K:K)</f>
        <v>0</v>
      </c>
      <c r="H1642" s="41">
        <f>SUMIF(RAW_File!D:D,C:C,RAW_File!M:M)</f>
        <v>55000</v>
      </c>
      <c r="I1642" s="40">
        <f t="shared" si="27"/>
        <v>55000</v>
      </c>
    </row>
    <row r="1643" spans="1:9" hidden="1" x14ac:dyDescent="0.25">
      <c r="A1643" s="36" t="s">
        <v>59</v>
      </c>
      <c r="B1643" s="36" t="s">
        <v>1182</v>
      </c>
      <c r="C1643" s="36" t="s">
        <v>1183</v>
      </c>
      <c r="D1643" s="37">
        <f>SUMIF(RAW_File!D:D,C:C,RAW_File!F:F)</f>
        <v>1846.546</v>
      </c>
      <c r="E1643" s="38">
        <f>SUMIF(RAW_File!D:D,C:C,RAW_File!G:G)</f>
        <v>16950</v>
      </c>
      <c r="F1643" s="39">
        <f>SUMIF(RAW_File!D:D,C:C,RAW_File!I:I)</f>
        <v>29110</v>
      </c>
      <c r="G1643" s="40">
        <f>SUMIF(RAW_File!D:D,C:C,RAW_File!K:K)</f>
        <v>15000</v>
      </c>
      <c r="H1643" s="41">
        <f>SUMIF(RAW_File!D:D,C:C,RAW_File!M:M)</f>
        <v>33000</v>
      </c>
      <c r="I1643" s="40">
        <f t="shared" si="27"/>
        <v>18000</v>
      </c>
    </row>
    <row r="1644" spans="1:9" hidden="1" x14ac:dyDescent="0.25">
      <c r="A1644" s="36" t="s">
        <v>59</v>
      </c>
      <c r="B1644" s="36" t="s">
        <v>1307</v>
      </c>
      <c r="C1644" s="36" t="s">
        <v>1308</v>
      </c>
      <c r="D1644" s="37">
        <f>SUMIF(RAW_File!D:D,C:C,RAW_File!F:F)</f>
        <v>2809.884</v>
      </c>
      <c r="E1644" s="38">
        <f>SUMIF(RAW_File!D:D,C:C,RAW_File!G:G)</f>
        <v>7404</v>
      </c>
      <c r="F1644" s="39">
        <f>SUMIF(RAW_File!D:D,C:C,RAW_File!I:I)</f>
        <v>9154</v>
      </c>
      <c r="G1644" s="40">
        <f>SUMIF(RAW_File!D:D,C:C,RAW_File!K:K)</f>
        <v>8000</v>
      </c>
      <c r="H1644" s="41">
        <f>SUMIF(RAW_File!D:D,C:C,RAW_File!M:M)</f>
        <v>0</v>
      </c>
      <c r="I1644" s="40">
        <f t="shared" si="27"/>
        <v>8000</v>
      </c>
    </row>
    <row r="1645" spans="1:9" hidden="1" x14ac:dyDescent="0.25">
      <c r="A1645" s="36" t="s">
        <v>59</v>
      </c>
      <c r="B1645" s="36" t="s">
        <v>1373</v>
      </c>
      <c r="C1645" s="36" t="s">
        <v>1374</v>
      </c>
      <c r="D1645" s="37">
        <f>SUMIF(RAW_File!D:D,C:C,RAW_File!F:F)</f>
        <v>3133.988085</v>
      </c>
      <c r="E1645" s="38">
        <f>SUMIF(RAW_File!D:D,C:C,RAW_File!G:G)</f>
        <v>24033</v>
      </c>
      <c r="F1645" s="39">
        <f>SUMIF(RAW_File!D:D,C:C,RAW_File!I:I)</f>
        <v>65033</v>
      </c>
      <c r="G1645" s="40">
        <f>SUMIF(RAW_File!D:D,C:C,RAW_File!K:K)</f>
        <v>0</v>
      </c>
      <c r="H1645" s="41">
        <f>SUMIF(RAW_File!D:D,C:C,RAW_File!M:M)</f>
        <v>20000</v>
      </c>
      <c r="I1645" s="40">
        <f t="shared" si="27"/>
        <v>20000</v>
      </c>
    </row>
    <row r="1646" spans="1:9" hidden="1" x14ac:dyDescent="0.25">
      <c r="A1646" s="36" t="s">
        <v>59</v>
      </c>
      <c r="B1646" s="36" t="s">
        <v>1438</v>
      </c>
      <c r="C1646" s="36" t="s">
        <v>1439</v>
      </c>
      <c r="D1646" s="37">
        <f>SUMIF(RAW_File!D:D,C:C,RAW_File!F:F)</f>
        <v>512.63885225101887</v>
      </c>
      <c r="E1646" s="38">
        <f>SUMIF(RAW_File!D:D,C:C,RAW_File!G:G)</f>
        <v>11710</v>
      </c>
      <c r="F1646" s="39">
        <f>SUMIF(RAW_File!D:D,C:C,RAW_File!I:I)</f>
        <v>26385</v>
      </c>
      <c r="G1646" s="40">
        <f>SUMIF(RAW_File!D:D,C:C,RAW_File!K:K)</f>
        <v>5000</v>
      </c>
      <c r="H1646" s="41">
        <f>SUMIF(RAW_File!D:D,C:C,RAW_File!M:M)</f>
        <v>8000</v>
      </c>
      <c r="I1646" s="40">
        <f t="shared" si="27"/>
        <v>3000</v>
      </c>
    </row>
    <row r="1647" spans="1:9" hidden="1" x14ac:dyDescent="0.25">
      <c r="A1647" s="36" t="s">
        <v>59</v>
      </c>
      <c r="B1647" s="36" t="s">
        <v>1520</v>
      </c>
      <c r="C1647" s="36" t="s">
        <v>1521</v>
      </c>
      <c r="D1647" s="37">
        <f>SUMIF(RAW_File!D:D,C:C,RAW_File!F:F)</f>
        <v>4.2897232645000001</v>
      </c>
      <c r="E1647" s="38">
        <f>SUMIF(RAW_File!D:D,C:C,RAW_File!G:G)</f>
        <v>0</v>
      </c>
      <c r="F1647" s="39">
        <f>SUMIF(RAW_File!D:D,C:C,RAW_File!I:I)</f>
        <v>0</v>
      </c>
      <c r="G1647" s="40">
        <f>SUMIF(RAW_File!D:D,C:C,RAW_File!K:K)</f>
        <v>0</v>
      </c>
      <c r="H1647" s="41">
        <f>SUMIF(RAW_File!D:D,C:C,RAW_File!M:M)</f>
        <v>0</v>
      </c>
      <c r="I1647" s="40">
        <f t="shared" si="27"/>
        <v>0</v>
      </c>
    </row>
    <row r="1648" spans="1:9" hidden="1" x14ac:dyDescent="0.25">
      <c r="A1648" s="36" t="s">
        <v>59</v>
      </c>
      <c r="B1648" s="36" t="s">
        <v>1599</v>
      </c>
      <c r="C1648" s="36" t="s">
        <v>1600</v>
      </c>
      <c r="D1648" s="37">
        <f>SUMIF(RAW_File!D:D,C:C,RAW_File!F:F)</f>
        <v>118.53420049349999</v>
      </c>
      <c r="E1648" s="38">
        <f>SUMIF(RAW_File!D:D,C:C,RAW_File!G:G)</f>
        <v>1110</v>
      </c>
      <c r="F1648" s="39">
        <f>SUMIF(RAW_File!D:D,C:C,RAW_File!I:I)</f>
        <v>52527</v>
      </c>
      <c r="G1648" s="40">
        <f>SUMIF(RAW_File!D:D,C:C,RAW_File!K:K)</f>
        <v>0</v>
      </c>
      <c r="H1648" s="41">
        <f>SUMIF(RAW_File!D:D,C:C,RAW_File!M:M)</f>
        <v>51000</v>
      </c>
      <c r="I1648" s="40">
        <f t="shared" si="27"/>
        <v>51000</v>
      </c>
    </row>
    <row r="1649" spans="1:9" hidden="1" x14ac:dyDescent="0.25">
      <c r="A1649" s="36" t="s">
        <v>59</v>
      </c>
      <c r="B1649" s="36" t="s">
        <v>1637</v>
      </c>
      <c r="C1649" s="36" t="s">
        <v>1638</v>
      </c>
      <c r="D1649" s="37">
        <f>SUMIF(RAW_File!D:D,C:C,RAW_File!F:F)</f>
        <v>7119.5681855134999</v>
      </c>
      <c r="E1649" s="38">
        <f>SUMIF(RAW_File!D:D,C:C,RAW_File!G:G)</f>
        <v>6120</v>
      </c>
      <c r="F1649" s="39">
        <f>SUMIF(RAW_File!D:D,C:C,RAW_File!I:I)</f>
        <v>12570</v>
      </c>
      <c r="G1649" s="40">
        <f>SUMIF(RAW_File!D:D,C:C,RAW_File!K:K)</f>
        <v>5000</v>
      </c>
      <c r="H1649" s="41">
        <f>SUMIF(RAW_File!D:D,C:C,RAW_File!M:M)</f>
        <v>0</v>
      </c>
      <c r="I1649" s="40">
        <f t="shared" si="27"/>
        <v>5000</v>
      </c>
    </row>
    <row r="1650" spans="1:9" hidden="1" x14ac:dyDescent="0.25">
      <c r="A1650" s="36" t="s">
        <v>59</v>
      </c>
      <c r="B1650" s="36" t="s">
        <v>1668</v>
      </c>
      <c r="C1650" s="36" t="s">
        <v>1669</v>
      </c>
      <c r="D1650" s="37">
        <f>SUMIF(RAW_File!D:D,C:C,RAW_File!F:F)</f>
        <v>1911.5066717387001</v>
      </c>
      <c r="E1650" s="38">
        <f>SUMIF(RAW_File!D:D,C:C,RAW_File!G:G)</f>
        <v>38700</v>
      </c>
      <c r="F1650" s="39">
        <f>SUMIF(RAW_File!D:D,C:C,RAW_File!I:I)</f>
        <v>90030</v>
      </c>
      <c r="G1650" s="40">
        <f>SUMIF(RAW_File!D:D,C:C,RAW_File!K:K)</f>
        <v>40000</v>
      </c>
      <c r="H1650" s="41">
        <f>SUMIF(RAW_File!D:D,C:C,RAW_File!M:M)</f>
        <v>65000</v>
      </c>
      <c r="I1650" s="40">
        <f t="shared" si="27"/>
        <v>25000</v>
      </c>
    </row>
    <row r="1651" spans="1:9" hidden="1" x14ac:dyDescent="0.25">
      <c r="A1651" s="36" t="s">
        <v>59</v>
      </c>
      <c r="B1651" s="36" t="s">
        <v>1716</v>
      </c>
      <c r="C1651" s="36" t="s">
        <v>1717</v>
      </c>
      <c r="D1651" s="37">
        <f>SUMIF(RAW_File!D:D,C:C,RAW_File!F:F)</f>
        <v>5022.9697756619335</v>
      </c>
      <c r="E1651" s="38">
        <f>SUMIF(RAW_File!D:D,C:C,RAW_File!G:G)</f>
        <v>0</v>
      </c>
      <c r="F1651" s="39">
        <f>SUMIF(RAW_File!D:D,C:C,RAW_File!I:I)</f>
        <v>0</v>
      </c>
      <c r="G1651" s="40">
        <f>SUMIF(RAW_File!D:D,C:C,RAW_File!K:K)</f>
        <v>5000</v>
      </c>
      <c r="H1651" s="41">
        <f>SUMIF(RAW_File!D:D,C:C,RAW_File!M:M)</f>
        <v>0</v>
      </c>
      <c r="I1651" s="40">
        <f t="shared" si="27"/>
        <v>5000</v>
      </c>
    </row>
    <row r="1652" spans="1:9" hidden="1" x14ac:dyDescent="0.25">
      <c r="A1652" s="36" t="s">
        <v>59</v>
      </c>
      <c r="B1652" s="36" t="s">
        <v>1784</v>
      </c>
      <c r="C1652" s="36" t="s">
        <v>1785</v>
      </c>
      <c r="D1652" s="37">
        <f>SUMIF(RAW_File!D:D,C:C,RAW_File!F:F)</f>
        <v>40294.951861424037</v>
      </c>
      <c r="E1652" s="38">
        <f>SUMIF(RAW_File!D:D,C:C,RAW_File!G:G)</f>
        <v>9072</v>
      </c>
      <c r="F1652" s="39">
        <f>SUMIF(RAW_File!D:D,C:C,RAW_File!I:I)</f>
        <v>43962</v>
      </c>
      <c r="G1652" s="40">
        <f>SUMIF(RAW_File!D:D,C:C,RAW_File!K:K)</f>
        <v>7000</v>
      </c>
      <c r="H1652" s="41">
        <f>SUMIF(RAW_File!D:D,C:C,RAW_File!M:M)</f>
        <v>0</v>
      </c>
      <c r="I1652" s="40">
        <f t="shared" si="27"/>
        <v>7000</v>
      </c>
    </row>
    <row r="1653" spans="1:9" hidden="1" x14ac:dyDescent="0.25">
      <c r="A1653" s="36" t="s">
        <v>59</v>
      </c>
      <c r="B1653" s="36" t="s">
        <v>1792</v>
      </c>
      <c r="C1653" s="36" t="s">
        <v>1793</v>
      </c>
      <c r="D1653" s="37">
        <f>SUMIF(RAW_File!D:D,C:C,RAW_File!F:F)</f>
        <v>426.67068272422938</v>
      </c>
      <c r="E1653" s="38">
        <f>SUMIF(RAW_File!D:D,C:C,RAW_File!G:G)</f>
        <v>0</v>
      </c>
      <c r="F1653" s="39">
        <f>SUMIF(RAW_File!D:D,C:C,RAW_File!I:I)</f>
        <v>0</v>
      </c>
      <c r="G1653" s="40">
        <f>SUMIF(RAW_File!D:D,C:C,RAW_File!K:K)</f>
        <v>0</v>
      </c>
      <c r="H1653" s="41">
        <f>SUMIF(RAW_File!D:D,C:C,RAW_File!M:M)</f>
        <v>0</v>
      </c>
      <c r="I1653" s="40">
        <f t="shared" si="27"/>
        <v>0</v>
      </c>
    </row>
    <row r="1654" spans="1:9" hidden="1" x14ac:dyDescent="0.25">
      <c r="A1654" s="36" t="s">
        <v>59</v>
      </c>
      <c r="B1654" s="36" t="s">
        <v>1823</v>
      </c>
      <c r="C1654" s="36" t="s">
        <v>1824</v>
      </c>
      <c r="D1654" s="37">
        <f>SUMIF(RAW_File!D:D,C:C,RAW_File!F:F)</f>
        <v>972.21420000000001</v>
      </c>
      <c r="E1654" s="38">
        <f>SUMIF(RAW_File!D:D,C:C,RAW_File!G:G)</f>
        <v>4600</v>
      </c>
      <c r="F1654" s="39">
        <f>SUMIF(RAW_File!D:D,C:C,RAW_File!I:I)</f>
        <v>9500</v>
      </c>
      <c r="G1654" s="40">
        <f>SUMIF(RAW_File!D:D,C:C,RAW_File!K:K)</f>
        <v>0</v>
      </c>
      <c r="H1654" s="41">
        <f>SUMIF(RAW_File!D:D,C:C,RAW_File!M:M)</f>
        <v>0</v>
      </c>
      <c r="I1654" s="40">
        <f t="shared" si="27"/>
        <v>0</v>
      </c>
    </row>
    <row r="1655" spans="1:9" hidden="1" x14ac:dyDescent="0.25">
      <c r="A1655" s="36" t="s">
        <v>59</v>
      </c>
      <c r="B1655" s="36" t="s">
        <v>1851</v>
      </c>
      <c r="C1655" s="36" t="s">
        <v>1852</v>
      </c>
      <c r="D1655" s="37">
        <f>SUMIF(RAW_File!D:D,C:C,RAW_File!F:F)</f>
        <v>27.05910300685494</v>
      </c>
      <c r="E1655" s="38">
        <f>SUMIF(RAW_File!D:D,C:C,RAW_File!G:G)</f>
        <v>0</v>
      </c>
      <c r="F1655" s="39">
        <f>SUMIF(RAW_File!D:D,C:C,RAW_File!I:I)</f>
        <v>0</v>
      </c>
      <c r="G1655" s="40">
        <f>SUMIF(RAW_File!D:D,C:C,RAW_File!K:K)</f>
        <v>0</v>
      </c>
      <c r="H1655" s="41">
        <f>SUMIF(RAW_File!D:D,C:C,RAW_File!M:M)</f>
        <v>0</v>
      </c>
      <c r="I1655" s="40">
        <f t="shared" si="27"/>
        <v>0</v>
      </c>
    </row>
    <row r="1656" spans="1:9" hidden="1" x14ac:dyDescent="0.25">
      <c r="A1656" s="36" t="s">
        <v>59</v>
      </c>
      <c r="B1656" s="36" t="s">
        <v>1886</v>
      </c>
      <c r="C1656" s="36" t="s">
        <v>1887</v>
      </c>
      <c r="D1656" s="37">
        <f>SUMIF(RAW_File!D:D,C:C,RAW_File!F:F)</f>
        <v>6437.1297596386057</v>
      </c>
      <c r="E1656" s="38">
        <f>SUMIF(RAW_File!D:D,C:C,RAW_File!G:G)</f>
        <v>4250</v>
      </c>
      <c r="F1656" s="39">
        <f>SUMIF(RAW_File!D:D,C:C,RAW_File!I:I)</f>
        <v>9650</v>
      </c>
      <c r="G1656" s="40">
        <f>SUMIF(RAW_File!D:D,C:C,RAW_File!K:K)</f>
        <v>5000</v>
      </c>
      <c r="H1656" s="41">
        <f>SUMIF(RAW_File!D:D,C:C,RAW_File!M:M)</f>
        <v>0</v>
      </c>
      <c r="I1656" s="40">
        <f t="shared" si="27"/>
        <v>5000</v>
      </c>
    </row>
    <row r="1657" spans="1:9" hidden="1" x14ac:dyDescent="0.25">
      <c r="A1657" s="36" t="s">
        <v>59</v>
      </c>
      <c r="B1657" s="36" t="s">
        <v>1907</v>
      </c>
      <c r="C1657" s="36" t="s">
        <v>1908</v>
      </c>
      <c r="D1657" s="37">
        <f>SUMIF(RAW_File!D:D,C:C,RAW_File!F:F)</f>
        <v>4222.0310707733934</v>
      </c>
      <c r="E1657" s="38">
        <f>SUMIF(RAW_File!D:D,C:C,RAW_File!G:G)</f>
        <v>1010</v>
      </c>
      <c r="F1657" s="39">
        <f>SUMIF(RAW_File!D:D,C:C,RAW_File!I:I)</f>
        <v>34450</v>
      </c>
      <c r="G1657" s="40">
        <f>SUMIF(RAW_File!D:D,C:C,RAW_File!K:K)</f>
        <v>0</v>
      </c>
      <c r="H1657" s="41">
        <f>SUMIF(RAW_File!D:D,C:C,RAW_File!M:M)</f>
        <v>40000</v>
      </c>
      <c r="I1657" s="40">
        <f t="shared" si="27"/>
        <v>40000</v>
      </c>
    </row>
    <row r="1658" spans="1:9" hidden="1" x14ac:dyDescent="0.25">
      <c r="A1658" s="36" t="s">
        <v>59</v>
      </c>
      <c r="B1658" s="36" t="s">
        <v>2014</v>
      </c>
      <c r="C1658" s="36" t="s">
        <v>2015</v>
      </c>
      <c r="D1658" s="37">
        <f>SUMIF(RAW_File!D:D,C:C,RAW_File!F:F)</f>
        <v>8597.2158999999992</v>
      </c>
      <c r="E1658" s="38">
        <f>SUMIF(RAW_File!D:D,C:C,RAW_File!G:G)</f>
        <v>12300</v>
      </c>
      <c r="F1658" s="39">
        <f>SUMIF(RAW_File!D:D,C:C,RAW_File!I:I)</f>
        <v>13800</v>
      </c>
      <c r="G1658" s="40">
        <f>SUMIF(RAW_File!D:D,C:C,RAW_File!K:K)</f>
        <v>18000</v>
      </c>
      <c r="H1658" s="41">
        <f>SUMIF(RAW_File!D:D,C:C,RAW_File!M:M)</f>
        <v>0</v>
      </c>
      <c r="I1658" s="40">
        <f t="shared" si="27"/>
        <v>18000</v>
      </c>
    </row>
    <row r="1659" spans="1:9" hidden="1" x14ac:dyDescent="0.25">
      <c r="A1659" s="36" t="s">
        <v>59</v>
      </c>
      <c r="B1659" s="36" t="s">
        <v>2385</v>
      </c>
      <c r="C1659" s="36" t="s">
        <v>2386</v>
      </c>
      <c r="D1659" s="37">
        <f>SUMIF(RAW_File!D:D,C:C,RAW_File!F:F)</f>
        <v>77.312912120416669</v>
      </c>
      <c r="E1659" s="38">
        <f>SUMIF(RAW_File!D:D,C:C,RAW_File!G:G)</f>
        <v>0</v>
      </c>
      <c r="F1659" s="39">
        <f>SUMIF(RAW_File!D:D,C:C,RAW_File!I:I)</f>
        <v>3790</v>
      </c>
      <c r="G1659" s="40">
        <f>SUMIF(RAW_File!D:D,C:C,RAW_File!K:K)</f>
        <v>0</v>
      </c>
      <c r="H1659" s="41">
        <f>SUMIF(RAW_File!D:D,C:C,RAW_File!M:M)</f>
        <v>8000</v>
      </c>
      <c r="I1659" s="40">
        <f t="shared" si="27"/>
        <v>8000</v>
      </c>
    </row>
    <row r="1660" spans="1:9" hidden="1" x14ac:dyDescent="0.25">
      <c r="A1660" s="36" t="s">
        <v>59</v>
      </c>
      <c r="B1660" s="36" t="s">
        <v>2438</v>
      </c>
      <c r="C1660" s="36" t="s">
        <v>2439</v>
      </c>
      <c r="D1660" s="37">
        <f>SUMIF(RAW_File!D:D,C:C,RAW_File!F:F)</f>
        <v>6653.8589000000002</v>
      </c>
      <c r="E1660" s="38">
        <f>SUMIF(RAW_File!D:D,C:C,RAW_File!G:G)</f>
        <v>13800</v>
      </c>
      <c r="F1660" s="39">
        <f>SUMIF(RAW_File!D:D,C:C,RAW_File!I:I)</f>
        <v>36500</v>
      </c>
      <c r="G1660" s="40">
        <f>SUMIF(RAW_File!D:D,C:C,RAW_File!K:K)</f>
        <v>5000</v>
      </c>
      <c r="H1660" s="41">
        <f>SUMIF(RAW_File!D:D,C:C,RAW_File!M:M)</f>
        <v>40000</v>
      </c>
      <c r="I1660" s="40">
        <f t="shared" si="27"/>
        <v>35000</v>
      </c>
    </row>
    <row r="1661" spans="1:9" hidden="1" x14ac:dyDescent="0.25">
      <c r="A1661" s="36" t="s">
        <v>59</v>
      </c>
      <c r="B1661" s="36" t="s">
        <v>2620</v>
      </c>
      <c r="C1661" s="36" t="s">
        <v>2621</v>
      </c>
      <c r="D1661" s="37">
        <f>SUMIF(RAW_File!D:D,C:C,RAW_File!F:F)</f>
        <v>54.308399999999999</v>
      </c>
      <c r="E1661" s="38">
        <f>SUMIF(RAW_File!D:D,C:C,RAW_File!G:G)</f>
        <v>860</v>
      </c>
      <c r="F1661" s="39">
        <f>SUMIF(RAW_File!D:D,C:C,RAW_File!I:I)</f>
        <v>8660</v>
      </c>
      <c r="G1661" s="40">
        <f>SUMIF(RAW_File!D:D,C:C,RAW_File!K:K)</f>
        <v>0</v>
      </c>
      <c r="H1661" s="41">
        <f>SUMIF(RAW_File!D:D,C:C,RAW_File!M:M)</f>
        <v>7000</v>
      </c>
      <c r="I1661" s="40">
        <f t="shared" si="27"/>
        <v>7000</v>
      </c>
    </row>
    <row r="1662" spans="1:9" hidden="1" x14ac:dyDescent="0.25">
      <c r="A1662" s="36" t="s">
        <v>59</v>
      </c>
      <c r="B1662" s="36" t="s">
        <v>2874</v>
      </c>
      <c r="C1662" s="36" t="s">
        <v>2875</v>
      </c>
      <c r="D1662" s="37">
        <f>SUMIF(RAW_File!D:D,C:C,RAW_File!F:F)</f>
        <v>10966.858645583919</v>
      </c>
      <c r="E1662" s="38">
        <f>SUMIF(RAW_File!D:D,C:C,RAW_File!G:G)</f>
        <v>4000</v>
      </c>
      <c r="F1662" s="39">
        <f>SUMIF(RAW_File!D:D,C:C,RAW_File!I:I)</f>
        <v>11520</v>
      </c>
      <c r="G1662" s="40">
        <f>SUMIF(RAW_File!D:D,C:C,RAW_File!K:K)</f>
        <v>0</v>
      </c>
      <c r="H1662" s="41">
        <f>SUMIF(RAW_File!D:D,C:C,RAW_File!M:M)</f>
        <v>5000</v>
      </c>
      <c r="I1662" s="40">
        <f t="shared" si="27"/>
        <v>5000</v>
      </c>
    </row>
    <row r="1663" spans="1:9" hidden="1" x14ac:dyDescent="0.25">
      <c r="A1663" s="36" t="s">
        <v>59</v>
      </c>
      <c r="B1663" s="36" t="s">
        <v>2892</v>
      </c>
      <c r="C1663" s="36" t="s">
        <v>2893</v>
      </c>
      <c r="D1663" s="37">
        <f>SUMIF(RAW_File!D:D,C:C,RAW_File!F:F)</f>
        <v>43890.469048356499</v>
      </c>
      <c r="E1663" s="38">
        <f>SUMIF(RAW_File!D:D,C:C,RAW_File!G:G)</f>
        <v>52485</v>
      </c>
      <c r="F1663" s="39">
        <f>SUMIF(RAW_File!D:D,C:C,RAW_File!I:I)</f>
        <v>63175</v>
      </c>
      <c r="G1663" s="40">
        <f>SUMIF(RAW_File!D:D,C:C,RAW_File!K:K)</f>
        <v>65000</v>
      </c>
      <c r="H1663" s="41">
        <f>SUMIF(RAW_File!D:D,C:C,RAW_File!M:M)</f>
        <v>0</v>
      </c>
      <c r="I1663" s="40">
        <f t="shared" si="27"/>
        <v>65000</v>
      </c>
    </row>
    <row r="1664" spans="1:9" hidden="1" x14ac:dyDescent="0.25">
      <c r="A1664" s="36" t="s">
        <v>59</v>
      </c>
      <c r="B1664" s="36" t="s">
        <v>2922</v>
      </c>
      <c r="C1664" s="36" t="s">
        <v>2923</v>
      </c>
      <c r="D1664" s="37">
        <f>SUMIF(RAW_File!D:D,C:C,RAW_File!F:F)</f>
        <v>8577.8528375257174</v>
      </c>
      <c r="E1664" s="38">
        <f>SUMIF(RAW_File!D:D,C:C,RAW_File!G:G)</f>
        <v>7330</v>
      </c>
      <c r="F1664" s="39">
        <f>SUMIF(RAW_File!D:D,C:C,RAW_File!I:I)</f>
        <v>16200</v>
      </c>
      <c r="G1664" s="40">
        <f>SUMIF(RAW_File!D:D,C:C,RAW_File!K:K)</f>
        <v>0</v>
      </c>
      <c r="H1664" s="41">
        <f>SUMIF(RAW_File!D:D,C:C,RAW_File!M:M)</f>
        <v>55000</v>
      </c>
      <c r="I1664" s="40">
        <f t="shared" si="27"/>
        <v>55000</v>
      </c>
    </row>
    <row r="1665" spans="1:9" hidden="1" x14ac:dyDescent="0.25">
      <c r="A1665" s="36" t="s">
        <v>59</v>
      </c>
      <c r="B1665" s="36" t="s">
        <v>511</v>
      </c>
      <c r="C1665" s="36" t="s">
        <v>2936</v>
      </c>
      <c r="D1665" s="37">
        <f>SUMIF(RAW_File!D:D,C:C,RAW_File!F:F)</f>
        <v>888.94019573726086</v>
      </c>
      <c r="E1665" s="38">
        <f>SUMIF(RAW_File!D:D,C:C,RAW_File!G:G)</f>
        <v>1070</v>
      </c>
      <c r="F1665" s="39">
        <f>SUMIF(RAW_File!D:D,C:C,RAW_File!I:I)</f>
        <v>2050</v>
      </c>
      <c r="G1665" s="40">
        <f>SUMIF(RAW_File!D:D,C:C,RAW_File!K:K)</f>
        <v>0</v>
      </c>
      <c r="H1665" s="41">
        <f>SUMIF(RAW_File!D:D,C:C,RAW_File!M:M)</f>
        <v>21000</v>
      </c>
      <c r="I1665" s="40">
        <f t="shared" si="27"/>
        <v>21000</v>
      </c>
    </row>
    <row r="1666" spans="1:9" hidden="1" x14ac:dyDescent="0.25">
      <c r="A1666" s="36" t="s">
        <v>59</v>
      </c>
      <c r="B1666" s="36" t="s">
        <v>3120</v>
      </c>
      <c r="C1666" s="36" t="s">
        <v>3121</v>
      </c>
      <c r="D1666" s="37">
        <f>SUMIF(RAW_File!D:D,C:C,RAW_File!F:F)</f>
        <v>1362.302888111021</v>
      </c>
      <c r="E1666" s="38">
        <f>SUMIF(RAW_File!D:D,C:C,RAW_File!G:G)</f>
        <v>4030</v>
      </c>
      <c r="F1666" s="39">
        <f>SUMIF(RAW_File!D:D,C:C,RAW_File!I:I)</f>
        <v>13486</v>
      </c>
      <c r="G1666" s="40">
        <f>SUMIF(RAW_File!D:D,C:C,RAW_File!K:K)</f>
        <v>0</v>
      </c>
      <c r="H1666" s="41">
        <f>SUMIF(RAW_File!D:D,C:C,RAW_File!M:M)</f>
        <v>10000</v>
      </c>
      <c r="I1666" s="40">
        <f t="shared" si="27"/>
        <v>10000</v>
      </c>
    </row>
    <row r="1667" spans="1:9" hidden="1" x14ac:dyDescent="0.25">
      <c r="A1667" s="36" t="s">
        <v>59</v>
      </c>
      <c r="B1667" s="36" t="s">
        <v>3238</v>
      </c>
      <c r="C1667" s="36" t="s">
        <v>3239</v>
      </c>
      <c r="D1667" s="37">
        <f>SUMIF(RAW_File!D:D,C:C,RAW_File!F:F)</f>
        <v>10.9003</v>
      </c>
      <c r="E1667" s="38">
        <f>SUMIF(RAW_File!D:D,C:C,RAW_File!G:G)</f>
        <v>0</v>
      </c>
      <c r="F1667" s="39">
        <f>SUMIF(RAW_File!D:D,C:C,RAW_File!I:I)</f>
        <v>0</v>
      </c>
      <c r="G1667" s="40">
        <f>SUMIF(RAW_File!D:D,C:C,RAW_File!K:K)</f>
        <v>0</v>
      </c>
      <c r="H1667" s="41">
        <f>SUMIF(RAW_File!D:D,C:C,RAW_File!M:M)</f>
        <v>0</v>
      </c>
      <c r="I1667" s="40">
        <f t="shared" si="27"/>
        <v>0</v>
      </c>
    </row>
    <row r="1668" spans="1:9" hidden="1" x14ac:dyDescent="0.25">
      <c r="A1668" s="36" t="s">
        <v>59</v>
      </c>
      <c r="B1668" s="36" t="s">
        <v>3348</v>
      </c>
      <c r="C1668" s="36" t="s">
        <v>3349</v>
      </c>
      <c r="D1668" s="37">
        <f>SUMIF(RAW_File!D:D,C:C,RAW_File!F:F)</f>
        <v>6318.1434723678731</v>
      </c>
      <c r="E1668" s="38">
        <f>SUMIF(RAW_File!D:D,C:C,RAW_File!G:G)</f>
        <v>3025</v>
      </c>
      <c r="F1668" s="39">
        <f>SUMIF(RAW_File!D:D,C:C,RAW_File!I:I)</f>
        <v>8605</v>
      </c>
      <c r="G1668" s="40">
        <f>SUMIF(RAW_File!D:D,C:C,RAW_File!K:K)</f>
        <v>5000</v>
      </c>
      <c r="H1668" s="41">
        <f>SUMIF(RAW_File!D:D,C:C,RAW_File!M:M)</f>
        <v>10000</v>
      </c>
      <c r="I1668" s="40">
        <f t="shared" si="27"/>
        <v>5000</v>
      </c>
    </row>
    <row r="1669" spans="1:9" hidden="1" x14ac:dyDescent="0.25">
      <c r="A1669" s="36" t="s">
        <v>59</v>
      </c>
      <c r="B1669" s="36" t="s">
        <v>3373</v>
      </c>
      <c r="C1669" s="36" t="s">
        <v>3374</v>
      </c>
      <c r="D1669" s="37">
        <f>SUMIF(RAW_File!D:D,C:C,RAW_File!F:F)</f>
        <v>166.19805262827191</v>
      </c>
      <c r="E1669" s="38">
        <f>SUMIF(RAW_File!D:D,C:C,RAW_File!G:G)</f>
        <v>8500</v>
      </c>
      <c r="F1669" s="39">
        <f>SUMIF(RAW_File!D:D,C:C,RAW_File!I:I)</f>
        <v>46010</v>
      </c>
      <c r="G1669" s="40">
        <f>SUMIF(RAW_File!D:D,C:C,RAW_File!K:K)</f>
        <v>0</v>
      </c>
      <c r="H1669" s="41">
        <f>SUMIF(RAW_File!D:D,C:C,RAW_File!M:M)</f>
        <v>30000</v>
      </c>
      <c r="I1669" s="40">
        <f t="shared" ref="I1669:I1722" si="28">ABS(G1669-H1669)</f>
        <v>30000</v>
      </c>
    </row>
    <row r="1670" spans="1:9" hidden="1" x14ac:dyDescent="0.25">
      <c r="A1670" s="36" t="s">
        <v>59</v>
      </c>
      <c r="B1670" s="36" t="s">
        <v>3389</v>
      </c>
      <c r="C1670" s="36" t="s">
        <v>3390</v>
      </c>
      <c r="D1670" s="37">
        <f>SUMIF(RAW_File!D:D,C:C,RAW_File!F:F)</f>
        <v>26853.82938109613</v>
      </c>
      <c r="E1670" s="38">
        <f>SUMIF(RAW_File!D:D,C:C,RAW_File!G:G)</f>
        <v>1350</v>
      </c>
      <c r="F1670" s="39">
        <f>SUMIF(RAW_File!D:D,C:C,RAW_File!I:I)</f>
        <v>15330</v>
      </c>
      <c r="G1670" s="40">
        <f>SUMIF(RAW_File!D:D,C:C,RAW_File!K:K)</f>
        <v>5000</v>
      </c>
      <c r="H1670" s="41">
        <f>SUMIF(RAW_File!D:D,C:C,RAW_File!M:M)</f>
        <v>0</v>
      </c>
      <c r="I1670" s="40">
        <f t="shared" si="28"/>
        <v>5000</v>
      </c>
    </row>
    <row r="1671" spans="1:9" hidden="1" x14ac:dyDescent="0.25">
      <c r="A1671" s="36" t="s">
        <v>59</v>
      </c>
      <c r="B1671" s="36" t="s">
        <v>3451</v>
      </c>
      <c r="C1671" s="36" t="s">
        <v>3452</v>
      </c>
      <c r="D1671" s="37">
        <f>SUMIF(RAW_File!D:D,C:C,RAW_File!F:F)</f>
        <v>11038.96861755889</v>
      </c>
      <c r="E1671" s="38">
        <f>SUMIF(RAW_File!D:D,C:C,RAW_File!G:G)</f>
        <v>0</v>
      </c>
      <c r="F1671" s="39">
        <f>SUMIF(RAW_File!D:D,C:C,RAW_File!I:I)</f>
        <v>23000</v>
      </c>
      <c r="G1671" s="40">
        <f>SUMIF(RAW_File!D:D,C:C,RAW_File!K:K)</f>
        <v>0</v>
      </c>
      <c r="H1671" s="41">
        <f>SUMIF(RAW_File!D:D,C:C,RAW_File!M:M)</f>
        <v>20000</v>
      </c>
      <c r="I1671" s="40">
        <f t="shared" si="28"/>
        <v>20000</v>
      </c>
    </row>
    <row r="1672" spans="1:9" hidden="1" x14ac:dyDescent="0.25">
      <c r="A1672" s="36" t="s">
        <v>59</v>
      </c>
      <c r="B1672" s="36" t="s">
        <v>3466</v>
      </c>
      <c r="C1672" s="36" t="s">
        <v>3467</v>
      </c>
      <c r="D1672" s="37">
        <f>SUMIF(RAW_File!D:D,C:C,RAW_File!F:F)</f>
        <v>46487.297239748659</v>
      </c>
      <c r="E1672" s="38">
        <f>SUMIF(RAW_File!D:D,C:C,RAW_File!G:G)</f>
        <v>11640</v>
      </c>
      <c r="F1672" s="39">
        <f>SUMIF(RAW_File!D:D,C:C,RAW_File!I:I)</f>
        <v>133315</v>
      </c>
      <c r="G1672" s="40">
        <f>SUMIF(RAW_File!D:D,C:C,RAW_File!K:K)</f>
        <v>0</v>
      </c>
      <c r="H1672" s="41">
        <f>SUMIF(RAW_File!D:D,C:C,RAW_File!M:M)</f>
        <v>85000</v>
      </c>
      <c r="I1672" s="40">
        <f t="shared" si="28"/>
        <v>85000</v>
      </c>
    </row>
    <row r="1673" spans="1:9" hidden="1" x14ac:dyDescent="0.25">
      <c r="A1673" s="42" t="s">
        <v>59</v>
      </c>
      <c r="B1673" s="36" t="s">
        <v>3520</v>
      </c>
      <c r="C1673" s="36" t="s">
        <v>3521</v>
      </c>
      <c r="D1673" s="37">
        <f>SUMIF(RAW_File!D:D,C:C,RAW_File!F:F)</f>
        <v>9684.2320999999993</v>
      </c>
      <c r="E1673" s="38">
        <f>SUMIF(RAW_File!D:D,C:C,RAW_File!G:G)</f>
        <v>900</v>
      </c>
      <c r="F1673" s="39">
        <f>SUMIF(RAW_File!D:D,C:C,RAW_File!I:I)</f>
        <v>2350</v>
      </c>
      <c r="G1673" s="40">
        <f>SUMIF(RAW_File!D:D,C:C,RAW_File!K:K)</f>
        <v>5000</v>
      </c>
      <c r="H1673" s="41">
        <f>SUMIF(RAW_File!D:D,C:C,RAW_File!M:M)</f>
        <v>0</v>
      </c>
      <c r="I1673" s="40">
        <f t="shared" si="28"/>
        <v>5000</v>
      </c>
    </row>
    <row r="1674" spans="1:9" hidden="1" x14ac:dyDescent="0.25">
      <c r="A1674" s="36" t="s">
        <v>59</v>
      </c>
      <c r="B1674" s="36" t="s">
        <v>3539</v>
      </c>
      <c r="C1674" s="36" t="s">
        <v>3540</v>
      </c>
      <c r="D1674" s="37">
        <f>SUMIF(RAW_File!D:D,C:C,RAW_File!F:F)</f>
        <v>9356.7921000000006</v>
      </c>
      <c r="E1674" s="38">
        <f>SUMIF(RAW_File!D:D,C:C,RAW_File!G:G)</f>
        <v>4310</v>
      </c>
      <c r="F1674" s="39">
        <f>SUMIF(RAW_File!D:D,C:C,RAW_File!I:I)</f>
        <v>8830</v>
      </c>
      <c r="G1674" s="40">
        <f>SUMIF(RAW_File!D:D,C:C,RAW_File!K:K)</f>
        <v>12500</v>
      </c>
      <c r="H1674" s="41">
        <f>SUMIF(RAW_File!D:D,C:C,RAW_File!M:M)</f>
        <v>7500</v>
      </c>
      <c r="I1674" s="40">
        <f t="shared" si="28"/>
        <v>5000</v>
      </c>
    </row>
    <row r="1675" spans="1:9" hidden="1" x14ac:dyDescent="0.25">
      <c r="A1675" s="36" t="s">
        <v>59</v>
      </c>
      <c r="B1675" s="36" t="s">
        <v>822</v>
      </c>
      <c r="C1675" s="36" t="s">
        <v>3551</v>
      </c>
      <c r="D1675" s="37">
        <f>SUMIF(RAW_File!D:D,C:C,RAW_File!F:F)</f>
        <v>6995.6647999999996</v>
      </c>
      <c r="E1675" s="38">
        <f>SUMIF(RAW_File!D:D,C:C,RAW_File!G:G)</f>
        <v>300</v>
      </c>
      <c r="F1675" s="39">
        <f>SUMIF(RAW_File!D:D,C:C,RAW_File!I:I)</f>
        <v>300</v>
      </c>
      <c r="G1675" s="40">
        <f>SUMIF(RAW_File!D:D,C:C,RAW_File!K:K)</f>
        <v>5000</v>
      </c>
      <c r="H1675" s="41">
        <f>SUMIF(RAW_File!D:D,C:C,RAW_File!M:M)</f>
        <v>0</v>
      </c>
      <c r="I1675" s="40">
        <f t="shared" si="28"/>
        <v>5000</v>
      </c>
    </row>
    <row r="1676" spans="1:9" hidden="1" x14ac:dyDescent="0.25">
      <c r="A1676" s="36" t="s">
        <v>85</v>
      </c>
      <c r="B1676" s="36" t="s">
        <v>264</v>
      </c>
      <c r="C1676" s="36" t="s">
        <v>265</v>
      </c>
      <c r="D1676" s="37">
        <f>SUMIF(RAW_File!D:D,C:C,RAW_File!F:F)</f>
        <v>20.970400000000001</v>
      </c>
      <c r="E1676" s="38">
        <f>SUMIF(RAW_File!D:D,C:C,RAW_File!G:G)</f>
        <v>0</v>
      </c>
      <c r="F1676" s="39">
        <f>SUMIF(RAW_File!D:D,C:C,RAW_File!I:I)</f>
        <v>0</v>
      </c>
      <c r="G1676" s="40">
        <f>SUMIF(RAW_File!D:D,C:C,RAW_File!K:K)</f>
        <v>0</v>
      </c>
      <c r="H1676" s="41">
        <f>SUMIF(RAW_File!D:D,C:C,RAW_File!M:M)</f>
        <v>0</v>
      </c>
      <c r="I1676" s="40">
        <f t="shared" si="28"/>
        <v>0</v>
      </c>
    </row>
    <row r="1677" spans="1:9" hidden="1" x14ac:dyDescent="0.25">
      <c r="A1677" s="36" t="s">
        <v>85</v>
      </c>
      <c r="B1677" s="36" t="s">
        <v>266</v>
      </c>
      <c r="C1677" s="36" t="s">
        <v>267</v>
      </c>
      <c r="D1677" s="37">
        <f>SUMIF(RAW_File!D:D,C:C,RAW_File!F:F)</f>
        <v>3.088388285824657</v>
      </c>
      <c r="E1677" s="38">
        <f>SUMIF(RAW_File!D:D,C:C,RAW_File!G:G)</f>
        <v>0</v>
      </c>
      <c r="F1677" s="39">
        <f>SUMIF(RAW_File!D:D,C:C,RAW_File!I:I)</f>
        <v>0</v>
      </c>
      <c r="G1677" s="40">
        <f>SUMIF(RAW_File!D:D,C:C,RAW_File!K:K)</f>
        <v>0</v>
      </c>
      <c r="H1677" s="41">
        <f>SUMIF(RAW_File!D:D,C:C,RAW_File!M:M)</f>
        <v>0</v>
      </c>
      <c r="I1677" s="40">
        <f t="shared" si="28"/>
        <v>0</v>
      </c>
    </row>
    <row r="1678" spans="1:9" hidden="1" x14ac:dyDescent="0.25">
      <c r="A1678" s="36" t="s">
        <v>85</v>
      </c>
      <c r="B1678" s="36" t="s">
        <v>324</v>
      </c>
      <c r="C1678" s="36" t="s">
        <v>325</v>
      </c>
      <c r="D1678" s="37">
        <f>SUMIF(RAW_File!D:D,C:C,RAW_File!F:F)</f>
        <v>11427.712299999999</v>
      </c>
      <c r="E1678" s="38">
        <f>SUMIF(RAW_File!D:D,C:C,RAW_File!G:G)</f>
        <v>100</v>
      </c>
      <c r="F1678" s="39">
        <f>SUMIF(RAW_File!D:D,C:C,RAW_File!I:I)</f>
        <v>31909</v>
      </c>
      <c r="G1678" s="40">
        <f>SUMIF(RAW_File!D:D,C:C,RAW_File!K:K)</f>
        <v>0</v>
      </c>
      <c r="H1678" s="41">
        <f>SUMIF(RAW_File!D:D,C:C,RAW_File!M:M)</f>
        <v>32000</v>
      </c>
      <c r="I1678" s="40">
        <f t="shared" si="28"/>
        <v>32000</v>
      </c>
    </row>
    <row r="1679" spans="1:9" hidden="1" x14ac:dyDescent="0.25">
      <c r="A1679" s="36" t="s">
        <v>85</v>
      </c>
      <c r="B1679" s="36" t="s">
        <v>362</v>
      </c>
      <c r="C1679" s="36" t="s">
        <v>363</v>
      </c>
      <c r="D1679" s="37">
        <f>SUMIF(RAW_File!D:D,C:C,RAW_File!F:F)</f>
        <v>11999.3763000526</v>
      </c>
      <c r="E1679" s="38">
        <f>SUMIF(RAW_File!D:D,C:C,RAW_File!G:G)</f>
        <v>500</v>
      </c>
      <c r="F1679" s="39">
        <f>SUMIF(RAW_File!D:D,C:C,RAW_File!I:I)</f>
        <v>8090</v>
      </c>
      <c r="G1679" s="40">
        <f>SUMIF(RAW_File!D:D,C:C,RAW_File!K:K)</f>
        <v>0</v>
      </c>
      <c r="H1679" s="41">
        <f>SUMIF(RAW_File!D:D,C:C,RAW_File!M:M)</f>
        <v>10000</v>
      </c>
      <c r="I1679" s="40">
        <f t="shared" si="28"/>
        <v>10000</v>
      </c>
    </row>
    <row r="1680" spans="1:9" hidden="1" x14ac:dyDescent="0.25">
      <c r="A1680" s="36" t="s">
        <v>85</v>
      </c>
      <c r="B1680" s="36" t="s">
        <v>433</v>
      </c>
      <c r="C1680" s="36" t="s">
        <v>434</v>
      </c>
      <c r="D1680" s="37">
        <f>SUMIF(RAW_File!D:D,C:C,RAW_File!F:F)</f>
        <v>40198.796099382918</v>
      </c>
      <c r="E1680" s="38">
        <f>SUMIF(RAW_File!D:D,C:C,RAW_File!G:G)</f>
        <v>6945</v>
      </c>
      <c r="F1680" s="39">
        <f>SUMIF(RAW_File!D:D,C:C,RAW_File!I:I)</f>
        <v>48644</v>
      </c>
      <c r="G1680" s="40">
        <f>SUMIF(RAW_File!D:D,C:C,RAW_File!K:K)</f>
        <v>0</v>
      </c>
      <c r="H1680" s="41">
        <f>SUMIF(RAW_File!D:D,C:C,RAW_File!M:M)</f>
        <v>25000</v>
      </c>
      <c r="I1680" s="40">
        <f t="shared" si="28"/>
        <v>25000</v>
      </c>
    </row>
    <row r="1681" spans="1:9" hidden="1" x14ac:dyDescent="0.25">
      <c r="A1681" s="36" t="s">
        <v>85</v>
      </c>
      <c r="B1681" s="36" t="s">
        <v>610</v>
      </c>
      <c r="C1681" s="36" t="s">
        <v>611</v>
      </c>
      <c r="D1681" s="37">
        <f>SUMIF(RAW_File!D:D,C:C,RAW_File!F:F)</f>
        <v>2884.9014999999999</v>
      </c>
      <c r="E1681" s="38">
        <f>SUMIF(RAW_File!D:D,C:C,RAW_File!G:G)</f>
        <v>0</v>
      </c>
      <c r="F1681" s="39">
        <f>SUMIF(RAW_File!D:D,C:C,RAW_File!I:I)</f>
        <v>0</v>
      </c>
      <c r="G1681" s="40">
        <f>SUMIF(RAW_File!D:D,C:C,RAW_File!K:K)</f>
        <v>0</v>
      </c>
      <c r="H1681" s="41">
        <f>SUMIF(RAW_File!D:D,C:C,RAW_File!M:M)</f>
        <v>0</v>
      </c>
      <c r="I1681" s="40">
        <f t="shared" si="28"/>
        <v>0</v>
      </c>
    </row>
    <row r="1682" spans="1:9" hidden="1" x14ac:dyDescent="0.25">
      <c r="A1682" s="36" t="s">
        <v>85</v>
      </c>
      <c r="B1682" s="36" t="s">
        <v>624</v>
      </c>
      <c r="C1682" s="36" t="s">
        <v>625</v>
      </c>
      <c r="D1682" s="37">
        <f>SUMIF(RAW_File!D:D,C:C,RAW_File!F:F)</f>
        <v>8646.0329741785499</v>
      </c>
      <c r="E1682" s="38">
        <f>SUMIF(RAW_File!D:D,C:C,RAW_File!G:G)</f>
        <v>1530</v>
      </c>
      <c r="F1682" s="39">
        <f>SUMIF(RAW_File!D:D,C:C,RAW_File!I:I)</f>
        <v>27280</v>
      </c>
      <c r="G1682" s="40">
        <f>SUMIF(RAW_File!D:D,C:C,RAW_File!K:K)</f>
        <v>10000</v>
      </c>
      <c r="H1682" s="41">
        <f>SUMIF(RAW_File!D:D,C:C,RAW_File!M:M)</f>
        <v>45000</v>
      </c>
      <c r="I1682" s="40">
        <f t="shared" si="28"/>
        <v>35000</v>
      </c>
    </row>
    <row r="1683" spans="1:9" hidden="1" x14ac:dyDescent="0.25">
      <c r="A1683" s="36" t="s">
        <v>85</v>
      </c>
      <c r="B1683" s="36" t="s">
        <v>628</v>
      </c>
      <c r="C1683" s="36" t="s">
        <v>629</v>
      </c>
      <c r="D1683" s="37">
        <f>SUMIF(RAW_File!D:D,C:C,RAW_File!F:F)</f>
        <v>15408.37058771965</v>
      </c>
      <c r="E1683" s="38">
        <f>SUMIF(RAW_File!D:D,C:C,RAW_File!G:G)</f>
        <v>7470</v>
      </c>
      <c r="F1683" s="39">
        <f>SUMIF(RAW_File!D:D,C:C,RAW_File!I:I)</f>
        <v>28377</v>
      </c>
      <c r="G1683" s="40">
        <f>SUMIF(RAW_File!D:D,C:C,RAW_File!K:K)</f>
        <v>0</v>
      </c>
      <c r="H1683" s="41">
        <f>SUMIF(RAW_File!D:D,C:C,RAW_File!M:M)</f>
        <v>20000</v>
      </c>
      <c r="I1683" s="40">
        <f t="shared" si="28"/>
        <v>20000</v>
      </c>
    </row>
    <row r="1684" spans="1:9" hidden="1" x14ac:dyDescent="0.25">
      <c r="A1684" s="36" t="s">
        <v>85</v>
      </c>
      <c r="B1684" s="36" t="s">
        <v>683</v>
      </c>
      <c r="C1684" s="36" t="s">
        <v>684</v>
      </c>
      <c r="D1684" s="37">
        <f>SUMIF(RAW_File!D:D,C:C,RAW_File!F:F)</f>
        <v>9.2388842184422248</v>
      </c>
      <c r="E1684" s="38">
        <f>SUMIF(RAW_File!D:D,C:C,RAW_File!G:G)</f>
        <v>0</v>
      </c>
      <c r="F1684" s="39">
        <f>SUMIF(RAW_File!D:D,C:C,RAW_File!I:I)</f>
        <v>0</v>
      </c>
      <c r="G1684" s="40">
        <f>SUMIF(RAW_File!D:D,C:C,RAW_File!K:K)</f>
        <v>0</v>
      </c>
      <c r="H1684" s="41">
        <f>SUMIF(RAW_File!D:D,C:C,RAW_File!M:M)</f>
        <v>0</v>
      </c>
      <c r="I1684" s="40">
        <f t="shared" si="28"/>
        <v>0</v>
      </c>
    </row>
    <row r="1685" spans="1:9" hidden="1" x14ac:dyDescent="0.25">
      <c r="A1685" s="36" t="s">
        <v>85</v>
      </c>
      <c r="B1685" s="36" t="s">
        <v>740</v>
      </c>
      <c r="C1685" s="36" t="s">
        <v>741</v>
      </c>
      <c r="D1685" s="37">
        <f>SUMIF(RAW_File!D:D,C:C,RAW_File!F:F)</f>
        <v>12446.846600000001</v>
      </c>
      <c r="E1685" s="38">
        <f>SUMIF(RAW_File!D:D,C:C,RAW_File!G:G)</f>
        <v>7100</v>
      </c>
      <c r="F1685" s="39">
        <f>SUMIF(RAW_File!D:D,C:C,RAW_File!I:I)</f>
        <v>16100</v>
      </c>
      <c r="G1685" s="40">
        <f>SUMIF(RAW_File!D:D,C:C,RAW_File!K:K)</f>
        <v>10000</v>
      </c>
      <c r="H1685" s="41">
        <f>SUMIF(RAW_File!D:D,C:C,RAW_File!M:M)</f>
        <v>30000</v>
      </c>
      <c r="I1685" s="40">
        <f t="shared" si="28"/>
        <v>20000</v>
      </c>
    </row>
    <row r="1686" spans="1:9" hidden="1" x14ac:dyDescent="0.25">
      <c r="A1686" s="36" t="s">
        <v>85</v>
      </c>
      <c r="B1686" s="36" t="s">
        <v>1055</v>
      </c>
      <c r="C1686" s="36" t="s">
        <v>1056</v>
      </c>
      <c r="D1686" s="37">
        <f>SUMIF(RAW_File!D:D,C:C,RAW_File!F:F)</f>
        <v>852.89541958899997</v>
      </c>
      <c r="E1686" s="38">
        <f>SUMIF(RAW_File!D:D,C:C,RAW_File!G:G)</f>
        <v>5110</v>
      </c>
      <c r="F1686" s="39">
        <f>SUMIF(RAW_File!D:D,C:C,RAW_File!I:I)</f>
        <v>5110</v>
      </c>
      <c r="G1686" s="40">
        <f>SUMIF(RAW_File!D:D,C:C,RAW_File!K:K)</f>
        <v>5000</v>
      </c>
      <c r="H1686" s="41">
        <f>SUMIF(RAW_File!D:D,C:C,RAW_File!M:M)</f>
        <v>0</v>
      </c>
      <c r="I1686" s="40">
        <f t="shared" si="28"/>
        <v>5000</v>
      </c>
    </row>
    <row r="1687" spans="1:9" hidden="1" x14ac:dyDescent="0.25">
      <c r="A1687" s="36" t="s">
        <v>85</v>
      </c>
      <c r="B1687" s="36" t="s">
        <v>1075</v>
      </c>
      <c r="C1687" s="36" t="s">
        <v>1076</v>
      </c>
      <c r="D1687" s="37">
        <f>SUMIF(RAW_File!D:D,C:C,RAW_File!F:F)</f>
        <v>157.94142299099991</v>
      </c>
      <c r="E1687" s="38">
        <f>SUMIF(RAW_File!D:D,C:C,RAW_File!G:G)</f>
        <v>0</v>
      </c>
      <c r="F1687" s="39">
        <f>SUMIF(RAW_File!D:D,C:C,RAW_File!I:I)</f>
        <v>2700</v>
      </c>
      <c r="G1687" s="40">
        <f>SUMIF(RAW_File!D:D,C:C,RAW_File!K:K)</f>
        <v>0</v>
      </c>
      <c r="H1687" s="41">
        <f>SUMIF(RAW_File!D:D,C:C,RAW_File!M:M)</f>
        <v>17000</v>
      </c>
      <c r="I1687" s="40">
        <f t="shared" si="28"/>
        <v>17000</v>
      </c>
    </row>
    <row r="1688" spans="1:9" hidden="1" x14ac:dyDescent="0.25">
      <c r="A1688" s="36" t="s">
        <v>85</v>
      </c>
      <c r="B1688" s="36" t="s">
        <v>1312</v>
      </c>
      <c r="C1688" s="36" t="s">
        <v>1313</v>
      </c>
      <c r="D1688" s="37">
        <f>SUMIF(RAW_File!D:D,C:C,RAW_File!F:F)</f>
        <v>16582.566114575049</v>
      </c>
      <c r="E1688" s="38">
        <f>SUMIF(RAW_File!D:D,C:C,RAW_File!G:G)</f>
        <v>0</v>
      </c>
      <c r="F1688" s="39">
        <f>SUMIF(RAW_File!D:D,C:C,RAW_File!I:I)</f>
        <v>57620</v>
      </c>
      <c r="G1688" s="40">
        <f>SUMIF(RAW_File!D:D,C:C,RAW_File!K:K)</f>
        <v>0</v>
      </c>
      <c r="H1688" s="41">
        <f>SUMIF(RAW_File!D:D,C:C,RAW_File!M:M)</f>
        <v>65000</v>
      </c>
      <c r="I1688" s="40">
        <f t="shared" si="28"/>
        <v>65000</v>
      </c>
    </row>
    <row r="1689" spans="1:9" hidden="1" x14ac:dyDescent="0.25">
      <c r="A1689" s="36" t="s">
        <v>85</v>
      </c>
      <c r="B1689" s="36" t="s">
        <v>1432</v>
      </c>
      <c r="C1689" s="36" t="s">
        <v>1433</v>
      </c>
      <c r="D1689" s="37">
        <f>SUMIF(RAW_File!D:D,C:C,RAW_File!F:F)</f>
        <v>10252.449699999999</v>
      </c>
      <c r="E1689" s="38">
        <f>SUMIF(RAW_File!D:D,C:C,RAW_File!G:G)</f>
        <v>102</v>
      </c>
      <c r="F1689" s="39">
        <f>SUMIF(RAW_File!D:D,C:C,RAW_File!I:I)</f>
        <v>8562</v>
      </c>
      <c r="G1689" s="40">
        <f>SUMIF(RAW_File!D:D,C:C,RAW_File!K:K)</f>
        <v>0</v>
      </c>
      <c r="H1689" s="41">
        <f>SUMIF(RAW_File!D:D,C:C,RAW_File!M:M)</f>
        <v>6000</v>
      </c>
      <c r="I1689" s="40">
        <f t="shared" si="28"/>
        <v>6000</v>
      </c>
    </row>
    <row r="1690" spans="1:9" hidden="1" x14ac:dyDescent="0.25">
      <c r="A1690" s="36" t="s">
        <v>85</v>
      </c>
      <c r="B1690" s="36" t="s">
        <v>1526</v>
      </c>
      <c r="C1690" s="36" t="s">
        <v>1527</v>
      </c>
      <c r="D1690" s="37">
        <f>SUMIF(RAW_File!D:D,C:C,RAW_File!F:F)</f>
        <v>17905.277473226641</v>
      </c>
      <c r="E1690" s="38">
        <f>SUMIF(RAW_File!D:D,C:C,RAW_File!G:G)</f>
        <v>8000</v>
      </c>
      <c r="F1690" s="39">
        <f>SUMIF(RAW_File!D:D,C:C,RAW_File!I:I)</f>
        <v>19930</v>
      </c>
      <c r="G1690" s="40">
        <f>SUMIF(RAW_File!D:D,C:C,RAW_File!K:K)</f>
        <v>5000</v>
      </c>
      <c r="H1690" s="41">
        <f>SUMIF(RAW_File!D:D,C:C,RAW_File!M:M)</f>
        <v>0</v>
      </c>
      <c r="I1690" s="40">
        <f t="shared" si="28"/>
        <v>5000</v>
      </c>
    </row>
    <row r="1691" spans="1:9" hidden="1" x14ac:dyDescent="0.25">
      <c r="A1691" s="36" t="s">
        <v>85</v>
      </c>
      <c r="B1691" s="36" t="s">
        <v>1564</v>
      </c>
      <c r="C1691" s="36" t="s">
        <v>1565</v>
      </c>
      <c r="D1691" s="37">
        <f>SUMIF(RAW_File!D:D,C:C,RAW_File!F:F)</f>
        <v>0</v>
      </c>
      <c r="E1691" s="38">
        <f>SUMIF(RAW_File!D:D,C:C,RAW_File!G:G)</f>
        <v>0</v>
      </c>
      <c r="F1691" s="39">
        <f>SUMIF(RAW_File!D:D,C:C,RAW_File!I:I)</f>
        <v>0</v>
      </c>
      <c r="G1691" s="40">
        <f>SUMIF(RAW_File!D:D,C:C,RAW_File!K:K)</f>
        <v>0</v>
      </c>
      <c r="H1691" s="41">
        <f>SUMIF(RAW_File!D:D,C:C,RAW_File!M:M)</f>
        <v>0</v>
      </c>
      <c r="I1691" s="40">
        <f t="shared" si="28"/>
        <v>0</v>
      </c>
    </row>
    <row r="1692" spans="1:9" hidden="1" x14ac:dyDescent="0.25">
      <c r="A1692" s="36" t="s">
        <v>85</v>
      </c>
      <c r="B1692" s="36" t="s">
        <v>1682</v>
      </c>
      <c r="C1692" s="36" t="s">
        <v>1683</v>
      </c>
      <c r="D1692" s="37">
        <f>SUMIF(RAW_File!D:D,C:C,RAW_File!F:F)</f>
        <v>9953.3423000000003</v>
      </c>
      <c r="E1692" s="38">
        <f>SUMIF(RAW_File!D:D,C:C,RAW_File!G:G)</f>
        <v>0</v>
      </c>
      <c r="F1692" s="39">
        <f>SUMIF(RAW_File!D:D,C:C,RAW_File!I:I)</f>
        <v>24070</v>
      </c>
      <c r="G1692" s="40">
        <f>SUMIF(RAW_File!D:D,C:C,RAW_File!K:K)</f>
        <v>0</v>
      </c>
      <c r="H1692" s="41">
        <f>SUMIF(RAW_File!D:D,C:C,RAW_File!M:M)</f>
        <v>20000</v>
      </c>
      <c r="I1692" s="40">
        <f t="shared" si="28"/>
        <v>20000</v>
      </c>
    </row>
    <row r="1693" spans="1:9" hidden="1" x14ac:dyDescent="0.25">
      <c r="A1693" s="36" t="s">
        <v>85</v>
      </c>
      <c r="B1693" s="36" t="s">
        <v>1742</v>
      </c>
      <c r="C1693" s="36" t="s">
        <v>1743</v>
      </c>
      <c r="D1693" s="37">
        <f>SUMIF(RAW_File!D:D,C:C,RAW_File!F:F)</f>
        <v>7.5202999999999998</v>
      </c>
      <c r="E1693" s="38">
        <f>SUMIF(RAW_File!D:D,C:C,RAW_File!G:G)</f>
        <v>2598</v>
      </c>
      <c r="F1693" s="39">
        <f>SUMIF(RAW_File!D:D,C:C,RAW_File!I:I)</f>
        <v>2598</v>
      </c>
      <c r="G1693" s="40">
        <f>SUMIF(RAW_File!D:D,C:C,RAW_File!K:K)</f>
        <v>0</v>
      </c>
      <c r="H1693" s="41">
        <f>SUMIF(RAW_File!D:D,C:C,RAW_File!M:M)</f>
        <v>5000</v>
      </c>
      <c r="I1693" s="40">
        <f t="shared" si="28"/>
        <v>5000</v>
      </c>
    </row>
    <row r="1694" spans="1:9" hidden="1" x14ac:dyDescent="0.25">
      <c r="A1694" s="36" t="s">
        <v>85</v>
      </c>
      <c r="B1694" s="36" t="s">
        <v>1786</v>
      </c>
      <c r="C1694" s="36" t="s">
        <v>1787</v>
      </c>
      <c r="D1694" s="37">
        <f>SUMIF(RAW_File!D:D,C:C,RAW_File!F:F)</f>
        <v>13588.0604816467</v>
      </c>
      <c r="E1694" s="38">
        <f>SUMIF(RAW_File!D:D,C:C,RAW_File!G:G)</f>
        <v>4920</v>
      </c>
      <c r="F1694" s="39">
        <f>SUMIF(RAW_File!D:D,C:C,RAW_File!I:I)</f>
        <v>44610</v>
      </c>
      <c r="G1694" s="40">
        <f>SUMIF(RAW_File!D:D,C:C,RAW_File!K:K)</f>
        <v>0</v>
      </c>
      <c r="H1694" s="41">
        <f>SUMIF(RAW_File!D:D,C:C,RAW_File!M:M)</f>
        <v>65000</v>
      </c>
      <c r="I1694" s="40">
        <f t="shared" si="28"/>
        <v>65000</v>
      </c>
    </row>
    <row r="1695" spans="1:9" hidden="1" x14ac:dyDescent="0.25">
      <c r="A1695" s="36" t="s">
        <v>85</v>
      </c>
      <c r="B1695" s="36" t="s">
        <v>1953</v>
      </c>
      <c r="C1695" s="36" t="s">
        <v>1954</v>
      </c>
      <c r="D1695" s="37">
        <f>SUMIF(RAW_File!D:D,C:C,RAW_File!F:F)</f>
        <v>8432.6206629999997</v>
      </c>
      <c r="E1695" s="38">
        <f>SUMIF(RAW_File!D:D,C:C,RAW_File!G:G)</f>
        <v>100</v>
      </c>
      <c r="F1695" s="39">
        <f>SUMIF(RAW_File!D:D,C:C,RAW_File!I:I)</f>
        <v>8100</v>
      </c>
      <c r="G1695" s="40">
        <f>SUMIF(RAW_File!D:D,C:C,RAW_File!K:K)</f>
        <v>6000</v>
      </c>
      <c r="H1695" s="41">
        <f>SUMIF(RAW_File!D:D,C:C,RAW_File!M:M)</f>
        <v>0</v>
      </c>
      <c r="I1695" s="40">
        <f t="shared" si="28"/>
        <v>6000</v>
      </c>
    </row>
    <row r="1696" spans="1:9" hidden="1" x14ac:dyDescent="0.25">
      <c r="A1696" s="36" t="s">
        <v>85</v>
      </c>
      <c r="B1696" s="36" t="s">
        <v>1998</v>
      </c>
      <c r="C1696" s="42" t="s">
        <v>1999</v>
      </c>
      <c r="D1696" s="37">
        <f>SUMIF(RAW_File!D:D,C:C,RAW_File!F:F)</f>
        <v>1010.2039720017</v>
      </c>
      <c r="E1696" s="38">
        <f>SUMIF(RAW_File!D:D,C:C,RAW_File!G:G)</f>
        <v>600</v>
      </c>
      <c r="F1696" s="39">
        <f>SUMIF(RAW_File!D:D,C:C,RAW_File!I:I)</f>
        <v>600</v>
      </c>
      <c r="G1696" s="40">
        <f>SUMIF(RAW_File!D:D,C:C,RAW_File!K:K)</f>
        <v>0</v>
      </c>
      <c r="H1696" s="41">
        <f>SUMIF(RAW_File!D:D,C:C,RAW_File!M:M)</f>
        <v>9000</v>
      </c>
      <c r="I1696" s="40">
        <f t="shared" si="28"/>
        <v>9000</v>
      </c>
    </row>
    <row r="1697" spans="1:9" hidden="1" x14ac:dyDescent="0.25">
      <c r="A1697" s="36" t="s">
        <v>85</v>
      </c>
      <c r="B1697" s="36" t="s">
        <v>2000</v>
      </c>
      <c r="C1697" s="36" t="s">
        <v>2001</v>
      </c>
      <c r="D1697" s="37">
        <f>SUMIF(RAW_File!D:D,C:C,RAW_File!F:F)</f>
        <v>7121.7479000000003</v>
      </c>
      <c r="E1697" s="38">
        <f>SUMIF(RAW_File!D:D,C:C,RAW_File!G:G)</f>
        <v>2820</v>
      </c>
      <c r="F1697" s="39">
        <f>SUMIF(RAW_File!D:D,C:C,RAW_File!I:I)</f>
        <v>15050</v>
      </c>
      <c r="G1697" s="40">
        <f>SUMIF(RAW_File!D:D,C:C,RAW_File!K:K)</f>
        <v>5000</v>
      </c>
      <c r="H1697" s="41">
        <f>SUMIF(RAW_File!D:D,C:C,RAW_File!M:M)</f>
        <v>10000</v>
      </c>
      <c r="I1697" s="40">
        <f t="shared" si="28"/>
        <v>5000</v>
      </c>
    </row>
    <row r="1698" spans="1:9" hidden="1" x14ac:dyDescent="0.25">
      <c r="A1698" s="36" t="s">
        <v>85</v>
      </c>
      <c r="B1698" s="36" t="s">
        <v>2123</v>
      </c>
      <c r="C1698" s="36" t="s">
        <v>2124</v>
      </c>
      <c r="D1698" s="37">
        <f>SUMIF(RAW_File!D:D,C:C,RAW_File!F:F)</f>
        <v>2652.9477734774309</v>
      </c>
      <c r="E1698" s="38">
        <f>SUMIF(RAW_File!D:D,C:C,RAW_File!G:G)</f>
        <v>425</v>
      </c>
      <c r="F1698" s="39">
        <f>SUMIF(RAW_File!D:D,C:C,RAW_File!I:I)</f>
        <v>3025</v>
      </c>
      <c r="G1698" s="40">
        <f>SUMIF(RAW_File!D:D,C:C,RAW_File!K:K)</f>
        <v>0</v>
      </c>
      <c r="H1698" s="41">
        <f>SUMIF(RAW_File!D:D,C:C,RAW_File!M:M)</f>
        <v>45000</v>
      </c>
      <c r="I1698" s="40">
        <f t="shared" si="28"/>
        <v>45000</v>
      </c>
    </row>
    <row r="1699" spans="1:9" hidden="1" x14ac:dyDescent="0.25">
      <c r="A1699" s="36" t="s">
        <v>85</v>
      </c>
      <c r="B1699" s="36" t="s">
        <v>2145</v>
      </c>
      <c r="C1699" s="36" t="s">
        <v>2146</v>
      </c>
      <c r="D1699" s="37">
        <f>SUMIF(RAW_File!D:D,C:C,RAW_File!F:F)</f>
        <v>2841.39180590359</v>
      </c>
      <c r="E1699" s="38">
        <f>SUMIF(RAW_File!D:D,C:C,RAW_File!G:G)</f>
        <v>8180</v>
      </c>
      <c r="F1699" s="39">
        <f>SUMIF(RAW_File!D:D,C:C,RAW_File!I:I)</f>
        <v>11860</v>
      </c>
      <c r="G1699" s="40">
        <f>SUMIF(RAW_File!D:D,C:C,RAW_File!K:K)</f>
        <v>0</v>
      </c>
      <c r="H1699" s="41">
        <f>SUMIF(RAW_File!D:D,C:C,RAW_File!M:M)</f>
        <v>5000</v>
      </c>
      <c r="I1699" s="40">
        <f t="shared" si="28"/>
        <v>5000</v>
      </c>
    </row>
    <row r="1700" spans="1:9" hidden="1" x14ac:dyDescent="0.25">
      <c r="A1700" s="36" t="s">
        <v>85</v>
      </c>
      <c r="B1700" s="36" t="s">
        <v>2223</v>
      </c>
      <c r="C1700" s="36" t="s">
        <v>2224</v>
      </c>
      <c r="D1700" s="37">
        <f>SUMIF(RAW_File!D:D,C:C,RAW_File!F:F)</f>
        <v>7965.0051000000003</v>
      </c>
      <c r="E1700" s="38">
        <f>SUMIF(RAW_File!D:D,C:C,RAW_File!G:G)</f>
        <v>830</v>
      </c>
      <c r="F1700" s="39">
        <f>SUMIF(RAW_File!D:D,C:C,RAW_File!I:I)</f>
        <v>3020</v>
      </c>
      <c r="G1700" s="40">
        <f>SUMIF(RAW_File!D:D,C:C,RAW_File!K:K)</f>
        <v>5000</v>
      </c>
      <c r="H1700" s="41">
        <f>SUMIF(RAW_File!D:D,C:C,RAW_File!M:M)</f>
        <v>0</v>
      </c>
      <c r="I1700" s="40">
        <f t="shared" si="28"/>
        <v>5000</v>
      </c>
    </row>
    <row r="1701" spans="1:9" hidden="1" x14ac:dyDescent="0.25">
      <c r="A1701" s="36" t="s">
        <v>85</v>
      </c>
      <c r="B1701" s="36" t="s">
        <v>2227</v>
      </c>
      <c r="C1701" s="36" t="s">
        <v>2228</v>
      </c>
      <c r="D1701" s="37">
        <f>SUMIF(RAW_File!D:D,C:C,RAW_File!F:F)</f>
        <v>1.488550002</v>
      </c>
      <c r="E1701" s="38">
        <f>SUMIF(RAW_File!D:D,C:C,RAW_File!G:G)</f>
        <v>6030</v>
      </c>
      <c r="F1701" s="39">
        <f>SUMIF(RAW_File!D:D,C:C,RAW_File!I:I)</f>
        <v>6030</v>
      </c>
      <c r="G1701" s="40">
        <f>SUMIF(RAW_File!D:D,C:C,RAW_File!K:K)</f>
        <v>6000</v>
      </c>
      <c r="H1701" s="41">
        <f>SUMIF(RAW_File!D:D,C:C,RAW_File!M:M)</f>
        <v>0</v>
      </c>
      <c r="I1701" s="40">
        <f t="shared" si="28"/>
        <v>6000</v>
      </c>
    </row>
    <row r="1702" spans="1:9" hidden="1" x14ac:dyDescent="0.25">
      <c r="A1702" s="36" t="s">
        <v>85</v>
      </c>
      <c r="B1702" s="36" t="s">
        <v>881</v>
      </c>
      <c r="C1702" s="36" t="s">
        <v>2251</v>
      </c>
      <c r="D1702" s="37">
        <f>SUMIF(RAW_File!D:D,C:C,RAW_File!F:F)</f>
        <v>22842.62648199503</v>
      </c>
      <c r="E1702" s="38">
        <f>SUMIF(RAW_File!D:D,C:C,RAW_File!G:G)</f>
        <v>4240</v>
      </c>
      <c r="F1702" s="39">
        <f>SUMIF(RAW_File!D:D,C:C,RAW_File!I:I)</f>
        <v>18490</v>
      </c>
      <c r="G1702" s="40">
        <f>SUMIF(RAW_File!D:D,C:C,RAW_File!K:K)</f>
        <v>5000</v>
      </c>
      <c r="H1702" s="41">
        <f>SUMIF(RAW_File!D:D,C:C,RAW_File!M:M)</f>
        <v>0</v>
      </c>
      <c r="I1702" s="40">
        <f t="shared" si="28"/>
        <v>5000</v>
      </c>
    </row>
    <row r="1703" spans="1:9" hidden="1" x14ac:dyDescent="0.25">
      <c r="A1703" s="36" t="s">
        <v>85</v>
      </c>
      <c r="B1703" s="36" t="s">
        <v>2262</v>
      </c>
      <c r="C1703" s="36" t="s">
        <v>2263</v>
      </c>
      <c r="D1703" s="37">
        <f>SUMIF(RAW_File!D:D,C:C,RAW_File!F:F)</f>
        <v>26.643426268268289</v>
      </c>
      <c r="E1703" s="38">
        <f>SUMIF(RAW_File!D:D,C:C,RAW_File!G:G)</f>
        <v>0</v>
      </c>
      <c r="F1703" s="39">
        <f>SUMIF(RAW_File!D:D,C:C,RAW_File!I:I)</f>
        <v>0</v>
      </c>
      <c r="G1703" s="40">
        <f>SUMIF(RAW_File!D:D,C:C,RAW_File!K:K)</f>
        <v>0</v>
      </c>
      <c r="H1703" s="41">
        <f>SUMIF(RAW_File!D:D,C:C,RAW_File!M:M)</f>
        <v>0</v>
      </c>
      <c r="I1703" s="40">
        <f t="shared" si="28"/>
        <v>0</v>
      </c>
    </row>
    <row r="1704" spans="1:9" hidden="1" x14ac:dyDescent="0.25">
      <c r="A1704" s="36" t="s">
        <v>85</v>
      </c>
      <c r="B1704" s="36" t="s">
        <v>2331</v>
      </c>
      <c r="C1704" s="36" t="s">
        <v>2332</v>
      </c>
      <c r="D1704" s="37">
        <f>SUMIF(RAW_File!D:D,C:C,RAW_File!F:F)</f>
        <v>47550.022944757431</v>
      </c>
      <c r="E1704" s="38">
        <f>SUMIF(RAW_File!D:D,C:C,RAW_File!G:G)</f>
        <v>34350</v>
      </c>
      <c r="F1704" s="39">
        <f>SUMIF(RAW_File!D:D,C:C,RAW_File!I:I)</f>
        <v>73320</v>
      </c>
      <c r="G1704" s="40">
        <f>SUMIF(RAW_File!D:D,C:C,RAW_File!K:K)</f>
        <v>5000</v>
      </c>
      <c r="H1704" s="41">
        <f>SUMIF(RAW_File!D:D,C:C,RAW_File!M:M)</f>
        <v>115000</v>
      </c>
      <c r="I1704" s="40">
        <f t="shared" si="28"/>
        <v>110000</v>
      </c>
    </row>
    <row r="1705" spans="1:9" hidden="1" x14ac:dyDescent="0.25">
      <c r="A1705" s="36" t="s">
        <v>85</v>
      </c>
      <c r="B1705" s="36" t="s">
        <v>2383</v>
      </c>
      <c r="C1705" s="36" t="s">
        <v>2384</v>
      </c>
      <c r="D1705" s="37">
        <f>SUMIF(RAW_File!D:D,C:C,RAW_File!F:F)</f>
        <v>316.01119240207652</v>
      </c>
      <c r="E1705" s="38">
        <f>SUMIF(RAW_File!D:D,C:C,RAW_File!G:G)</f>
        <v>4000</v>
      </c>
      <c r="F1705" s="39">
        <f>SUMIF(RAW_File!D:D,C:C,RAW_File!I:I)</f>
        <v>13435</v>
      </c>
      <c r="G1705" s="40">
        <f>SUMIF(RAW_File!D:D,C:C,RAW_File!K:K)</f>
        <v>0</v>
      </c>
      <c r="H1705" s="41">
        <f>SUMIF(RAW_File!D:D,C:C,RAW_File!M:M)</f>
        <v>9000</v>
      </c>
      <c r="I1705" s="40">
        <f t="shared" si="28"/>
        <v>9000</v>
      </c>
    </row>
    <row r="1706" spans="1:9" hidden="1" x14ac:dyDescent="0.25">
      <c r="A1706" s="36" t="s">
        <v>85</v>
      </c>
      <c r="B1706" s="36" t="s">
        <v>2479</v>
      </c>
      <c r="C1706" s="36" t="s">
        <v>2480</v>
      </c>
      <c r="D1706" s="37">
        <f>SUMIF(RAW_File!D:D,C:C,RAW_File!F:F)</f>
        <v>6935.9490999999998</v>
      </c>
      <c r="E1706" s="38">
        <f>SUMIF(RAW_File!D:D,C:C,RAW_File!G:G)</f>
        <v>27760</v>
      </c>
      <c r="F1706" s="39">
        <f>SUMIF(RAW_File!D:D,C:C,RAW_File!I:I)</f>
        <v>103700</v>
      </c>
      <c r="G1706" s="40">
        <f>SUMIF(RAW_File!D:D,C:C,RAW_File!K:K)</f>
        <v>15000</v>
      </c>
      <c r="H1706" s="41">
        <f>SUMIF(RAW_File!D:D,C:C,RAW_File!M:M)</f>
        <v>85000</v>
      </c>
      <c r="I1706" s="40">
        <f t="shared" si="28"/>
        <v>70000</v>
      </c>
    </row>
    <row r="1707" spans="1:9" hidden="1" x14ac:dyDescent="0.25">
      <c r="A1707" s="36" t="s">
        <v>85</v>
      </c>
      <c r="B1707" s="36" t="s">
        <v>2573</v>
      </c>
      <c r="C1707" s="36" t="s">
        <v>2574</v>
      </c>
      <c r="D1707" s="37">
        <f>SUMIF(RAW_File!D:D,C:C,RAW_File!F:F)</f>
        <v>17412.212824927759</v>
      </c>
      <c r="E1707" s="38">
        <f>SUMIF(RAW_File!D:D,C:C,RAW_File!G:G)</f>
        <v>3660</v>
      </c>
      <c r="F1707" s="39">
        <f>SUMIF(RAW_File!D:D,C:C,RAW_File!I:I)</f>
        <v>39780</v>
      </c>
      <c r="G1707" s="40">
        <f>SUMIF(RAW_File!D:D,C:C,RAW_File!K:K)</f>
        <v>0</v>
      </c>
      <c r="H1707" s="41">
        <f>SUMIF(RAW_File!D:D,C:C,RAW_File!M:M)</f>
        <v>30000</v>
      </c>
      <c r="I1707" s="40">
        <f t="shared" si="28"/>
        <v>30000</v>
      </c>
    </row>
    <row r="1708" spans="1:9" hidden="1" x14ac:dyDescent="0.25">
      <c r="A1708" s="36" t="s">
        <v>85</v>
      </c>
      <c r="B1708" s="36" t="s">
        <v>145</v>
      </c>
      <c r="C1708" s="36" t="s">
        <v>2579</v>
      </c>
      <c r="D1708" s="37">
        <f>SUMIF(RAW_File!D:D,C:C,RAW_File!F:F)</f>
        <v>17711.6888</v>
      </c>
      <c r="E1708" s="38">
        <f>SUMIF(RAW_File!D:D,C:C,RAW_File!G:G)</f>
        <v>1350</v>
      </c>
      <c r="F1708" s="39">
        <f>SUMIF(RAW_File!D:D,C:C,RAW_File!I:I)</f>
        <v>8085</v>
      </c>
      <c r="G1708" s="40">
        <f>SUMIF(RAW_File!D:D,C:C,RAW_File!K:K)</f>
        <v>0</v>
      </c>
      <c r="H1708" s="41">
        <f>SUMIF(RAW_File!D:D,C:C,RAW_File!M:M)</f>
        <v>30000</v>
      </c>
      <c r="I1708" s="40">
        <f t="shared" si="28"/>
        <v>30000</v>
      </c>
    </row>
    <row r="1709" spans="1:9" hidden="1" x14ac:dyDescent="0.25">
      <c r="A1709" s="36" t="s">
        <v>85</v>
      </c>
      <c r="B1709" s="36" t="s">
        <v>2748</v>
      </c>
      <c r="C1709" s="36" t="s">
        <v>2749</v>
      </c>
      <c r="D1709" s="37">
        <f>SUMIF(RAW_File!D:D,C:C,RAW_File!F:F)</f>
        <v>6872.2097080815274</v>
      </c>
      <c r="E1709" s="38">
        <f>SUMIF(RAW_File!D:D,C:C,RAW_File!G:G)</f>
        <v>0</v>
      </c>
      <c r="F1709" s="39">
        <f>SUMIF(RAW_File!D:D,C:C,RAW_File!I:I)</f>
        <v>0</v>
      </c>
      <c r="G1709" s="40">
        <f>SUMIF(RAW_File!D:D,C:C,RAW_File!K:K)</f>
        <v>6000</v>
      </c>
      <c r="H1709" s="41">
        <f>SUMIF(RAW_File!D:D,C:C,RAW_File!M:M)</f>
        <v>0</v>
      </c>
      <c r="I1709" s="40">
        <f t="shared" si="28"/>
        <v>6000</v>
      </c>
    </row>
    <row r="1710" spans="1:9" hidden="1" x14ac:dyDescent="0.25">
      <c r="A1710" s="36" t="s">
        <v>85</v>
      </c>
      <c r="B1710" s="36" t="s">
        <v>2758</v>
      </c>
      <c r="C1710" s="36" t="s">
        <v>2759</v>
      </c>
      <c r="D1710" s="37">
        <f>SUMIF(RAW_File!D:D,C:C,RAW_File!F:F)</f>
        <v>7746.9279867664673</v>
      </c>
      <c r="E1710" s="38">
        <f>SUMIF(RAW_File!D:D,C:C,RAW_File!G:G)</f>
        <v>350</v>
      </c>
      <c r="F1710" s="39">
        <f>SUMIF(RAW_File!D:D,C:C,RAW_File!I:I)</f>
        <v>10950</v>
      </c>
      <c r="G1710" s="40">
        <f>SUMIF(RAW_File!D:D,C:C,RAW_File!K:K)</f>
        <v>0</v>
      </c>
      <c r="H1710" s="41">
        <f>SUMIF(RAW_File!D:D,C:C,RAW_File!M:M)</f>
        <v>10000</v>
      </c>
      <c r="I1710" s="40">
        <f t="shared" si="28"/>
        <v>10000</v>
      </c>
    </row>
    <row r="1711" spans="1:9" hidden="1" x14ac:dyDescent="0.25">
      <c r="A1711" s="36" t="s">
        <v>85</v>
      </c>
      <c r="B1711" s="36" t="s">
        <v>2824</v>
      </c>
      <c r="C1711" s="36" t="s">
        <v>2825</v>
      </c>
      <c r="D1711" s="37">
        <f>SUMIF(RAW_File!D:D,C:C,RAW_File!F:F)</f>
        <v>58.064100000000003</v>
      </c>
      <c r="E1711" s="38">
        <f>SUMIF(RAW_File!D:D,C:C,RAW_File!G:G)</f>
        <v>500</v>
      </c>
      <c r="F1711" s="39">
        <f>SUMIF(RAW_File!D:D,C:C,RAW_File!I:I)</f>
        <v>4450</v>
      </c>
      <c r="G1711" s="40">
        <f>SUMIF(RAW_File!D:D,C:C,RAW_File!K:K)</f>
        <v>0</v>
      </c>
      <c r="H1711" s="41">
        <f>SUMIF(RAW_File!D:D,C:C,RAW_File!M:M)</f>
        <v>5000</v>
      </c>
      <c r="I1711" s="40">
        <f t="shared" si="28"/>
        <v>5000</v>
      </c>
    </row>
    <row r="1712" spans="1:9" hidden="1" x14ac:dyDescent="0.25">
      <c r="A1712" s="36" t="s">
        <v>85</v>
      </c>
      <c r="B1712" s="36" t="s">
        <v>2890</v>
      </c>
      <c r="C1712" s="36" t="s">
        <v>2891</v>
      </c>
      <c r="D1712" s="37">
        <f>SUMIF(RAW_File!D:D,C:C,RAW_File!F:F)</f>
        <v>14886.85347458238</v>
      </c>
      <c r="E1712" s="38">
        <f>SUMIF(RAW_File!D:D,C:C,RAW_File!G:G)</f>
        <v>15400</v>
      </c>
      <c r="F1712" s="39">
        <f>SUMIF(RAW_File!D:D,C:C,RAW_File!I:I)</f>
        <v>28060</v>
      </c>
      <c r="G1712" s="40">
        <f>SUMIF(RAW_File!D:D,C:C,RAW_File!K:K)</f>
        <v>10000</v>
      </c>
      <c r="H1712" s="41">
        <f>SUMIF(RAW_File!D:D,C:C,RAW_File!M:M)</f>
        <v>0</v>
      </c>
      <c r="I1712" s="40">
        <f t="shared" si="28"/>
        <v>10000</v>
      </c>
    </row>
    <row r="1713" spans="1:9" hidden="1" x14ac:dyDescent="0.25">
      <c r="A1713" s="36" t="s">
        <v>85</v>
      </c>
      <c r="B1713" s="36" t="s">
        <v>2951</v>
      </c>
      <c r="C1713" s="36" t="s">
        <v>2952</v>
      </c>
      <c r="D1713" s="37">
        <f>SUMIF(RAW_File!D:D,C:C,RAW_File!F:F)</f>
        <v>0.90298029351810905</v>
      </c>
      <c r="E1713" s="38">
        <f>SUMIF(RAW_File!D:D,C:C,RAW_File!G:G)</f>
        <v>0</v>
      </c>
      <c r="F1713" s="39">
        <f>SUMIF(RAW_File!D:D,C:C,RAW_File!I:I)</f>
        <v>0</v>
      </c>
      <c r="G1713" s="40">
        <f>SUMIF(RAW_File!D:D,C:C,RAW_File!K:K)</f>
        <v>0</v>
      </c>
      <c r="H1713" s="41">
        <f>SUMIF(RAW_File!D:D,C:C,RAW_File!M:M)</f>
        <v>0</v>
      </c>
      <c r="I1713" s="40">
        <f t="shared" si="28"/>
        <v>0</v>
      </c>
    </row>
    <row r="1714" spans="1:9" hidden="1" x14ac:dyDescent="0.25">
      <c r="A1714" s="36" t="s">
        <v>85</v>
      </c>
      <c r="B1714" s="36" t="s">
        <v>887</v>
      </c>
      <c r="C1714" s="36" t="s">
        <v>2958</v>
      </c>
      <c r="D1714" s="37">
        <f>SUMIF(RAW_File!D:D,C:C,RAW_File!F:F)</f>
        <v>9611.7640374091789</v>
      </c>
      <c r="E1714" s="38">
        <f>SUMIF(RAW_File!D:D,C:C,RAW_File!G:G)</f>
        <v>310</v>
      </c>
      <c r="F1714" s="39">
        <f>SUMIF(RAW_File!D:D,C:C,RAW_File!I:I)</f>
        <v>10030</v>
      </c>
      <c r="G1714" s="40">
        <f>SUMIF(RAW_File!D:D,C:C,RAW_File!K:K)</f>
        <v>0</v>
      </c>
      <c r="H1714" s="41">
        <f>SUMIF(RAW_File!D:D,C:C,RAW_File!M:M)</f>
        <v>66000</v>
      </c>
      <c r="I1714" s="40">
        <f t="shared" si="28"/>
        <v>66000</v>
      </c>
    </row>
    <row r="1715" spans="1:9" hidden="1" x14ac:dyDescent="0.25">
      <c r="A1715" s="36" t="s">
        <v>85</v>
      </c>
      <c r="B1715" s="36" t="s">
        <v>3016</v>
      </c>
      <c r="C1715" s="36" t="s">
        <v>3017</v>
      </c>
      <c r="D1715" s="37">
        <f>SUMIF(RAW_File!D:D,C:C,RAW_File!F:F)</f>
        <v>21242.268381008689</v>
      </c>
      <c r="E1715" s="38">
        <f>SUMIF(RAW_File!D:D,C:C,RAW_File!G:G)</f>
        <v>200</v>
      </c>
      <c r="F1715" s="39">
        <f>SUMIF(RAW_File!D:D,C:C,RAW_File!I:I)</f>
        <v>17190</v>
      </c>
      <c r="G1715" s="40">
        <f>SUMIF(RAW_File!D:D,C:C,RAW_File!K:K)</f>
        <v>0</v>
      </c>
      <c r="H1715" s="41">
        <f>SUMIF(RAW_File!D:D,C:C,RAW_File!M:M)</f>
        <v>20000</v>
      </c>
      <c r="I1715" s="40">
        <f t="shared" si="28"/>
        <v>20000</v>
      </c>
    </row>
    <row r="1716" spans="1:9" hidden="1" x14ac:dyDescent="0.25">
      <c r="A1716" s="36" t="s">
        <v>85</v>
      </c>
      <c r="B1716" s="36" t="s">
        <v>3159</v>
      </c>
      <c r="C1716" s="36" t="s">
        <v>3160</v>
      </c>
      <c r="D1716" s="37">
        <f>SUMIF(RAW_File!D:D,C:C,RAW_File!F:F)</f>
        <v>2055.305714132312</v>
      </c>
      <c r="E1716" s="38">
        <f>SUMIF(RAW_File!D:D,C:C,RAW_File!G:G)</f>
        <v>19000</v>
      </c>
      <c r="F1716" s="39">
        <f>SUMIF(RAW_File!D:D,C:C,RAW_File!I:I)</f>
        <v>34900</v>
      </c>
      <c r="G1716" s="40">
        <f>SUMIF(RAW_File!D:D,C:C,RAW_File!K:K)</f>
        <v>10000</v>
      </c>
      <c r="H1716" s="41">
        <f>SUMIF(RAW_File!D:D,C:C,RAW_File!M:M)</f>
        <v>15000</v>
      </c>
      <c r="I1716" s="40">
        <f t="shared" si="28"/>
        <v>5000</v>
      </c>
    </row>
    <row r="1717" spans="1:9" hidden="1" x14ac:dyDescent="0.25">
      <c r="A1717" s="36" t="s">
        <v>85</v>
      </c>
      <c r="B1717" s="36" t="s">
        <v>3177</v>
      </c>
      <c r="C1717" s="36" t="s">
        <v>3178</v>
      </c>
      <c r="D1717" s="37">
        <f>SUMIF(RAW_File!D:D,C:C,RAW_File!F:F)</f>
        <v>4107.1183071366204</v>
      </c>
      <c r="E1717" s="38">
        <f>SUMIF(RAW_File!D:D,C:C,RAW_File!G:G)</f>
        <v>8560</v>
      </c>
      <c r="F1717" s="39">
        <f>SUMIF(RAW_File!D:D,C:C,RAW_File!I:I)</f>
        <v>13260</v>
      </c>
      <c r="G1717" s="40">
        <f>SUMIF(RAW_File!D:D,C:C,RAW_File!K:K)</f>
        <v>5000</v>
      </c>
      <c r="H1717" s="41">
        <f>SUMIF(RAW_File!D:D,C:C,RAW_File!M:M)</f>
        <v>0</v>
      </c>
      <c r="I1717" s="40">
        <f t="shared" si="28"/>
        <v>5000</v>
      </c>
    </row>
    <row r="1718" spans="1:9" hidden="1" x14ac:dyDescent="0.25">
      <c r="A1718" s="36" t="s">
        <v>85</v>
      </c>
      <c r="B1718" s="36" t="s">
        <v>3193</v>
      </c>
      <c r="C1718" s="36" t="s">
        <v>3194</v>
      </c>
      <c r="D1718" s="37">
        <f>SUMIF(RAW_File!D:D,C:C,RAW_File!F:F)</f>
        <v>12754.476114234911</v>
      </c>
      <c r="E1718" s="38">
        <f>SUMIF(RAW_File!D:D,C:C,RAW_File!G:G)</f>
        <v>0</v>
      </c>
      <c r="F1718" s="39">
        <f>SUMIF(RAW_File!D:D,C:C,RAW_File!I:I)</f>
        <v>0</v>
      </c>
      <c r="G1718" s="40">
        <f>SUMIF(RAW_File!D:D,C:C,RAW_File!K:K)</f>
        <v>5000</v>
      </c>
      <c r="H1718" s="41">
        <f>SUMIF(RAW_File!D:D,C:C,RAW_File!M:M)</f>
        <v>0</v>
      </c>
      <c r="I1718" s="40">
        <f t="shared" si="28"/>
        <v>5000</v>
      </c>
    </row>
    <row r="1719" spans="1:9" hidden="1" x14ac:dyDescent="0.25">
      <c r="A1719" s="36" t="s">
        <v>85</v>
      </c>
      <c r="B1719" s="36" t="s">
        <v>3248</v>
      </c>
      <c r="C1719" s="36" t="s">
        <v>3249</v>
      </c>
      <c r="D1719" s="37">
        <f>SUMIF(RAW_File!D:D,C:C,RAW_File!F:F)</f>
        <v>23551.44449275154</v>
      </c>
      <c r="E1719" s="38">
        <f>SUMIF(RAW_File!D:D,C:C,RAW_File!G:G)</f>
        <v>2100</v>
      </c>
      <c r="F1719" s="39">
        <f>SUMIF(RAW_File!D:D,C:C,RAW_File!I:I)</f>
        <v>80045</v>
      </c>
      <c r="G1719" s="40">
        <f>SUMIF(RAW_File!D:D,C:C,RAW_File!K:K)</f>
        <v>0</v>
      </c>
      <c r="H1719" s="41">
        <f>SUMIF(RAW_File!D:D,C:C,RAW_File!M:M)</f>
        <v>100000</v>
      </c>
      <c r="I1719" s="40">
        <f t="shared" si="28"/>
        <v>100000</v>
      </c>
    </row>
    <row r="1720" spans="1:9" hidden="1" x14ac:dyDescent="0.25">
      <c r="A1720" s="36" t="s">
        <v>85</v>
      </c>
      <c r="B1720" s="36" t="s">
        <v>3266</v>
      </c>
      <c r="C1720" s="36" t="s">
        <v>3267</v>
      </c>
      <c r="D1720" s="37">
        <f>SUMIF(RAW_File!D:D,C:C,RAW_File!F:F)</f>
        <v>695.76224230546745</v>
      </c>
      <c r="E1720" s="38">
        <f>SUMIF(RAW_File!D:D,C:C,RAW_File!G:G)</f>
        <v>2010</v>
      </c>
      <c r="F1720" s="39">
        <f>SUMIF(RAW_File!D:D,C:C,RAW_File!I:I)</f>
        <v>27710</v>
      </c>
      <c r="G1720" s="40">
        <f>SUMIF(RAW_File!D:D,C:C,RAW_File!K:K)</f>
        <v>0</v>
      </c>
      <c r="H1720" s="41">
        <f>SUMIF(RAW_File!D:D,C:C,RAW_File!M:M)</f>
        <v>30000</v>
      </c>
      <c r="I1720" s="40">
        <f t="shared" si="28"/>
        <v>30000</v>
      </c>
    </row>
    <row r="1721" spans="1:9" hidden="1" x14ac:dyDescent="0.25">
      <c r="A1721" s="61" t="s">
        <v>85</v>
      </c>
      <c r="B1721" s="61" t="s">
        <v>1456</v>
      </c>
      <c r="C1721" s="61" t="s">
        <v>3391</v>
      </c>
      <c r="D1721" s="62">
        <f>SUMIF(RAW_File!D:D,C:C,RAW_File!F:F)</f>
        <v>13891.8799</v>
      </c>
      <c r="E1721" s="38">
        <f>SUMIF(RAW_File!D:D,C:C,RAW_File!G:G)</f>
        <v>2800</v>
      </c>
      <c r="F1721" s="39">
        <f>SUMIF(RAW_File!D:D,C:C,RAW_File!I:I)</f>
        <v>5100</v>
      </c>
      <c r="G1721" s="40">
        <f>SUMIF(RAW_File!D:D,C:C,RAW_File!K:K)</f>
        <v>0</v>
      </c>
      <c r="H1721" s="41">
        <f>SUMIF(RAW_File!D:D,C:C,RAW_File!M:M)</f>
        <v>5000</v>
      </c>
      <c r="I1721" s="40">
        <f t="shared" si="28"/>
        <v>5000</v>
      </c>
    </row>
    <row r="1722" spans="1:9" hidden="1" x14ac:dyDescent="0.25">
      <c r="A1722" s="36" t="s">
        <v>85</v>
      </c>
      <c r="B1722" s="36" t="s">
        <v>3412</v>
      </c>
      <c r="C1722" s="36" t="s">
        <v>3413</v>
      </c>
      <c r="D1722" s="37">
        <f>SUMIF(RAW_File!D:D,C:C,RAW_File!F:F)</f>
        <v>24277.90805103612</v>
      </c>
      <c r="E1722" s="60">
        <f>SUMIF(RAW_File!D:D,C:C,RAW_File!G:G)</f>
        <v>9100</v>
      </c>
      <c r="F1722" s="39">
        <f>SUMIF(RAW_File!D:D,C:C,RAW_File!I:I)</f>
        <v>32960</v>
      </c>
      <c r="G1722" s="40">
        <f>SUMIF(RAW_File!D:D,C:C,RAW_File!K:K)</f>
        <v>0</v>
      </c>
      <c r="H1722" s="41">
        <f>SUMIF(RAW_File!D:D,C:C,RAW_File!M:M)</f>
        <v>60000</v>
      </c>
      <c r="I1722" s="40">
        <f t="shared" si="28"/>
        <v>60000</v>
      </c>
    </row>
    <row r="1723" spans="1:9" x14ac:dyDescent="0.25">
      <c r="A1723" s="36" t="s">
        <v>72</v>
      </c>
      <c r="B1723" s="36" t="s">
        <v>250</v>
      </c>
      <c r="C1723" s="36" t="s">
        <v>251</v>
      </c>
      <c r="D1723" s="37">
        <f>SUMIF(RAW_File!D:D,C:C,RAW_File!F:F)</f>
        <v>1.0929999145646989</v>
      </c>
      <c r="E1723" s="60">
        <f>SUMIF(RAW_File!D:D,C:C,RAW_File!G:G)</f>
        <v>0</v>
      </c>
      <c r="F1723" s="39">
        <f>SUMIF(RAW_File!D:D,C:C,RAW_File!I:I)</f>
        <v>0</v>
      </c>
      <c r="G1723" s="40">
        <f>SUMIF(RAW_File!D:D,C:C,RAW_File!K:K)</f>
        <v>0</v>
      </c>
      <c r="H1723" s="41">
        <f>SUMIF(RAW_File!D:D,C:C,RAW_File!M:M)</f>
        <v>0</v>
      </c>
      <c r="I1723" s="40">
        <f>ABS(G1723-H1723)</f>
        <v>0</v>
      </c>
    </row>
    <row r="1724" spans="1:9" x14ac:dyDescent="0.25">
      <c r="A1724" s="36" t="s">
        <v>72</v>
      </c>
      <c r="B1724" s="36" t="s">
        <v>254</v>
      </c>
      <c r="C1724" s="36" t="s">
        <v>255</v>
      </c>
      <c r="D1724" s="37">
        <f>SUMIF(RAW_File!D:D,C:C,RAW_File!F:F)</f>
        <v>22.373281388576991</v>
      </c>
      <c r="E1724" s="60">
        <f>SUMIF(RAW_File!D:D,C:C,RAW_File!G:G)</f>
        <v>0</v>
      </c>
      <c r="F1724" s="39">
        <f>SUMIF(RAW_File!D:D,C:C,RAW_File!I:I)</f>
        <v>0</v>
      </c>
      <c r="G1724" s="40">
        <f>SUMIF(RAW_File!D:D,C:C,RAW_File!K:K)</f>
        <v>0</v>
      </c>
      <c r="H1724" s="41">
        <f>SUMIF(RAW_File!D:D,C:C,RAW_File!M:M)</f>
        <v>0</v>
      </c>
      <c r="I1724" s="40">
        <f>ABS(G1724-H1724)</f>
        <v>0</v>
      </c>
    </row>
    <row r="1725" spans="1:9" x14ac:dyDescent="0.25">
      <c r="A1725" s="36" t="s">
        <v>72</v>
      </c>
      <c r="B1725" s="36" t="s">
        <v>451</v>
      </c>
      <c r="C1725" s="36" t="s">
        <v>452</v>
      </c>
      <c r="D1725" s="37">
        <f>SUMIF(RAW_File!D:D,C:C,RAW_File!F:F)</f>
        <v>2141.6059</v>
      </c>
      <c r="E1725" s="60">
        <f>SUMIF(RAW_File!D:D,C:C,RAW_File!G:G)</f>
        <v>0</v>
      </c>
      <c r="F1725" s="39">
        <f>SUMIF(RAW_File!D:D,C:C,RAW_File!I:I)</f>
        <v>5350</v>
      </c>
      <c r="G1725" s="40">
        <f>SUMIF(RAW_File!D:D,C:C,RAW_File!K:K)</f>
        <v>5000</v>
      </c>
      <c r="H1725" s="41">
        <f>SUMIF(RAW_File!D:D,C:C,RAW_File!M:M)</f>
        <v>13000</v>
      </c>
      <c r="I1725" s="40">
        <f>ABS(G1725-H1725)</f>
        <v>8000</v>
      </c>
    </row>
    <row r="1726" spans="1:9" x14ac:dyDescent="0.25">
      <c r="A1726" s="36" t="s">
        <v>72</v>
      </c>
      <c r="B1726" s="36" t="s">
        <v>147</v>
      </c>
      <c r="C1726" s="36" t="s">
        <v>506</v>
      </c>
      <c r="D1726" s="37">
        <f>SUMIF(RAW_File!D:D,C:C,RAW_File!F:F)</f>
        <v>14541.327636</v>
      </c>
      <c r="E1726" s="60">
        <f>SUMIF(RAW_File!D:D,C:C,RAW_File!G:G)</f>
        <v>1000</v>
      </c>
      <c r="F1726" s="39">
        <f>SUMIF(RAW_File!D:D,C:C,RAW_File!I:I)</f>
        <v>59000</v>
      </c>
      <c r="G1726" s="40">
        <f>SUMIF(RAW_File!D:D,C:C,RAW_File!K:K)</f>
        <v>0</v>
      </c>
      <c r="H1726" s="41">
        <f>SUMIF(RAW_File!D:D,C:C,RAW_File!M:M)</f>
        <v>121000</v>
      </c>
      <c r="I1726" s="40">
        <f>ABS(G1726-H1726)</f>
        <v>121000</v>
      </c>
    </row>
    <row r="1727" spans="1:9" x14ac:dyDescent="0.25">
      <c r="A1727" s="36" t="s">
        <v>72</v>
      </c>
      <c r="B1727" s="36" t="s">
        <v>559</v>
      </c>
      <c r="C1727" s="36" t="s">
        <v>560</v>
      </c>
      <c r="D1727" s="37">
        <f>SUMIF(RAW_File!D:D,C:C,RAW_File!F:F)</f>
        <v>310.65682091270003</v>
      </c>
      <c r="E1727" s="60">
        <f>SUMIF(RAW_File!D:D,C:C,RAW_File!G:G)</f>
        <v>1850</v>
      </c>
      <c r="F1727" s="39">
        <f>SUMIF(RAW_File!D:D,C:C,RAW_File!I:I)</f>
        <v>12240</v>
      </c>
      <c r="G1727" s="40">
        <f>SUMIF(RAW_File!D:D,C:C,RAW_File!K:K)</f>
        <v>5000</v>
      </c>
      <c r="H1727" s="41">
        <f>SUMIF(RAW_File!D:D,C:C,RAW_File!M:M)</f>
        <v>34000</v>
      </c>
      <c r="I1727" s="40">
        <f>ABS(G1727-H1727)</f>
        <v>29000</v>
      </c>
    </row>
    <row r="1728" spans="1:9" x14ac:dyDescent="0.25">
      <c r="A1728" s="36" t="s">
        <v>72</v>
      </c>
      <c r="B1728" s="36" t="s">
        <v>592</v>
      </c>
      <c r="C1728" s="36" t="s">
        <v>593</v>
      </c>
      <c r="D1728" s="37">
        <f>SUMIF(RAW_File!D:D,C:C,RAW_File!F:F)</f>
        <v>22.523599999999998</v>
      </c>
      <c r="E1728" s="60">
        <f>SUMIF(RAW_File!D:D,C:C,RAW_File!G:G)</f>
        <v>0</v>
      </c>
      <c r="F1728" s="39">
        <f>SUMIF(RAW_File!D:D,C:C,RAW_File!I:I)</f>
        <v>0</v>
      </c>
      <c r="G1728" s="40">
        <f>SUMIF(RAW_File!D:D,C:C,RAW_File!K:K)</f>
        <v>0</v>
      </c>
      <c r="H1728" s="41">
        <f>SUMIF(RAW_File!D:D,C:C,RAW_File!M:M)</f>
        <v>0</v>
      </c>
      <c r="I1728" s="40">
        <f>ABS(G1728-H1728)</f>
        <v>0</v>
      </c>
    </row>
    <row r="1729" spans="1:9" x14ac:dyDescent="0.25">
      <c r="A1729" s="36" t="s">
        <v>72</v>
      </c>
      <c r="B1729" s="36" t="s">
        <v>661</v>
      </c>
      <c r="C1729" s="36" t="s">
        <v>662</v>
      </c>
      <c r="D1729" s="37">
        <f>SUMIF(RAW_File!D:D,C:C,RAW_File!F:F)</f>
        <v>7702.768496812977</v>
      </c>
      <c r="E1729" s="60">
        <f>SUMIF(RAW_File!D:D,C:C,RAW_File!G:G)</f>
        <v>2960</v>
      </c>
      <c r="F1729" s="39">
        <f>SUMIF(RAW_File!D:D,C:C,RAW_File!I:I)</f>
        <v>10976</v>
      </c>
      <c r="G1729" s="40">
        <f>SUMIF(RAW_File!D:D,C:C,RAW_File!K:K)</f>
        <v>0</v>
      </c>
      <c r="H1729" s="41">
        <f>SUMIF(RAW_File!D:D,C:C,RAW_File!M:M)</f>
        <v>30000</v>
      </c>
      <c r="I1729" s="40">
        <f>ABS(G1729-H1729)</f>
        <v>30000</v>
      </c>
    </row>
    <row r="1730" spans="1:9" x14ac:dyDescent="0.25">
      <c r="A1730" s="36" t="s">
        <v>72</v>
      </c>
      <c r="B1730" s="36" t="s">
        <v>726</v>
      </c>
      <c r="C1730" s="36" t="s">
        <v>727</v>
      </c>
      <c r="D1730" s="37">
        <f>SUMIF(RAW_File!D:D,C:C,RAW_File!F:F)</f>
        <v>2132.2141999999999</v>
      </c>
      <c r="E1730" s="60">
        <f>SUMIF(RAW_File!D:D,C:C,RAW_File!G:G)</f>
        <v>2905</v>
      </c>
      <c r="F1730" s="39">
        <f>SUMIF(RAW_File!D:D,C:C,RAW_File!I:I)</f>
        <v>3765</v>
      </c>
      <c r="G1730" s="40">
        <f>SUMIF(RAW_File!D:D,C:C,RAW_File!K:K)</f>
        <v>0</v>
      </c>
      <c r="H1730" s="41">
        <f>SUMIF(RAW_File!D:D,C:C,RAW_File!M:M)</f>
        <v>7000</v>
      </c>
      <c r="I1730" s="40">
        <f>ABS(G1730-H1730)</f>
        <v>7000</v>
      </c>
    </row>
    <row r="1731" spans="1:9" x14ac:dyDescent="0.25">
      <c r="A1731" s="36" t="s">
        <v>72</v>
      </c>
      <c r="B1731" s="36" t="s">
        <v>734</v>
      </c>
      <c r="C1731" s="36" t="s">
        <v>735</v>
      </c>
      <c r="D1731" s="37">
        <f>SUMIF(RAW_File!D:D,C:C,RAW_File!F:F)</f>
        <v>5897.1226640000004</v>
      </c>
      <c r="E1731" s="60">
        <f>SUMIF(RAW_File!D:D,C:C,RAW_File!G:G)</f>
        <v>200</v>
      </c>
      <c r="F1731" s="39">
        <f>SUMIF(RAW_File!D:D,C:C,RAW_File!I:I)</f>
        <v>300</v>
      </c>
      <c r="G1731" s="40">
        <f>SUMIF(RAW_File!D:D,C:C,RAW_File!K:K)</f>
        <v>5000</v>
      </c>
      <c r="H1731" s="41">
        <f>SUMIF(RAW_File!D:D,C:C,RAW_File!M:M)</f>
        <v>0</v>
      </c>
      <c r="I1731" s="40">
        <f>ABS(G1731-H1731)</f>
        <v>5000</v>
      </c>
    </row>
    <row r="1732" spans="1:9" x14ac:dyDescent="0.25">
      <c r="A1732" s="36" t="s">
        <v>72</v>
      </c>
      <c r="B1732" s="36" t="s">
        <v>805</v>
      </c>
      <c r="C1732" s="36" t="s">
        <v>806</v>
      </c>
      <c r="D1732" s="37">
        <f>SUMIF(RAW_File!D:D,C:C,RAW_File!F:F)</f>
        <v>6947.6742449945204</v>
      </c>
      <c r="E1732" s="60">
        <f>SUMIF(RAW_File!D:D,C:C,RAW_File!G:G)</f>
        <v>3500</v>
      </c>
      <c r="F1732" s="39">
        <f>SUMIF(RAW_File!D:D,C:C,RAW_File!I:I)</f>
        <v>4500</v>
      </c>
      <c r="G1732" s="40">
        <f>SUMIF(RAW_File!D:D,C:C,RAW_File!K:K)</f>
        <v>0</v>
      </c>
      <c r="H1732" s="41">
        <f>SUMIF(RAW_File!D:D,C:C,RAW_File!M:M)</f>
        <v>0</v>
      </c>
      <c r="I1732" s="40">
        <f>ABS(G1732-H1732)</f>
        <v>0</v>
      </c>
    </row>
    <row r="1733" spans="1:9" x14ac:dyDescent="0.25">
      <c r="A1733" s="36" t="s">
        <v>72</v>
      </c>
      <c r="B1733" s="36" t="s">
        <v>993</v>
      </c>
      <c r="C1733" s="36" t="s">
        <v>994</v>
      </c>
      <c r="D1733" s="37">
        <f>SUMIF(RAW_File!D:D,C:C,RAW_File!F:F)</f>
        <v>2786.8141448034498</v>
      </c>
      <c r="E1733" s="60">
        <f>SUMIF(RAW_File!D:D,C:C,RAW_File!G:G)</f>
        <v>0</v>
      </c>
      <c r="F1733" s="39">
        <f>SUMIF(RAW_File!D:D,C:C,RAW_File!I:I)</f>
        <v>5358</v>
      </c>
      <c r="G1733" s="40">
        <f>SUMIF(RAW_File!D:D,C:C,RAW_File!K:K)</f>
        <v>0</v>
      </c>
      <c r="H1733" s="41">
        <f>SUMIF(RAW_File!D:D,C:C,RAW_File!M:M)</f>
        <v>5000</v>
      </c>
      <c r="I1733" s="40">
        <f>ABS(G1733-H1733)</f>
        <v>5000</v>
      </c>
    </row>
    <row r="1734" spans="1:9" x14ac:dyDescent="0.25">
      <c r="A1734" s="36" t="s">
        <v>72</v>
      </c>
      <c r="B1734" s="36" t="s">
        <v>1011</v>
      </c>
      <c r="C1734" s="36" t="s">
        <v>1012</v>
      </c>
      <c r="D1734" s="37">
        <f>SUMIF(RAW_File!D:D,C:C,RAW_File!F:F)</f>
        <v>5929.1580103905644</v>
      </c>
      <c r="E1734" s="60">
        <f>SUMIF(RAW_File!D:D,C:C,RAW_File!G:G)</f>
        <v>1810</v>
      </c>
      <c r="F1734" s="39">
        <f>SUMIF(RAW_File!D:D,C:C,RAW_File!I:I)</f>
        <v>18650</v>
      </c>
      <c r="G1734" s="40">
        <f>SUMIF(RAW_File!D:D,C:C,RAW_File!K:K)</f>
        <v>5000</v>
      </c>
      <c r="H1734" s="41">
        <f>SUMIF(RAW_File!D:D,C:C,RAW_File!M:M)</f>
        <v>25000</v>
      </c>
      <c r="I1734" s="40">
        <f>ABS(G1734-H1734)</f>
        <v>20000</v>
      </c>
    </row>
    <row r="1735" spans="1:9" x14ac:dyDescent="0.25">
      <c r="A1735" s="36" t="s">
        <v>72</v>
      </c>
      <c r="B1735" s="36" t="s">
        <v>1021</v>
      </c>
      <c r="C1735" s="36" t="s">
        <v>1022</v>
      </c>
      <c r="D1735" s="37">
        <f>SUMIF(RAW_File!D:D,C:C,RAW_File!F:F)</f>
        <v>118.7050241737367</v>
      </c>
      <c r="E1735" s="60">
        <f>SUMIF(RAW_File!D:D,C:C,RAW_File!G:G)</f>
        <v>0</v>
      </c>
      <c r="F1735" s="39">
        <f>SUMIF(RAW_File!D:D,C:C,RAW_File!I:I)</f>
        <v>21000</v>
      </c>
      <c r="G1735" s="40">
        <f>SUMIF(RAW_File!D:D,C:C,RAW_File!K:K)</f>
        <v>0</v>
      </c>
      <c r="H1735" s="41">
        <f>SUMIF(RAW_File!D:D,C:C,RAW_File!M:M)</f>
        <v>24000</v>
      </c>
      <c r="I1735" s="40">
        <f>ABS(G1735-H1735)</f>
        <v>24000</v>
      </c>
    </row>
    <row r="1736" spans="1:9" x14ac:dyDescent="0.25">
      <c r="A1736" s="36" t="s">
        <v>72</v>
      </c>
      <c r="B1736" s="36" t="s">
        <v>1031</v>
      </c>
      <c r="C1736" s="36" t="s">
        <v>1032</v>
      </c>
      <c r="D1736" s="37">
        <f>SUMIF(RAW_File!D:D,C:C,RAW_File!F:F)</f>
        <v>52418.213542258447</v>
      </c>
      <c r="E1736" s="60">
        <f>SUMIF(RAW_File!D:D,C:C,RAW_File!G:G)</f>
        <v>1100</v>
      </c>
      <c r="F1736" s="39">
        <f>SUMIF(RAW_File!D:D,C:C,RAW_File!I:I)</f>
        <v>57155</v>
      </c>
      <c r="G1736" s="40">
        <f>SUMIF(RAW_File!D:D,C:C,RAW_File!K:K)</f>
        <v>0</v>
      </c>
      <c r="H1736" s="41">
        <f>SUMIF(RAW_File!D:D,C:C,RAW_File!M:M)</f>
        <v>80000</v>
      </c>
      <c r="I1736" s="40">
        <f>ABS(G1736-H1736)</f>
        <v>80000</v>
      </c>
    </row>
    <row r="1737" spans="1:9" x14ac:dyDescent="0.25">
      <c r="A1737" s="36" t="s">
        <v>72</v>
      </c>
      <c r="B1737" s="36" t="s">
        <v>1069</v>
      </c>
      <c r="C1737" s="36" t="s">
        <v>1070</v>
      </c>
      <c r="D1737" s="37">
        <f>SUMIF(RAW_File!D:D,C:C,RAW_File!F:F)</f>
        <v>4414.5078999999996</v>
      </c>
      <c r="E1737" s="60">
        <f>SUMIF(RAW_File!D:D,C:C,RAW_File!G:G)</f>
        <v>1705</v>
      </c>
      <c r="F1737" s="39">
        <f>SUMIF(RAW_File!D:D,C:C,RAW_File!I:I)</f>
        <v>7875</v>
      </c>
      <c r="G1737" s="40">
        <f>SUMIF(RAW_File!D:D,C:C,RAW_File!K:K)</f>
        <v>0</v>
      </c>
      <c r="H1737" s="41">
        <f>SUMIF(RAW_File!D:D,C:C,RAW_File!M:M)</f>
        <v>30000</v>
      </c>
      <c r="I1737" s="40">
        <f>ABS(G1737-H1737)</f>
        <v>30000</v>
      </c>
    </row>
    <row r="1738" spans="1:9" x14ac:dyDescent="0.25">
      <c r="A1738" s="36" t="s">
        <v>72</v>
      </c>
      <c r="B1738" s="36" t="s">
        <v>1101</v>
      </c>
      <c r="C1738" s="36" t="s">
        <v>1102</v>
      </c>
      <c r="D1738" s="37">
        <f>SUMIF(RAW_File!D:D,C:C,RAW_File!F:F)</f>
        <v>15268.313776277209</v>
      </c>
      <c r="E1738" s="60">
        <f>SUMIF(RAW_File!D:D,C:C,RAW_File!G:G)</f>
        <v>26170</v>
      </c>
      <c r="F1738" s="39">
        <f>SUMIF(RAW_File!D:D,C:C,RAW_File!I:I)</f>
        <v>35745</v>
      </c>
      <c r="G1738" s="40">
        <f>SUMIF(RAW_File!D:D,C:C,RAW_File!K:K)</f>
        <v>5000</v>
      </c>
      <c r="H1738" s="41">
        <f>SUMIF(RAW_File!D:D,C:C,RAW_File!M:M)</f>
        <v>0</v>
      </c>
      <c r="I1738" s="40">
        <f>ABS(G1738-H1738)</f>
        <v>5000</v>
      </c>
    </row>
    <row r="1739" spans="1:9" x14ac:dyDescent="0.25">
      <c r="A1739" s="36" t="s">
        <v>72</v>
      </c>
      <c r="B1739" s="36" t="s">
        <v>1141</v>
      </c>
      <c r="C1739" s="36" t="s">
        <v>1142</v>
      </c>
      <c r="D1739" s="37">
        <f>SUMIF(RAW_File!D:D,C:C,RAW_File!F:F)</f>
        <v>281.94967027219673</v>
      </c>
      <c r="E1739" s="60">
        <f>SUMIF(RAW_File!D:D,C:C,RAW_File!G:G)</f>
        <v>500</v>
      </c>
      <c r="F1739" s="39">
        <f>SUMIF(RAW_File!D:D,C:C,RAW_File!I:I)</f>
        <v>10500</v>
      </c>
      <c r="G1739" s="40">
        <f>SUMIF(RAW_File!D:D,C:C,RAW_File!K:K)</f>
        <v>0</v>
      </c>
      <c r="H1739" s="41">
        <f>SUMIF(RAW_File!D:D,C:C,RAW_File!M:M)</f>
        <v>10000</v>
      </c>
      <c r="I1739" s="40">
        <f>ABS(G1739-H1739)</f>
        <v>10000</v>
      </c>
    </row>
    <row r="1740" spans="1:9" x14ac:dyDescent="0.25">
      <c r="A1740" s="36" t="s">
        <v>72</v>
      </c>
      <c r="B1740" s="36" t="s">
        <v>1155</v>
      </c>
      <c r="C1740" s="36" t="s">
        <v>1156</v>
      </c>
      <c r="D1740" s="37">
        <f>SUMIF(RAW_File!D:D,C:C,RAW_File!F:F)</f>
        <v>12761.88610927936</v>
      </c>
      <c r="E1740" s="60">
        <f>SUMIF(RAW_File!D:D,C:C,RAW_File!G:G)</f>
        <v>2300</v>
      </c>
      <c r="F1740" s="39">
        <f>SUMIF(RAW_File!D:D,C:C,RAW_File!I:I)</f>
        <v>12605</v>
      </c>
      <c r="G1740" s="40">
        <f>SUMIF(RAW_File!D:D,C:C,RAW_File!K:K)</f>
        <v>0</v>
      </c>
      <c r="H1740" s="41">
        <f>SUMIF(RAW_File!D:D,C:C,RAW_File!M:M)</f>
        <v>10000</v>
      </c>
      <c r="I1740" s="40">
        <f>ABS(G1740-H1740)</f>
        <v>10000</v>
      </c>
    </row>
    <row r="1741" spans="1:9" x14ac:dyDescent="0.25">
      <c r="A1741" s="36" t="s">
        <v>72</v>
      </c>
      <c r="B1741" s="36" t="s">
        <v>352</v>
      </c>
      <c r="C1741" s="36" t="s">
        <v>1188</v>
      </c>
      <c r="D1741" s="37">
        <f>SUMIF(RAW_File!D:D,C:C,RAW_File!F:F)</f>
        <v>53456.216895701487</v>
      </c>
      <c r="E1741" s="60">
        <f>SUMIF(RAW_File!D:D,C:C,RAW_File!G:G)</f>
        <v>4310</v>
      </c>
      <c r="F1741" s="39">
        <f>SUMIF(RAW_File!D:D,C:C,RAW_File!I:I)</f>
        <v>37985</v>
      </c>
      <c r="G1741" s="40">
        <f>SUMIF(RAW_File!D:D,C:C,RAW_File!K:K)</f>
        <v>5000</v>
      </c>
      <c r="H1741" s="41">
        <f>SUMIF(RAW_File!D:D,C:C,RAW_File!M:M)</f>
        <v>15000</v>
      </c>
      <c r="I1741" s="40">
        <f>ABS(G1741-H1741)</f>
        <v>10000</v>
      </c>
    </row>
    <row r="1742" spans="1:9" x14ac:dyDescent="0.25">
      <c r="A1742" s="36" t="s">
        <v>72</v>
      </c>
      <c r="B1742" s="36" t="s">
        <v>1271</v>
      </c>
      <c r="C1742" s="36" t="s">
        <v>1272</v>
      </c>
      <c r="D1742" s="37">
        <f>SUMIF(RAW_File!D:D,C:C,RAW_File!F:F)</f>
        <v>2.7961353477999999</v>
      </c>
      <c r="E1742" s="60">
        <f>SUMIF(RAW_File!D:D,C:C,RAW_File!G:G)</f>
        <v>0</v>
      </c>
      <c r="F1742" s="39">
        <f>SUMIF(RAW_File!D:D,C:C,RAW_File!I:I)</f>
        <v>0</v>
      </c>
      <c r="G1742" s="40">
        <f>SUMIF(RAW_File!D:D,C:C,RAW_File!K:K)</f>
        <v>0</v>
      </c>
      <c r="H1742" s="41">
        <f>SUMIF(RAW_File!D:D,C:C,RAW_File!M:M)</f>
        <v>0</v>
      </c>
      <c r="I1742" s="40">
        <f>ABS(G1742-H1742)</f>
        <v>0</v>
      </c>
    </row>
    <row r="1743" spans="1:9" x14ac:dyDescent="0.25">
      <c r="A1743" s="36" t="s">
        <v>72</v>
      </c>
      <c r="B1743" s="36" t="s">
        <v>1369</v>
      </c>
      <c r="C1743" s="36" t="s">
        <v>1370</v>
      </c>
      <c r="D1743" s="37">
        <f>SUMIF(RAW_File!D:D,C:C,RAW_File!F:F)</f>
        <v>14372.0826</v>
      </c>
      <c r="E1743" s="60">
        <f>SUMIF(RAW_File!D:D,C:C,RAW_File!G:G)</f>
        <v>1500</v>
      </c>
      <c r="F1743" s="39">
        <f>SUMIF(RAW_File!D:D,C:C,RAW_File!I:I)</f>
        <v>1500</v>
      </c>
      <c r="G1743" s="40">
        <f>SUMIF(RAW_File!D:D,C:C,RAW_File!K:K)</f>
        <v>0</v>
      </c>
      <c r="H1743" s="41">
        <f>SUMIF(RAW_File!D:D,C:C,RAW_File!M:M)</f>
        <v>20000</v>
      </c>
      <c r="I1743" s="40">
        <f>ABS(G1743-H1743)</f>
        <v>20000</v>
      </c>
    </row>
    <row r="1744" spans="1:9" x14ac:dyDescent="0.25">
      <c r="A1744" s="36" t="s">
        <v>72</v>
      </c>
      <c r="B1744" s="36" t="s">
        <v>1419</v>
      </c>
      <c r="C1744" s="36" t="s">
        <v>1420</v>
      </c>
      <c r="D1744" s="37">
        <f>SUMIF(RAW_File!D:D,C:C,RAW_File!F:F)</f>
        <v>3315.6375895289389</v>
      </c>
      <c r="E1744" s="60">
        <f>SUMIF(RAW_File!D:D,C:C,RAW_File!G:G)</f>
        <v>0</v>
      </c>
      <c r="F1744" s="39">
        <f>SUMIF(RAW_File!D:D,C:C,RAW_File!I:I)</f>
        <v>6700</v>
      </c>
      <c r="G1744" s="40">
        <f>SUMIF(RAW_File!D:D,C:C,RAW_File!K:K)</f>
        <v>5000</v>
      </c>
      <c r="H1744" s="41">
        <f>SUMIF(RAW_File!D:D,C:C,RAW_File!M:M)</f>
        <v>10000</v>
      </c>
      <c r="I1744" s="40">
        <f>ABS(G1744-H1744)</f>
        <v>5000</v>
      </c>
    </row>
    <row r="1745" spans="1:9" x14ac:dyDescent="0.25">
      <c r="A1745" s="36" t="s">
        <v>72</v>
      </c>
      <c r="B1745" s="36" t="s">
        <v>1504</v>
      </c>
      <c r="C1745" s="36" t="s">
        <v>1505</v>
      </c>
      <c r="D1745" s="37">
        <f>SUMIF(RAW_File!D:D,C:C,RAW_File!F:F)</f>
        <v>2201.4658996001099</v>
      </c>
      <c r="E1745" s="60">
        <f>SUMIF(RAW_File!D:D,C:C,RAW_File!G:G)</f>
        <v>877</v>
      </c>
      <c r="F1745" s="39">
        <f>SUMIF(RAW_File!D:D,C:C,RAW_File!I:I)</f>
        <v>10319</v>
      </c>
      <c r="G1745" s="40">
        <f>SUMIF(RAW_File!D:D,C:C,RAW_File!K:K)</f>
        <v>0</v>
      </c>
      <c r="H1745" s="41">
        <f>SUMIF(RAW_File!D:D,C:C,RAW_File!M:M)</f>
        <v>15000</v>
      </c>
      <c r="I1745" s="40">
        <f>ABS(G1745-H1745)</f>
        <v>15000</v>
      </c>
    </row>
    <row r="1746" spans="1:9" x14ac:dyDescent="0.25">
      <c r="A1746" s="36" t="s">
        <v>72</v>
      </c>
      <c r="B1746" s="36" t="s">
        <v>1633</v>
      </c>
      <c r="C1746" s="36" t="s">
        <v>1634</v>
      </c>
      <c r="D1746" s="37">
        <f>SUMIF(RAW_File!D:D,C:C,RAW_File!F:F)</f>
        <v>11536.22033990232</v>
      </c>
      <c r="E1746" s="60">
        <f>SUMIF(RAW_File!D:D,C:C,RAW_File!G:G)</f>
        <v>0</v>
      </c>
      <c r="F1746" s="39">
        <f>SUMIF(RAW_File!D:D,C:C,RAW_File!I:I)</f>
        <v>4505</v>
      </c>
      <c r="G1746" s="40">
        <f>SUMIF(RAW_File!D:D,C:C,RAW_File!K:K)</f>
        <v>7000</v>
      </c>
      <c r="H1746" s="41">
        <f>SUMIF(RAW_File!D:D,C:C,RAW_File!M:M)</f>
        <v>0</v>
      </c>
      <c r="I1746" s="40">
        <f>ABS(G1746-H1746)</f>
        <v>7000</v>
      </c>
    </row>
    <row r="1747" spans="1:9" x14ac:dyDescent="0.25">
      <c r="A1747" s="36" t="s">
        <v>72</v>
      </c>
      <c r="B1747" s="36" t="s">
        <v>1744</v>
      </c>
      <c r="C1747" s="36" t="s">
        <v>1745</v>
      </c>
      <c r="D1747" s="37">
        <f>SUMIF(RAW_File!D:D,C:C,RAW_File!F:F)</f>
        <v>36.424300000000002</v>
      </c>
      <c r="E1747" s="60">
        <f>SUMIF(RAW_File!D:D,C:C,RAW_File!G:G)</f>
        <v>0</v>
      </c>
      <c r="F1747" s="39">
        <f>SUMIF(RAW_File!D:D,C:C,RAW_File!I:I)</f>
        <v>6000</v>
      </c>
      <c r="G1747" s="40">
        <f>SUMIF(RAW_File!D:D,C:C,RAW_File!K:K)</f>
        <v>0</v>
      </c>
      <c r="H1747" s="41">
        <f>SUMIF(RAW_File!D:D,C:C,RAW_File!M:M)</f>
        <v>6000</v>
      </c>
      <c r="I1747" s="40">
        <f>ABS(G1747-H1747)</f>
        <v>6000</v>
      </c>
    </row>
    <row r="1748" spans="1:9" x14ac:dyDescent="0.25">
      <c r="A1748" s="36" t="s">
        <v>72</v>
      </c>
      <c r="B1748" s="36" t="s">
        <v>1748</v>
      </c>
      <c r="C1748" s="36" t="s">
        <v>1749</v>
      </c>
      <c r="D1748" s="37">
        <f>SUMIF(RAW_File!D:D,C:C,RAW_File!F:F)</f>
        <v>1173.469637219572</v>
      </c>
      <c r="E1748" s="60">
        <f>SUMIF(RAW_File!D:D,C:C,RAW_File!G:G)</f>
        <v>0</v>
      </c>
      <c r="F1748" s="39">
        <f>SUMIF(RAW_File!D:D,C:C,RAW_File!I:I)</f>
        <v>0</v>
      </c>
      <c r="G1748" s="40">
        <f>SUMIF(RAW_File!D:D,C:C,RAW_File!K:K)</f>
        <v>0</v>
      </c>
      <c r="H1748" s="41">
        <f>SUMIF(RAW_File!D:D,C:C,RAW_File!M:M)</f>
        <v>10000</v>
      </c>
      <c r="I1748" s="40">
        <f>ABS(G1748-H1748)</f>
        <v>10000</v>
      </c>
    </row>
    <row r="1749" spans="1:9" x14ac:dyDescent="0.25">
      <c r="A1749" s="36" t="s">
        <v>72</v>
      </c>
      <c r="B1749" s="36" t="s">
        <v>1870</v>
      </c>
      <c r="C1749" s="36" t="s">
        <v>1871</v>
      </c>
      <c r="D1749" s="37">
        <f>SUMIF(RAW_File!D:D,C:C,RAW_File!F:F)</f>
        <v>4554.4803426353601</v>
      </c>
      <c r="E1749" s="60">
        <f>SUMIF(RAW_File!D:D,C:C,RAW_File!G:G)</f>
        <v>600</v>
      </c>
      <c r="F1749" s="39">
        <f>SUMIF(RAW_File!D:D,C:C,RAW_File!I:I)</f>
        <v>9715</v>
      </c>
      <c r="G1749" s="40">
        <f>SUMIF(RAW_File!D:D,C:C,RAW_File!K:K)</f>
        <v>5000</v>
      </c>
      <c r="H1749" s="41">
        <f>SUMIF(RAW_File!D:D,C:C,RAW_File!M:M)</f>
        <v>23000</v>
      </c>
      <c r="I1749" s="40">
        <f>ABS(G1749-H1749)</f>
        <v>18000</v>
      </c>
    </row>
    <row r="1750" spans="1:9" x14ac:dyDescent="0.25">
      <c r="A1750" s="36" t="s">
        <v>72</v>
      </c>
      <c r="B1750" s="36" t="s">
        <v>1966</v>
      </c>
      <c r="C1750" s="36" t="s">
        <v>1967</v>
      </c>
      <c r="D1750" s="37">
        <f>SUMIF(RAW_File!D:D,C:C,RAW_File!F:F)</f>
        <v>6350.7733799999996</v>
      </c>
      <c r="E1750" s="60">
        <f>SUMIF(RAW_File!D:D,C:C,RAW_File!G:G)</f>
        <v>0</v>
      </c>
      <c r="F1750" s="39">
        <f>SUMIF(RAW_File!D:D,C:C,RAW_File!I:I)</f>
        <v>0</v>
      </c>
      <c r="G1750" s="40">
        <f>SUMIF(RAW_File!D:D,C:C,RAW_File!K:K)</f>
        <v>5000</v>
      </c>
      <c r="H1750" s="41">
        <f>SUMIF(RAW_File!D:D,C:C,RAW_File!M:M)</f>
        <v>0</v>
      </c>
      <c r="I1750" s="40">
        <f>ABS(G1750-H1750)</f>
        <v>5000</v>
      </c>
    </row>
    <row r="1751" spans="1:9" x14ac:dyDescent="0.25">
      <c r="A1751" s="36" t="s">
        <v>72</v>
      </c>
      <c r="B1751" s="36" t="s">
        <v>1982</v>
      </c>
      <c r="C1751" s="36" t="s">
        <v>1983</v>
      </c>
      <c r="D1751" s="37">
        <f>SUMIF(RAW_File!D:D,C:C,RAW_File!F:F)</f>
        <v>6965.3587486058996</v>
      </c>
      <c r="E1751" s="60">
        <f>SUMIF(RAW_File!D:D,C:C,RAW_File!G:G)</f>
        <v>900</v>
      </c>
      <c r="F1751" s="39">
        <f>SUMIF(RAW_File!D:D,C:C,RAW_File!I:I)</f>
        <v>6080</v>
      </c>
      <c r="G1751" s="40">
        <f>SUMIF(RAW_File!D:D,C:C,RAW_File!K:K)</f>
        <v>0</v>
      </c>
      <c r="H1751" s="41">
        <f>SUMIF(RAW_File!D:D,C:C,RAW_File!M:M)</f>
        <v>15000</v>
      </c>
      <c r="I1751" s="40">
        <f>ABS(G1751-H1751)</f>
        <v>15000</v>
      </c>
    </row>
    <row r="1752" spans="1:9" x14ac:dyDescent="0.25">
      <c r="A1752" s="36" t="s">
        <v>72</v>
      </c>
      <c r="B1752" s="36" t="s">
        <v>1986</v>
      </c>
      <c r="C1752" s="36" t="s">
        <v>1987</v>
      </c>
      <c r="D1752" s="37">
        <f>SUMIF(RAW_File!D:D,C:C,RAW_File!F:F)</f>
        <v>2222.1911634192002</v>
      </c>
      <c r="E1752" s="60">
        <f>SUMIF(RAW_File!D:D,C:C,RAW_File!G:G)</f>
        <v>1630</v>
      </c>
      <c r="F1752" s="39">
        <f>SUMIF(RAW_File!D:D,C:C,RAW_File!I:I)</f>
        <v>4830</v>
      </c>
      <c r="G1752" s="40">
        <f>SUMIF(RAW_File!D:D,C:C,RAW_File!K:K)</f>
        <v>5000</v>
      </c>
      <c r="H1752" s="41">
        <f>SUMIF(RAW_File!D:D,C:C,RAW_File!M:M)</f>
        <v>12000</v>
      </c>
      <c r="I1752" s="40">
        <f>ABS(G1752-H1752)</f>
        <v>7000</v>
      </c>
    </row>
    <row r="1753" spans="1:9" x14ac:dyDescent="0.25">
      <c r="A1753" s="36" t="s">
        <v>72</v>
      </c>
      <c r="B1753" s="36" t="s">
        <v>2025</v>
      </c>
      <c r="C1753" s="36" t="s">
        <v>2026</v>
      </c>
      <c r="D1753" s="37">
        <f>SUMIF(RAW_File!D:D,C:C,RAW_File!F:F)</f>
        <v>8802.6460543314297</v>
      </c>
      <c r="E1753" s="60">
        <f>SUMIF(RAW_File!D:D,C:C,RAW_File!G:G)</f>
        <v>900</v>
      </c>
      <c r="F1753" s="39">
        <f>SUMIF(RAW_File!D:D,C:C,RAW_File!I:I)</f>
        <v>3900</v>
      </c>
      <c r="G1753" s="40">
        <f>SUMIF(RAW_File!D:D,C:C,RAW_File!K:K)</f>
        <v>0</v>
      </c>
      <c r="H1753" s="41">
        <f>SUMIF(RAW_File!D:D,C:C,RAW_File!M:M)</f>
        <v>0</v>
      </c>
      <c r="I1753" s="40">
        <f>ABS(G1753-H1753)</f>
        <v>0</v>
      </c>
    </row>
    <row r="1754" spans="1:9" x14ac:dyDescent="0.25">
      <c r="A1754" s="36" t="s">
        <v>72</v>
      </c>
      <c r="B1754" s="36" t="s">
        <v>2057</v>
      </c>
      <c r="C1754" s="36" t="s">
        <v>2058</v>
      </c>
      <c r="D1754" s="37">
        <f>SUMIF(RAW_File!D:D,C:C,RAW_File!F:F)</f>
        <v>4737.8255568644718</v>
      </c>
      <c r="E1754" s="60">
        <f>SUMIF(RAW_File!D:D,C:C,RAW_File!G:G)</f>
        <v>1300</v>
      </c>
      <c r="F1754" s="39">
        <f>SUMIF(RAW_File!D:D,C:C,RAW_File!I:I)</f>
        <v>4300</v>
      </c>
      <c r="G1754" s="40">
        <f>SUMIF(RAW_File!D:D,C:C,RAW_File!K:K)</f>
        <v>0</v>
      </c>
      <c r="H1754" s="41">
        <f>SUMIF(RAW_File!D:D,C:C,RAW_File!M:M)</f>
        <v>0</v>
      </c>
      <c r="I1754" s="40">
        <f>ABS(G1754-H1754)</f>
        <v>0</v>
      </c>
    </row>
    <row r="1755" spans="1:9" x14ac:dyDescent="0.25">
      <c r="A1755" s="36" t="s">
        <v>72</v>
      </c>
      <c r="B1755" s="36" t="s">
        <v>881</v>
      </c>
      <c r="C1755" s="36" t="s">
        <v>2182</v>
      </c>
      <c r="D1755" s="37">
        <f>SUMIF(RAW_File!D:D,C:C,RAW_File!F:F)</f>
        <v>7437.5931416361873</v>
      </c>
      <c r="E1755" s="60">
        <f>SUMIF(RAW_File!D:D,C:C,RAW_File!G:G)</f>
        <v>2020</v>
      </c>
      <c r="F1755" s="39">
        <f>SUMIF(RAW_File!D:D,C:C,RAW_File!I:I)</f>
        <v>2410</v>
      </c>
      <c r="G1755" s="40">
        <f>SUMIF(RAW_File!D:D,C:C,RAW_File!K:K)</f>
        <v>6000</v>
      </c>
      <c r="H1755" s="41">
        <f>SUMIF(RAW_File!D:D,C:C,RAW_File!M:M)</f>
        <v>0</v>
      </c>
      <c r="I1755" s="40">
        <f>ABS(G1755-H1755)</f>
        <v>6000</v>
      </c>
    </row>
    <row r="1756" spans="1:9" x14ac:dyDescent="0.25">
      <c r="A1756" s="36" t="s">
        <v>72</v>
      </c>
      <c r="B1756" s="36" t="s">
        <v>2235</v>
      </c>
      <c r="C1756" s="36" t="s">
        <v>2236</v>
      </c>
      <c r="D1756" s="37">
        <f>SUMIF(RAW_File!D:D,C:C,RAW_File!F:F)</f>
        <v>179.41309999999999</v>
      </c>
      <c r="E1756" s="60">
        <f>SUMIF(RAW_File!D:D,C:C,RAW_File!G:G)</f>
        <v>500</v>
      </c>
      <c r="F1756" s="39">
        <f>SUMIF(RAW_File!D:D,C:C,RAW_File!I:I)</f>
        <v>500</v>
      </c>
      <c r="G1756" s="40">
        <f>SUMIF(RAW_File!D:D,C:C,RAW_File!K:K)</f>
        <v>0</v>
      </c>
      <c r="H1756" s="41">
        <f>SUMIF(RAW_File!D:D,C:C,RAW_File!M:M)</f>
        <v>7000</v>
      </c>
      <c r="I1756" s="40">
        <f>ABS(G1756-H1756)</f>
        <v>7000</v>
      </c>
    </row>
    <row r="1757" spans="1:9" x14ac:dyDescent="0.25">
      <c r="A1757" s="36" t="s">
        <v>72</v>
      </c>
      <c r="B1757" s="36" t="s">
        <v>2247</v>
      </c>
      <c r="C1757" s="36" t="s">
        <v>2248</v>
      </c>
      <c r="D1757" s="37">
        <f>SUMIF(RAW_File!D:D,C:C,RAW_File!F:F)</f>
        <v>9463.8091536554966</v>
      </c>
      <c r="E1757" s="60">
        <f>SUMIF(RAW_File!D:D,C:C,RAW_File!G:G)</f>
        <v>200</v>
      </c>
      <c r="F1757" s="39">
        <f>SUMIF(RAW_File!D:D,C:C,RAW_File!I:I)</f>
        <v>1200</v>
      </c>
      <c r="G1757" s="40">
        <f>SUMIF(RAW_File!D:D,C:C,RAW_File!K:K)</f>
        <v>5000</v>
      </c>
      <c r="H1757" s="41">
        <f>SUMIF(RAW_File!D:D,C:C,RAW_File!M:M)</f>
        <v>0</v>
      </c>
      <c r="I1757" s="40">
        <f>ABS(G1757-H1757)</f>
        <v>5000</v>
      </c>
    </row>
    <row r="1758" spans="1:9" x14ac:dyDescent="0.25">
      <c r="A1758" s="36" t="s">
        <v>72</v>
      </c>
      <c r="B1758" s="36" t="s">
        <v>2260</v>
      </c>
      <c r="C1758" s="36" t="s">
        <v>2261</v>
      </c>
      <c r="D1758" s="37">
        <f>SUMIF(RAW_File!D:D,C:C,RAW_File!F:F)</f>
        <v>3261.2563655820732</v>
      </c>
      <c r="E1758" s="60">
        <f>SUMIF(RAW_File!D:D,C:C,RAW_File!G:G)</f>
        <v>4740</v>
      </c>
      <c r="F1758" s="39">
        <f>SUMIF(RAW_File!D:D,C:C,RAW_File!I:I)</f>
        <v>5135</v>
      </c>
      <c r="G1758" s="40">
        <f>SUMIF(RAW_File!D:D,C:C,RAW_File!K:K)</f>
        <v>6000</v>
      </c>
      <c r="H1758" s="41">
        <f>SUMIF(RAW_File!D:D,C:C,RAW_File!M:M)</f>
        <v>0</v>
      </c>
      <c r="I1758" s="40">
        <f>ABS(G1758-H1758)</f>
        <v>6000</v>
      </c>
    </row>
    <row r="1759" spans="1:9" x14ac:dyDescent="0.25">
      <c r="A1759" s="36" t="s">
        <v>72</v>
      </c>
      <c r="B1759" s="36" t="s">
        <v>2286</v>
      </c>
      <c r="C1759" s="36" t="s">
        <v>2287</v>
      </c>
      <c r="D1759" s="37">
        <f>SUMIF(RAW_File!D:D,C:C,RAW_File!F:F)</f>
        <v>1226.1130000000001</v>
      </c>
      <c r="E1759" s="60">
        <f>SUMIF(RAW_File!D:D,C:C,RAW_File!G:G)</f>
        <v>0</v>
      </c>
      <c r="F1759" s="39">
        <f>SUMIF(RAW_File!D:D,C:C,RAW_File!I:I)</f>
        <v>1100</v>
      </c>
      <c r="G1759" s="40">
        <f>SUMIF(RAW_File!D:D,C:C,RAW_File!K:K)</f>
        <v>0</v>
      </c>
      <c r="H1759" s="41">
        <f>SUMIF(RAW_File!D:D,C:C,RAW_File!M:M)</f>
        <v>5000</v>
      </c>
      <c r="I1759" s="40">
        <f>ABS(G1759-H1759)</f>
        <v>5000</v>
      </c>
    </row>
    <row r="1760" spans="1:9" x14ac:dyDescent="0.25">
      <c r="A1760" s="36" t="s">
        <v>72</v>
      </c>
      <c r="B1760" s="36" t="s">
        <v>2351</v>
      </c>
      <c r="C1760" s="36" t="s">
        <v>2352</v>
      </c>
      <c r="D1760" s="37">
        <f>SUMIF(RAW_File!D:D,C:C,RAW_File!F:F)</f>
        <v>10381.0915</v>
      </c>
      <c r="E1760" s="60">
        <f>SUMIF(RAW_File!D:D,C:C,RAW_File!G:G)</f>
        <v>960</v>
      </c>
      <c r="F1760" s="39">
        <f>SUMIF(RAW_File!D:D,C:C,RAW_File!I:I)</f>
        <v>15390</v>
      </c>
      <c r="G1760" s="40">
        <f>SUMIF(RAW_File!D:D,C:C,RAW_File!K:K)</f>
        <v>0</v>
      </c>
      <c r="H1760" s="41">
        <f>SUMIF(RAW_File!D:D,C:C,RAW_File!M:M)</f>
        <v>30000</v>
      </c>
      <c r="I1760" s="40">
        <f>ABS(G1760-H1760)</f>
        <v>30000</v>
      </c>
    </row>
    <row r="1761" spans="1:9" x14ac:dyDescent="0.25">
      <c r="A1761" s="36" t="s">
        <v>72</v>
      </c>
      <c r="B1761" s="36" t="s">
        <v>2434</v>
      </c>
      <c r="C1761" s="36" t="s">
        <v>2435</v>
      </c>
      <c r="D1761" s="37">
        <f>SUMIF(RAW_File!D:D,C:C,RAW_File!F:F)</f>
        <v>35425.5743</v>
      </c>
      <c r="E1761" s="60">
        <f>SUMIF(RAW_File!D:D,C:C,RAW_File!G:G)</f>
        <v>10030</v>
      </c>
      <c r="F1761" s="39">
        <f>SUMIF(RAW_File!D:D,C:C,RAW_File!I:I)</f>
        <v>166609</v>
      </c>
      <c r="G1761" s="40">
        <f>SUMIF(RAW_File!D:D,C:C,RAW_File!K:K)</f>
        <v>0</v>
      </c>
      <c r="H1761" s="41">
        <f>SUMIF(RAW_File!D:D,C:C,RAW_File!M:M)</f>
        <v>200000</v>
      </c>
      <c r="I1761" s="40">
        <f>ABS(G1761-H1761)</f>
        <v>200000</v>
      </c>
    </row>
    <row r="1762" spans="1:9" x14ac:dyDescent="0.25">
      <c r="A1762" s="36" t="s">
        <v>72</v>
      </c>
      <c r="B1762" s="36" t="s">
        <v>2575</v>
      </c>
      <c r="C1762" s="36" t="s">
        <v>2576</v>
      </c>
      <c r="D1762" s="37">
        <f>SUMIF(RAW_File!D:D,C:C,RAW_File!F:F)</f>
        <v>9973.3110792412899</v>
      </c>
      <c r="E1762" s="60">
        <f>SUMIF(RAW_File!D:D,C:C,RAW_File!G:G)</f>
        <v>10705</v>
      </c>
      <c r="F1762" s="39">
        <f>SUMIF(RAW_File!D:D,C:C,RAW_File!I:I)</f>
        <v>10705</v>
      </c>
      <c r="G1762" s="40">
        <f>SUMIF(RAW_File!D:D,C:C,RAW_File!K:K)</f>
        <v>20000</v>
      </c>
      <c r="H1762" s="41">
        <f>SUMIF(RAW_File!D:D,C:C,RAW_File!M:M)</f>
        <v>0</v>
      </c>
      <c r="I1762" s="40">
        <f>ABS(G1762-H1762)</f>
        <v>20000</v>
      </c>
    </row>
    <row r="1763" spans="1:9" x14ac:dyDescent="0.25">
      <c r="A1763" s="36" t="s">
        <v>72</v>
      </c>
      <c r="B1763" s="36" t="s">
        <v>2577</v>
      </c>
      <c r="C1763" s="36" t="s">
        <v>2578</v>
      </c>
      <c r="D1763" s="37">
        <f>SUMIF(RAW_File!D:D,C:C,RAW_File!F:F)</f>
        <v>4112.9969955867118</v>
      </c>
      <c r="E1763" s="60">
        <f>SUMIF(RAW_File!D:D,C:C,RAW_File!G:G)</f>
        <v>0</v>
      </c>
      <c r="F1763" s="39">
        <f>SUMIF(RAW_File!D:D,C:C,RAW_File!I:I)</f>
        <v>16000</v>
      </c>
      <c r="G1763" s="40">
        <f>SUMIF(RAW_File!D:D,C:C,RAW_File!K:K)</f>
        <v>0</v>
      </c>
      <c r="H1763" s="41">
        <f>SUMIF(RAW_File!D:D,C:C,RAW_File!M:M)</f>
        <v>18000</v>
      </c>
      <c r="I1763" s="40">
        <f>ABS(G1763-H1763)</f>
        <v>18000</v>
      </c>
    </row>
    <row r="1764" spans="1:9" x14ac:dyDescent="0.25">
      <c r="A1764" s="36" t="s">
        <v>72</v>
      </c>
      <c r="B1764" s="36" t="s">
        <v>2746</v>
      </c>
      <c r="C1764" s="36" t="s">
        <v>2747</v>
      </c>
      <c r="D1764" s="37">
        <f>SUMIF(RAW_File!D:D,C:C,RAW_File!F:F)</f>
        <v>2138.8687775218</v>
      </c>
      <c r="E1764" s="60">
        <f>SUMIF(RAW_File!D:D,C:C,RAW_File!G:G)</f>
        <v>5500</v>
      </c>
      <c r="F1764" s="39">
        <f>SUMIF(RAW_File!D:D,C:C,RAW_File!I:I)</f>
        <v>23428</v>
      </c>
      <c r="G1764" s="40">
        <f>SUMIF(RAW_File!D:D,C:C,RAW_File!K:K)</f>
        <v>5000</v>
      </c>
      <c r="H1764" s="41">
        <f>SUMIF(RAW_File!D:D,C:C,RAW_File!M:M)</f>
        <v>14000</v>
      </c>
      <c r="I1764" s="40">
        <f>ABS(G1764-H1764)</f>
        <v>9000</v>
      </c>
    </row>
    <row r="1765" spans="1:9" x14ac:dyDescent="0.25">
      <c r="A1765" s="36" t="s">
        <v>72</v>
      </c>
      <c r="B1765" s="36" t="s">
        <v>2767</v>
      </c>
      <c r="C1765" s="36" t="s">
        <v>2768</v>
      </c>
      <c r="D1765" s="37">
        <f>SUMIF(RAW_File!D:D,C:C,RAW_File!F:F)</f>
        <v>13156.397955091301</v>
      </c>
      <c r="E1765" s="60">
        <f>SUMIF(RAW_File!D:D,C:C,RAW_File!G:G)</f>
        <v>0</v>
      </c>
      <c r="F1765" s="39">
        <f>SUMIF(RAW_File!D:D,C:C,RAW_File!I:I)</f>
        <v>81550</v>
      </c>
      <c r="G1765" s="40">
        <f>SUMIF(RAW_File!D:D,C:C,RAW_File!K:K)</f>
        <v>0</v>
      </c>
      <c r="H1765" s="41">
        <f>SUMIF(RAW_File!D:D,C:C,RAW_File!M:M)</f>
        <v>122000</v>
      </c>
      <c r="I1765" s="40">
        <f>ABS(G1765-H1765)</f>
        <v>122000</v>
      </c>
    </row>
    <row r="1766" spans="1:9" x14ac:dyDescent="0.25">
      <c r="A1766" s="36" t="s">
        <v>72</v>
      </c>
      <c r="B1766" s="36" t="s">
        <v>368</v>
      </c>
      <c r="C1766" s="36" t="s">
        <v>2812</v>
      </c>
      <c r="D1766" s="37">
        <f>SUMIF(RAW_File!D:D,C:C,RAW_File!F:F)</f>
        <v>10417.48451290732</v>
      </c>
      <c r="E1766" s="60">
        <f>SUMIF(RAW_File!D:D,C:C,RAW_File!G:G)</f>
        <v>1210</v>
      </c>
      <c r="F1766" s="39">
        <f>SUMIF(RAW_File!D:D,C:C,RAW_File!I:I)</f>
        <v>4295</v>
      </c>
      <c r="G1766" s="40">
        <f>SUMIF(RAW_File!D:D,C:C,RAW_File!K:K)</f>
        <v>0</v>
      </c>
      <c r="H1766" s="41">
        <f>SUMIF(RAW_File!D:D,C:C,RAW_File!M:M)</f>
        <v>35000</v>
      </c>
      <c r="I1766" s="40">
        <f>ABS(G1766-H1766)</f>
        <v>35000</v>
      </c>
    </row>
    <row r="1767" spans="1:9" x14ac:dyDescent="0.25">
      <c r="A1767" s="36" t="s">
        <v>72</v>
      </c>
      <c r="B1767" s="36" t="s">
        <v>2896</v>
      </c>
      <c r="C1767" s="36" t="s">
        <v>2897</v>
      </c>
      <c r="D1767" s="37">
        <f>SUMIF(RAW_File!D:D,C:C,RAW_File!F:F)</f>
        <v>56.488700000000001</v>
      </c>
      <c r="E1767" s="60">
        <f>SUMIF(RAW_File!D:D,C:C,RAW_File!G:G)</f>
        <v>6065</v>
      </c>
      <c r="F1767" s="39">
        <f>SUMIF(RAW_File!D:D,C:C,RAW_File!I:I)</f>
        <v>7065</v>
      </c>
      <c r="G1767" s="40">
        <f>SUMIF(RAW_File!D:D,C:C,RAW_File!K:K)</f>
        <v>5000</v>
      </c>
      <c r="H1767" s="41">
        <f>SUMIF(RAW_File!D:D,C:C,RAW_File!M:M)</f>
        <v>0</v>
      </c>
      <c r="I1767" s="40">
        <f>ABS(G1767-H1767)</f>
        <v>5000</v>
      </c>
    </row>
    <row r="1768" spans="1:9" x14ac:dyDescent="0.25">
      <c r="A1768" s="36" t="s">
        <v>72</v>
      </c>
      <c r="B1768" s="36" t="s">
        <v>2945</v>
      </c>
      <c r="C1768" s="36" t="s">
        <v>2946</v>
      </c>
      <c r="D1768" s="37">
        <f>SUMIF(RAW_File!D:D,C:C,RAW_File!F:F)</f>
        <v>99.185394940798972</v>
      </c>
      <c r="E1768" s="60">
        <f>SUMIF(RAW_File!D:D,C:C,RAW_File!G:G)</f>
        <v>15950</v>
      </c>
      <c r="F1768" s="39">
        <f>SUMIF(RAW_File!D:D,C:C,RAW_File!I:I)</f>
        <v>52610</v>
      </c>
      <c r="G1768" s="40">
        <f>SUMIF(RAW_File!D:D,C:C,RAW_File!K:K)</f>
        <v>5000</v>
      </c>
      <c r="H1768" s="41">
        <f>SUMIF(RAW_File!D:D,C:C,RAW_File!M:M)</f>
        <v>30000</v>
      </c>
      <c r="I1768" s="40">
        <f>ABS(G1768-H1768)</f>
        <v>25000</v>
      </c>
    </row>
    <row r="1769" spans="1:9" x14ac:dyDescent="0.25">
      <c r="A1769" s="36" t="s">
        <v>72</v>
      </c>
      <c r="B1769" s="36" t="s">
        <v>3006</v>
      </c>
      <c r="C1769" s="36" t="s">
        <v>3007</v>
      </c>
      <c r="D1769" s="37">
        <f>SUMIF(RAW_File!D:D,C:C,RAW_File!F:F)</f>
        <v>2312.1453688866841</v>
      </c>
      <c r="E1769" s="60">
        <f>SUMIF(RAW_File!D:D,C:C,RAW_File!G:G)</f>
        <v>3870</v>
      </c>
      <c r="F1769" s="39">
        <f>SUMIF(RAW_File!D:D,C:C,RAW_File!I:I)</f>
        <v>13120</v>
      </c>
      <c r="G1769" s="40">
        <f>SUMIF(RAW_File!D:D,C:C,RAW_File!K:K)</f>
        <v>0</v>
      </c>
      <c r="H1769" s="41">
        <f>SUMIF(RAW_File!D:D,C:C,RAW_File!M:M)</f>
        <v>5000</v>
      </c>
      <c r="I1769" s="40">
        <f>ABS(G1769-H1769)</f>
        <v>5000</v>
      </c>
    </row>
    <row r="1770" spans="1:9" x14ac:dyDescent="0.25">
      <c r="A1770" s="36" t="s">
        <v>72</v>
      </c>
      <c r="B1770" s="36" t="s">
        <v>1601</v>
      </c>
      <c r="C1770" s="36" t="s">
        <v>3282</v>
      </c>
      <c r="D1770" s="37">
        <f>SUMIF(RAW_File!D:D,C:C,RAW_File!F:F)</f>
        <v>879.29017499999998</v>
      </c>
      <c r="E1770" s="60">
        <f>SUMIF(RAW_File!D:D,C:C,RAW_File!G:G)</f>
        <v>1300</v>
      </c>
      <c r="F1770" s="39">
        <f>SUMIF(RAW_File!D:D,C:C,RAW_File!I:I)</f>
        <v>8510</v>
      </c>
      <c r="G1770" s="40">
        <f>SUMIF(RAW_File!D:D,C:C,RAW_File!K:K)</f>
        <v>0</v>
      </c>
      <c r="H1770" s="41">
        <f>SUMIF(RAW_File!D:D,C:C,RAW_File!M:M)</f>
        <v>8000</v>
      </c>
      <c r="I1770" s="40">
        <f>ABS(G1770-H1770)</f>
        <v>8000</v>
      </c>
    </row>
    <row r="1771" spans="1:9" x14ac:dyDescent="0.25">
      <c r="A1771" s="63" t="s">
        <v>72</v>
      </c>
      <c r="B1771" s="63" t="s">
        <v>3301</v>
      </c>
      <c r="C1771" s="63" t="s">
        <v>3302</v>
      </c>
      <c r="D1771" s="65">
        <f>SUMIF(RAW_File!D:D,C:C,RAW_File!F:F)</f>
        <v>1069.9267</v>
      </c>
      <c r="E1771" s="67">
        <f>SUMIF(RAW_File!D:D,C:C,RAW_File!G:G)</f>
        <v>255</v>
      </c>
      <c r="F1771" s="69">
        <f>SUMIF(RAW_File!D:D,C:C,RAW_File!I:I)</f>
        <v>255</v>
      </c>
      <c r="G1771" s="71">
        <f>SUMIF(RAW_File!D:D,C:C,RAW_File!K:K)</f>
        <v>0</v>
      </c>
      <c r="H1771" s="72">
        <f>SUMIF(RAW_File!D:D,C:C,RAW_File!M:M)</f>
        <v>5000</v>
      </c>
      <c r="I1771" s="71">
        <f>ABS(G1771-H1771)</f>
        <v>5000</v>
      </c>
    </row>
    <row r="1772" spans="1:9" x14ac:dyDescent="0.25">
      <c r="A1772" s="63" t="s">
        <v>72</v>
      </c>
      <c r="B1772" s="63" t="s">
        <v>3492</v>
      </c>
      <c r="C1772" s="63" t="s">
        <v>3493</v>
      </c>
      <c r="D1772" s="65">
        <f>SUMIF(RAW_File!D:D,C:C,RAW_File!F:F)</f>
        <v>7.5083000000000002</v>
      </c>
      <c r="E1772" s="67">
        <f>SUMIF(RAW_File!D:D,C:C,RAW_File!G:G)</f>
        <v>0</v>
      </c>
      <c r="F1772" s="69">
        <f>SUMIF(RAW_File!D:D,C:C,RAW_File!I:I)</f>
        <v>0</v>
      </c>
      <c r="G1772" s="71">
        <f>SUMIF(RAW_File!D:D,C:C,RAW_File!K:K)</f>
        <v>0</v>
      </c>
      <c r="H1772" s="72">
        <f>SUMIF(RAW_File!D:D,C:C,RAW_File!M:M)</f>
        <v>0</v>
      </c>
      <c r="I1772" s="71">
        <f>ABS(G1772-H1772)</f>
        <v>0</v>
      </c>
    </row>
  </sheetData>
  <sheetProtection autoFilter="0" pivotTables="0"/>
  <autoFilter ref="A2:I1772" xr:uid="{00000000-0001-0000-0000-000000000000}">
    <filterColumn colId="0">
      <filters>
        <filter val="01334764538"/>
      </filters>
    </filterColumn>
    <sortState xmlns:xlrd2="http://schemas.microsoft.com/office/spreadsheetml/2017/richdata2" ref="A1723:I1772">
      <sortCondition ref="A2:A1772"/>
    </sortState>
  </autoFilter>
  <phoneticPr fontId="8" type="noConversion"/>
  <conditionalFormatting sqref="C1:C1048576">
    <cfRule type="duplicateValues" dxfId="27" priority="21"/>
  </conditionalFormatting>
  <conditionalFormatting sqref="E1:I1 D1:D1770">
    <cfRule type="cellIs" dxfId="26" priority="8" operator="between">
      <formula>1000</formula>
      <formula>2999</formula>
    </cfRule>
    <cfRule type="cellIs" dxfId="25" priority="9" operator="lessThan">
      <formula>999</formula>
    </cfRule>
  </conditionalFormatting>
  <conditionalFormatting sqref="F2">
    <cfRule type="cellIs" dxfId="24" priority="6" operator="lessThan">
      <formula>2000</formula>
    </cfRule>
    <cfRule type="cellIs" dxfId="23" priority="7" operator="lessThan">
      <formula>1999</formula>
    </cfRule>
  </conditionalFormatting>
  <conditionalFormatting sqref="I1:I2">
    <cfRule type="cellIs" dxfId="22" priority="1" operator="lessThan">
      <formula>2999</formula>
    </cfRule>
  </conditionalFormatting>
  <printOptions horizontalCentered="1" verticalCentered="1"/>
  <pageMargins left="0.7" right="0.7" top="0.75" bottom="0.75" header="0.3" footer="0.3"/>
  <pageSetup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99"/>
  </sheetPr>
  <dimension ref="A1:I46"/>
  <sheetViews>
    <sheetView tabSelected="1" workbookViewId="0">
      <pane ySplit="3" topLeftCell="A4" activePane="bottomLeft" state="frozen"/>
      <selection pane="bottomLeft" activeCell="B9" sqref="A1:I46"/>
    </sheetView>
  </sheetViews>
  <sheetFormatPr defaultColWidth="10.28515625" defaultRowHeight="15" x14ac:dyDescent="0.25"/>
  <cols>
    <col min="1" max="1" width="12" style="19" bestFit="1" customWidth="1"/>
    <col min="2" max="2" width="30" style="3" bestFit="1" customWidth="1"/>
    <col min="3" max="3" width="9.85546875" style="3" bestFit="1" customWidth="1"/>
    <col min="4" max="6" width="11.5703125" style="3" bestFit="1" customWidth="1"/>
    <col min="7" max="7" width="11.85546875" style="3" bestFit="1" customWidth="1"/>
    <col min="8" max="8" width="11.5703125" style="5" bestFit="1" customWidth="1"/>
    <col min="9" max="9" width="11.5703125" style="3" bestFit="1" customWidth="1"/>
    <col min="10" max="10" width="30" style="3" bestFit="1" customWidth="1"/>
    <col min="11" max="16384" width="10.28515625" style="3"/>
  </cols>
  <sheetData>
    <row r="1" spans="1:9" ht="26.25" x14ac:dyDescent="0.25">
      <c r="A1" s="75" t="s">
        <v>4831</v>
      </c>
      <c r="B1" s="75"/>
      <c r="C1" s="75"/>
      <c r="D1" s="75"/>
      <c r="E1" s="75"/>
      <c r="F1" s="75"/>
      <c r="G1" s="75"/>
      <c r="H1" s="75"/>
      <c r="I1" s="75"/>
    </row>
    <row r="2" spans="1:9" ht="26.25" x14ac:dyDescent="0.25">
      <c r="A2" s="76" t="s">
        <v>4830</v>
      </c>
      <c r="B2" s="76"/>
      <c r="C2" s="76"/>
      <c r="D2" s="76"/>
      <c r="E2" s="76"/>
      <c r="F2" s="76"/>
      <c r="G2" s="76"/>
      <c r="H2" s="76"/>
      <c r="I2" s="76"/>
    </row>
    <row r="3" spans="1:9" x14ac:dyDescent="0.25">
      <c r="A3" s="13" t="s">
        <v>7</v>
      </c>
      <c r="B3" s="14" t="s">
        <v>8</v>
      </c>
      <c r="C3" s="14" t="s">
        <v>2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3</v>
      </c>
    </row>
    <row r="4" spans="1:9" x14ac:dyDescent="0.25">
      <c r="A4" s="7" t="s">
        <v>62</v>
      </c>
      <c r="B4" s="8" t="s">
        <v>19</v>
      </c>
      <c r="C4" s="9">
        <f>COUNTIF(DSO!A:A,A4)</f>
        <v>50</v>
      </c>
      <c r="D4" s="41">
        <f>SUMIF(RAW_File!C:C,A4,RAW_File!K:K)</f>
        <v>80000</v>
      </c>
      <c r="E4" s="41">
        <f>SUMIF(RAW_File!C:C,A4,RAW_File!M:M)</f>
        <v>505000</v>
      </c>
      <c r="F4" s="41">
        <f>SUMIF(RAW_File!C:C,A4,RAW_File!G:G)</f>
        <v>105980</v>
      </c>
      <c r="G4" s="41">
        <f>SUMIF(RAW_File!C:C,A4,RAW_File!H:H)</f>
        <v>352108</v>
      </c>
      <c r="H4" s="40">
        <f>SUMIF(RAW_File!C:C,A4,RAW_File!I:I)</f>
        <v>458088</v>
      </c>
      <c r="I4" s="41">
        <f>SUMIF(RAW_File!C:C,A4,RAW_File!F:F)</f>
        <v>367958.2478713399</v>
      </c>
    </row>
    <row r="5" spans="1:9" x14ac:dyDescent="0.25">
      <c r="A5" s="7" t="s">
        <v>84</v>
      </c>
      <c r="B5" s="8" t="s">
        <v>40</v>
      </c>
      <c r="C5" s="9">
        <f>COUNTIF(DSO!A:A,A5)</f>
        <v>50</v>
      </c>
      <c r="D5" s="41">
        <f>SUMIF(RAW_File!C:C,A5,RAW_File!K:K)</f>
        <v>147000</v>
      </c>
      <c r="E5" s="41">
        <f>SUMIF(RAW_File!C:C,A5,RAW_File!M:M)</f>
        <v>620000</v>
      </c>
      <c r="F5" s="41">
        <f>SUMIF(RAW_File!C:C,A5,RAW_File!G:G)</f>
        <v>180171</v>
      </c>
      <c r="G5" s="41">
        <f>SUMIF(RAW_File!C:C,A5,RAW_File!H:H)</f>
        <v>469144</v>
      </c>
      <c r="H5" s="40">
        <f>SUMIF(RAW_File!C:C,A5,RAW_File!I:I)</f>
        <v>649315</v>
      </c>
      <c r="I5" s="41">
        <f>SUMIF(RAW_File!C:C,A5,RAW_File!F:F)</f>
        <v>302521.12684760394</v>
      </c>
    </row>
    <row r="6" spans="1:9" x14ac:dyDescent="0.25">
      <c r="A6" s="7" t="s">
        <v>71</v>
      </c>
      <c r="B6" s="8" t="s">
        <v>25</v>
      </c>
      <c r="C6" s="9">
        <f>COUNTIF(DSO!A:A,A6)</f>
        <v>48</v>
      </c>
      <c r="D6" s="41">
        <f>SUMIF(RAW_File!C:C,A6,RAW_File!K:K)</f>
        <v>201000</v>
      </c>
      <c r="E6" s="41">
        <f>SUMIF(RAW_File!C:C,A6,RAW_File!M:M)</f>
        <v>481000</v>
      </c>
      <c r="F6" s="41">
        <f>SUMIF(RAW_File!C:C,A6,RAW_File!G:G)</f>
        <v>136915</v>
      </c>
      <c r="G6" s="41">
        <f>SUMIF(RAW_File!C:C,A6,RAW_File!H:H)</f>
        <v>360495</v>
      </c>
      <c r="H6" s="40">
        <f>SUMIF(RAW_File!C:C,A6,RAW_File!I:I)</f>
        <v>497410</v>
      </c>
      <c r="I6" s="41">
        <f>SUMIF(RAW_File!C:C,A6,RAW_File!F:F)</f>
        <v>396608.09434579592</v>
      </c>
    </row>
    <row r="7" spans="1:9" x14ac:dyDescent="0.25">
      <c r="A7" s="7" t="s">
        <v>67</v>
      </c>
      <c r="B7" s="8" t="s">
        <v>88</v>
      </c>
      <c r="C7" s="9">
        <f>COUNTIF(DSO!A:A,A7)</f>
        <v>52</v>
      </c>
      <c r="D7" s="41">
        <f>SUMIF(RAW_File!C:C,A7,RAW_File!K:K)</f>
        <v>227000</v>
      </c>
      <c r="E7" s="41">
        <f>SUMIF(RAW_File!C:C,A7,RAW_File!M:M)</f>
        <v>700000</v>
      </c>
      <c r="F7" s="41">
        <f>SUMIF(RAW_File!C:C,A7,RAW_File!G:G)</f>
        <v>224255</v>
      </c>
      <c r="G7" s="41">
        <f>SUMIF(RAW_File!C:C,A7,RAW_File!H:H)</f>
        <v>507918</v>
      </c>
      <c r="H7" s="40">
        <f>SUMIF(RAW_File!C:C,A7,RAW_File!I:I)</f>
        <v>732173</v>
      </c>
      <c r="I7" s="41">
        <f>SUMIF(RAW_File!C:C,A7,RAW_File!F:F)</f>
        <v>644796.89910179935</v>
      </c>
    </row>
    <row r="8" spans="1:9" x14ac:dyDescent="0.25">
      <c r="A8" s="7" t="s">
        <v>81</v>
      </c>
      <c r="B8" s="8" t="s">
        <v>35</v>
      </c>
      <c r="C8" s="9">
        <f>COUNTIF(DSO!A:A,A8)</f>
        <v>48</v>
      </c>
      <c r="D8" s="41">
        <f>SUMIF(RAW_File!C:C,A8,RAW_File!K:K)</f>
        <v>98000</v>
      </c>
      <c r="E8" s="41">
        <f>SUMIF(RAW_File!C:C,A8,RAW_File!M:M)</f>
        <v>777000</v>
      </c>
      <c r="F8" s="41">
        <f>SUMIF(RAW_File!C:C,A8,RAW_File!G:G)</f>
        <v>290359</v>
      </c>
      <c r="G8" s="41">
        <f>SUMIF(RAW_File!C:C,A8,RAW_File!H:H)</f>
        <v>535900.27</v>
      </c>
      <c r="H8" s="40">
        <f>SUMIF(RAW_File!C:C,A8,RAW_File!I:I)</f>
        <v>826259.27</v>
      </c>
      <c r="I8" s="41">
        <f>SUMIF(RAW_File!C:C,A8,RAW_File!F:F)</f>
        <v>605693.66246768436</v>
      </c>
    </row>
    <row r="9" spans="1:9" x14ac:dyDescent="0.25">
      <c r="A9" s="7" t="s">
        <v>86</v>
      </c>
      <c r="B9" s="8" t="s">
        <v>90</v>
      </c>
      <c r="C9" s="9">
        <f>COUNTIF(DSO!A:A,A9)</f>
        <v>51</v>
      </c>
      <c r="D9" s="41">
        <f>SUMIF(RAW_File!C:C,A9,RAW_File!K:K)</f>
        <v>127000</v>
      </c>
      <c r="E9" s="41">
        <f>SUMIF(RAW_File!C:C,A9,RAW_File!M:M)</f>
        <v>823000</v>
      </c>
      <c r="F9" s="41">
        <f>SUMIF(RAW_File!C:C,A9,RAW_File!G:G)</f>
        <v>149558</v>
      </c>
      <c r="G9" s="41">
        <f>SUMIF(RAW_File!C:C,A9,RAW_File!H:H)</f>
        <v>583504</v>
      </c>
      <c r="H9" s="40">
        <f>SUMIF(RAW_File!C:C,A9,RAW_File!I:I)</f>
        <v>733062</v>
      </c>
      <c r="I9" s="41">
        <f>SUMIF(RAW_File!C:C,A9,RAW_File!F:F)</f>
        <v>345301.32305483916</v>
      </c>
    </row>
    <row r="10" spans="1:9" x14ac:dyDescent="0.25">
      <c r="A10" s="7" t="s">
        <v>59</v>
      </c>
      <c r="B10" s="8" t="s">
        <v>15</v>
      </c>
      <c r="C10" s="9">
        <f>COUNTIF(DSO!A:A,A10)</f>
        <v>50</v>
      </c>
      <c r="D10" s="41">
        <f>SUMIF(RAW_File!C:C,A10,RAW_File!K:K)</f>
        <v>250500</v>
      </c>
      <c r="E10" s="41">
        <f>SUMIF(RAW_File!C:C,A10,RAW_File!M:M)</f>
        <v>700500</v>
      </c>
      <c r="F10" s="41">
        <f>SUMIF(RAW_File!C:C,A10,RAW_File!G:G)</f>
        <v>326384</v>
      </c>
      <c r="G10" s="41">
        <f>SUMIF(RAW_File!C:C,A10,RAW_File!H:H)</f>
        <v>700798</v>
      </c>
      <c r="H10" s="40">
        <f>SUMIF(RAW_File!C:C,A10,RAW_File!I:I)</f>
        <v>1027182</v>
      </c>
      <c r="I10" s="41">
        <f>SUMIF(RAW_File!C:C,A10,RAW_File!F:F)</f>
        <v>368505.85822428402</v>
      </c>
    </row>
    <row r="11" spans="1:9" x14ac:dyDescent="0.25">
      <c r="A11" s="7" t="s">
        <v>72</v>
      </c>
      <c r="B11" s="8" t="s">
        <v>91</v>
      </c>
      <c r="C11" s="9">
        <f>COUNTIF(DSO!A:A,A11)</f>
        <v>50</v>
      </c>
      <c r="D11" s="41">
        <f>SUMIF(RAW_File!C:C,A11,RAW_File!K:K)</f>
        <v>109000</v>
      </c>
      <c r="E11" s="41">
        <f>SUMIF(RAW_File!C:C,A11,RAW_File!M:M)</f>
        <v>994000</v>
      </c>
      <c r="F11" s="41">
        <f>SUMIF(RAW_File!C:C,A11,RAW_File!G:G)</f>
        <v>121322</v>
      </c>
      <c r="G11" s="41">
        <f>SUMIF(RAW_File!C:C,A11,RAW_File!H:H)</f>
        <v>649413</v>
      </c>
      <c r="H11" s="40">
        <f>SUMIF(RAW_File!C:C,A11,RAW_File!I:I)</f>
        <v>770735</v>
      </c>
      <c r="I11" s="41">
        <f>SUMIF(RAW_File!C:C,A11,RAW_File!F:F)</f>
        <v>365025.17673507193</v>
      </c>
    </row>
    <row r="12" spans="1:9" x14ac:dyDescent="0.25">
      <c r="A12" s="77" t="s">
        <v>104</v>
      </c>
      <c r="B12" s="77"/>
      <c r="C12" s="20">
        <f t="shared" ref="C12:I12" si="0">SUM(C4:C11)</f>
        <v>399</v>
      </c>
      <c r="D12" s="55">
        <f t="shared" si="0"/>
        <v>1239500</v>
      </c>
      <c r="E12" s="55">
        <f t="shared" si="0"/>
        <v>5600500</v>
      </c>
      <c r="F12" s="55">
        <f t="shared" si="0"/>
        <v>1534944</v>
      </c>
      <c r="G12" s="55">
        <f t="shared" si="0"/>
        <v>4159280.27</v>
      </c>
      <c r="H12" s="55">
        <f t="shared" si="0"/>
        <v>5694224.2699999996</v>
      </c>
      <c r="I12" s="55">
        <f t="shared" si="0"/>
        <v>3396410.3886484182</v>
      </c>
    </row>
    <row r="13" spans="1:9" x14ac:dyDescent="0.25">
      <c r="A13" s="7" t="s">
        <v>56</v>
      </c>
      <c r="B13" s="8" t="s">
        <v>46</v>
      </c>
      <c r="C13" s="9">
        <f>COUNTIF(DSO!A:A,A13)</f>
        <v>42</v>
      </c>
      <c r="D13" s="41">
        <f>SUMIF(RAW_File!C:C,A13,RAW_File!K:K)</f>
        <v>196000</v>
      </c>
      <c r="E13" s="41">
        <f>SUMIF(RAW_File!C:C,A13,RAW_File!M:M)</f>
        <v>290000</v>
      </c>
      <c r="F13" s="41">
        <f>SUMIF(RAW_File!C:C,A13,RAW_File!G:G)</f>
        <v>325458</v>
      </c>
      <c r="G13" s="41">
        <f>SUMIF(RAW_File!C:C,A13,RAW_File!H:H)</f>
        <v>332414</v>
      </c>
      <c r="H13" s="40">
        <f>SUMIF(RAW_File!C:C,A13,RAW_File!I:I)</f>
        <v>657872</v>
      </c>
      <c r="I13" s="41">
        <f>SUMIF(RAW_File!C:C,A13,RAW_File!F:F)</f>
        <v>517773.54569157667</v>
      </c>
    </row>
    <row r="14" spans="1:9" x14ac:dyDescent="0.25">
      <c r="A14" s="7" t="s">
        <v>70</v>
      </c>
      <c r="B14" s="8" t="s">
        <v>23</v>
      </c>
      <c r="C14" s="9">
        <f>COUNTIF(DSO!A:A,A14)</f>
        <v>47</v>
      </c>
      <c r="D14" s="41">
        <f>SUMIF(RAW_File!C:C,A14,RAW_File!K:K)</f>
        <v>482000</v>
      </c>
      <c r="E14" s="41">
        <f>SUMIF(RAW_File!C:C,A14,RAW_File!M:M)</f>
        <v>535000</v>
      </c>
      <c r="F14" s="41">
        <f>SUMIF(RAW_File!C:C,A14,RAW_File!G:G)</f>
        <v>650418</v>
      </c>
      <c r="G14" s="41">
        <f>SUMIF(RAW_File!C:C,A14,RAW_File!H:H)</f>
        <v>704716</v>
      </c>
      <c r="H14" s="40">
        <f>SUMIF(RAW_File!C:C,A14,RAW_File!I:I)</f>
        <v>1355134</v>
      </c>
      <c r="I14" s="41">
        <f>SUMIF(RAW_File!C:C,A14,RAW_File!F:F)</f>
        <v>602914.44984180783</v>
      </c>
    </row>
    <row r="15" spans="1:9" x14ac:dyDescent="0.25">
      <c r="A15" s="7" t="s">
        <v>87</v>
      </c>
      <c r="B15" s="8" t="s">
        <v>31</v>
      </c>
      <c r="C15" s="9">
        <f>COUNTIF(DSO!A:A,A15)</f>
        <v>45</v>
      </c>
      <c r="D15" s="41">
        <f>SUMIF(RAW_File!C:C,A15,RAW_File!K:K)</f>
        <v>236000</v>
      </c>
      <c r="E15" s="41">
        <f>SUMIF(RAW_File!C:C,A15,RAW_File!M:M)</f>
        <v>532000</v>
      </c>
      <c r="F15" s="41">
        <f>SUMIF(RAW_File!C:C,A15,RAW_File!G:G)</f>
        <v>297408</v>
      </c>
      <c r="G15" s="41">
        <f>SUMIF(RAW_File!C:C,A15,RAW_File!H:H)</f>
        <v>552583</v>
      </c>
      <c r="H15" s="40">
        <f>SUMIF(RAW_File!C:C,A15,RAW_File!I:I)</f>
        <v>849991</v>
      </c>
      <c r="I15" s="41">
        <f>SUMIF(RAW_File!C:C,A15,RAW_File!F:F)</f>
        <v>433260.73614367947</v>
      </c>
    </row>
    <row r="16" spans="1:9" x14ac:dyDescent="0.25">
      <c r="A16" s="7" t="s">
        <v>73</v>
      </c>
      <c r="B16" s="8" t="s">
        <v>101</v>
      </c>
      <c r="C16" s="9">
        <f>COUNTIF(DSO!A:A,A16)</f>
        <v>44</v>
      </c>
      <c r="D16" s="41">
        <f>SUMIF(RAW_File!C:C,A16,RAW_File!K:K)</f>
        <v>150000</v>
      </c>
      <c r="E16" s="41">
        <f>SUMIF(RAW_File!C:C,A16,RAW_File!M:M)</f>
        <v>360000</v>
      </c>
      <c r="F16" s="41">
        <f>SUMIF(RAW_File!C:C,A16,RAW_File!G:G)</f>
        <v>144411</v>
      </c>
      <c r="G16" s="41">
        <f>SUMIF(RAW_File!C:C,A16,RAW_File!H:H)</f>
        <v>280929</v>
      </c>
      <c r="H16" s="40">
        <f>SUMIF(RAW_File!C:C,A16,RAW_File!I:I)</f>
        <v>425340</v>
      </c>
      <c r="I16" s="41">
        <f>SUMIF(RAW_File!C:C,A16,RAW_File!F:F)</f>
        <v>238475.89650270081</v>
      </c>
    </row>
    <row r="17" spans="1:9" x14ac:dyDescent="0.25">
      <c r="A17" s="7" t="s">
        <v>75</v>
      </c>
      <c r="B17" s="8" t="s">
        <v>49</v>
      </c>
      <c r="C17" s="9">
        <f>COUNTIF(DSO!A:A,A17)</f>
        <v>46</v>
      </c>
      <c r="D17" s="41">
        <f>SUMIF(RAW_File!C:C,A17,RAW_File!K:K)</f>
        <v>270000</v>
      </c>
      <c r="E17" s="41">
        <f>SUMIF(RAW_File!C:C,A17,RAW_File!M:M)</f>
        <v>483000</v>
      </c>
      <c r="F17" s="41">
        <f>SUMIF(RAW_File!C:C,A17,RAW_File!G:G)</f>
        <v>416646</v>
      </c>
      <c r="G17" s="41">
        <f>SUMIF(RAW_File!C:C,A17,RAW_File!H:H)</f>
        <v>493252</v>
      </c>
      <c r="H17" s="40">
        <f>SUMIF(RAW_File!C:C,A17,RAW_File!I:I)</f>
        <v>909898</v>
      </c>
      <c r="I17" s="41">
        <f>SUMIF(RAW_File!C:C,A17,RAW_File!F:F)</f>
        <v>621699.87135446619</v>
      </c>
    </row>
    <row r="18" spans="1:9" x14ac:dyDescent="0.25">
      <c r="A18" s="7" t="s">
        <v>60</v>
      </c>
      <c r="B18" s="8" t="s">
        <v>45</v>
      </c>
      <c r="C18" s="9">
        <f>COUNTIF(DSO!A:A,A18)</f>
        <v>45</v>
      </c>
      <c r="D18" s="41">
        <f>SUMIF(RAW_File!C:C,A18,RAW_File!K:K)</f>
        <v>247000</v>
      </c>
      <c r="E18" s="41">
        <f>SUMIF(RAW_File!C:C,A18,RAW_File!M:M)</f>
        <v>229000</v>
      </c>
      <c r="F18" s="41">
        <f>SUMIF(RAW_File!C:C,A18,RAW_File!G:G)</f>
        <v>444172.6</v>
      </c>
      <c r="G18" s="41">
        <f>SUMIF(RAW_File!C:C,A18,RAW_File!H:H)</f>
        <v>390872</v>
      </c>
      <c r="H18" s="40">
        <f>SUMIF(RAW_File!C:C,A18,RAW_File!I:I)</f>
        <v>835044.6</v>
      </c>
      <c r="I18" s="41">
        <f>SUMIF(RAW_File!C:C,A18,RAW_File!F:F)</f>
        <v>772405.1005590139</v>
      </c>
    </row>
    <row r="19" spans="1:9" x14ac:dyDescent="0.25">
      <c r="A19" s="7" t="s">
        <v>58</v>
      </c>
      <c r="B19" s="8" t="s">
        <v>21</v>
      </c>
      <c r="C19" s="9">
        <f>COUNTIF(DSO!A:A,A19)</f>
        <v>42</v>
      </c>
      <c r="D19" s="41">
        <f>SUMIF(RAW_File!C:C,A19,RAW_File!K:K)</f>
        <v>222000</v>
      </c>
      <c r="E19" s="41">
        <f>SUMIF(RAW_File!C:C,A19,RAW_File!M:M)</f>
        <v>263000</v>
      </c>
      <c r="F19" s="41">
        <f>SUMIF(RAW_File!C:C,A19,RAW_File!G:G)</f>
        <v>271357</v>
      </c>
      <c r="G19" s="41">
        <f>SUMIF(RAW_File!C:C,A19,RAW_File!H:H)</f>
        <v>377317</v>
      </c>
      <c r="H19" s="40">
        <f>SUMIF(RAW_File!C:C,A19,RAW_File!I:I)</f>
        <v>648674</v>
      </c>
      <c r="I19" s="41">
        <f>SUMIF(RAW_File!C:C,A19,RAW_File!F:F)</f>
        <v>580465.67950739467</v>
      </c>
    </row>
    <row r="20" spans="1:9" x14ac:dyDescent="0.25">
      <c r="A20" s="7" t="s">
        <v>68</v>
      </c>
      <c r="B20" s="8" t="s">
        <v>14</v>
      </c>
      <c r="C20" s="9">
        <f>COUNTIF(DSO!A:A,A20)</f>
        <v>43</v>
      </c>
      <c r="D20" s="41">
        <f>SUMIF(RAW_File!C:C,A20,RAW_File!K:K)</f>
        <v>250000</v>
      </c>
      <c r="E20" s="41">
        <f>SUMIF(RAW_File!C:C,A20,RAW_File!M:M)</f>
        <v>294000</v>
      </c>
      <c r="F20" s="41">
        <f>SUMIF(RAW_File!C:C,A20,RAW_File!G:G)</f>
        <v>351509</v>
      </c>
      <c r="G20" s="41">
        <f>SUMIF(RAW_File!C:C,A20,RAW_File!H:H)</f>
        <v>481531</v>
      </c>
      <c r="H20" s="40">
        <f>SUMIF(RAW_File!C:C,A20,RAW_File!I:I)</f>
        <v>833040</v>
      </c>
      <c r="I20" s="41">
        <f>SUMIF(RAW_File!C:C,A20,RAW_File!F:F)</f>
        <v>487855.09681760822</v>
      </c>
    </row>
    <row r="21" spans="1:9" x14ac:dyDescent="0.25">
      <c r="A21" s="7" t="s">
        <v>74</v>
      </c>
      <c r="B21" s="8" t="s">
        <v>44</v>
      </c>
      <c r="C21" s="9">
        <f>COUNTIF(DSO!A:A,A21)</f>
        <v>50</v>
      </c>
      <c r="D21" s="41">
        <f>SUMIF(RAW_File!C:C,A21,RAW_File!K:K)</f>
        <v>224000</v>
      </c>
      <c r="E21" s="41">
        <f>SUMIF(RAW_File!C:C,A21,RAW_File!M:M)</f>
        <v>505000</v>
      </c>
      <c r="F21" s="41">
        <f>SUMIF(RAW_File!C:C,A21,RAW_File!G:G)</f>
        <v>353210</v>
      </c>
      <c r="G21" s="41">
        <f>SUMIF(RAW_File!C:C,A21,RAW_File!H:H)</f>
        <v>511047</v>
      </c>
      <c r="H21" s="40">
        <f>SUMIF(RAW_File!C:C,A21,RAW_File!I:I)</f>
        <v>864257</v>
      </c>
      <c r="I21" s="41">
        <f>SUMIF(RAW_File!C:C,A21,RAW_File!F:F)</f>
        <v>308165.12256963085</v>
      </c>
    </row>
    <row r="22" spans="1:9" x14ac:dyDescent="0.25">
      <c r="A22" s="7" t="s">
        <v>57</v>
      </c>
      <c r="B22" s="8" t="s">
        <v>26</v>
      </c>
      <c r="C22" s="9">
        <f>COUNTIF(DSO!A:A,A22)</f>
        <v>50</v>
      </c>
      <c r="D22" s="41">
        <f>SUMIF(RAW_File!C:C,A22,RAW_File!K:K)</f>
        <v>79000</v>
      </c>
      <c r="E22" s="41">
        <f>SUMIF(RAW_File!C:C,A22,RAW_File!M:M)</f>
        <v>730950</v>
      </c>
      <c r="F22" s="41">
        <f>SUMIF(RAW_File!C:C,A22,RAW_File!G:G)</f>
        <v>121460</v>
      </c>
      <c r="G22" s="41">
        <f>SUMIF(RAW_File!C:C,A22,RAW_File!H:H)</f>
        <v>517304</v>
      </c>
      <c r="H22" s="40">
        <f>SUMIF(RAW_File!C:C,A22,RAW_File!I:I)</f>
        <v>638764</v>
      </c>
      <c r="I22" s="41">
        <f>SUMIF(RAW_File!C:C,A22,RAW_File!F:F)</f>
        <v>198263.14373345027</v>
      </c>
    </row>
    <row r="23" spans="1:9" x14ac:dyDescent="0.25">
      <c r="A23" s="78" t="s">
        <v>103</v>
      </c>
      <c r="B23" s="78"/>
      <c r="C23" s="30">
        <f>SUM(C13:C22)</f>
        <v>454</v>
      </c>
      <c r="D23" s="56">
        <f t="shared" ref="D23:I23" si="1">SUM(D13:D22)</f>
        <v>2356000</v>
      </c>
      <c r="E23" s="56">
        <f t="shared" si="1"/>
        <v>4221950</v>
      </c>
      <c r="F23" s="56">
        <f t="shared" si="1"/>
        <v>3376049.6</v>
      </c>
      <c r="G23" s="56">
        <f t="shared" si="1"/>
        <v>4641965</v>
      </c>
      <c r="H23" s="56">
        <f t="shared" si="1"/>
        <v>8018014.5999999996</v>
      </c>
      <c r="I23" s="56">
        <f t="shared" si="1"/>
        <v>4761278.6427213289</v>
      </c>
    </row>
    <row r="24" spans="1:9" x14ac:dyDescent="0.25">
      <c r="A24" s="7" t="s">
        <v>80</v>
      </c>
      <c r="B24" s="8" t="s">
        <v>43</v>
      </c>
      <c r="C24" s="9">
        <f>COUNTIF(DSO!A:A,A24)</f>
        <v>44</v>
      </c>
      <c r="D24" s="41">
        <f>SUMIF(RAW_File!C:C,A24,RAW_File!K:K)</f>
        <v>148000</v>
      </c>
      <c r="E24" s="41">
        <f>SUMIF(RAW_File!C:C,A24,RAW_File!M:M)</f>
        <v>659000</v>
      </c>
      <c r="F24" s="41">
        <f>SUMIF(RAW_File!C:C,A24,RAW_File!G:G)</f>
        <v>260298</v>
      </c>
      <c r="G24" s="41">
        <f>SUMIF(RAW_File!C:C,A24,RAW_File!H:H)</f>
        <v>547378</v>
      </c>
      <c r="H24" s="40">
        <f>SUMIF(RAW_File!C:C,A24,RAW_File!I:I)</f>
        <v>807676</v>
      </c>
      <c r="I24" s="41">
        <f>SUMIF(RAW_File!C:C,A24,RAW_File!F:F)</f>
        <v>395297.05479078845</v>
      </c>
    </row>
    <row r="25" spans="1:9" x14ac:dyDescent="0.25">
      <c r="A25" s="7" t="s">
        <v>52</v>
      </c>
      <c r="B25" s="8" t="s">
        <v>47</v>
      </c>
      <c r="C25" s="9">
        <f>COUNTIF(DSO!A:A,A25)</f>
        <v>47</v>
      </c>
      <c r="D25" s="41">
        <f>SUMIF(RAW_File!C:C,A25,RAW_File!K:K)</f>
        <v>164000</v>
      </c>
      <c r="E25" s="41">
        <f>SUMIF(RAW_File!C:C,A25,RAW_File!M:M)</f>
        <v>429500</v>
      </c>
      <c r="F25" s="41">
        <f>SUMIF(RAW_File!C:C,A25,RAW_File!G:G)</f>
        <v>219747</v>
      </c>
      <c r="G25" s="41">
        <f>SUMIF(RAW_File!C:C,A25,RAW_File!H:H)</f>
        <v>329900.55</v>
      </c>
      <c r="H25" s="40">
        <f>SUMIF(RAW_File!C:C,A25,RAW_File!I:I)</f>
        <v>549647.55000000005</v>
      </c>
      <c r="I25" s="41">
        <f>SUMIF(RAW_File!C:C,A25,RAW_File!F:F)</f>
        <v>407551.69026244682</v>
      </c>
    </row>
    <row r="26" spans="1:9" x14ac:dyDescent="0.25">
      <c r="A26" s="7" t="s">
        <v>66</v>
      </c>
      <c r="B26" s="8" t="s">
        <v>94</v>
      </c>
      <c r="C26" s="9">
        <f>COUNTIF(DSO!A:A,A26)</f>
        <v>38</v>
      </c>
      <c r="D26" s="41">
        <f>SUMIF(RAW_File!C:C,A26,RAW_File!K:K)</f>
        <v>165500</v>
      </c>
      <c r="E26" s="41">
        <f>SUMIF(RAW_File!C:C,A26,RAW_File!M:M)</f>
        <v>269000</v>
      </c>
      <c r="F26" s="41">
        <f>SUMIF(RAW_File!C:C,A26,RAW_File!G:G)</f>
        <v>485931</v>
      </c>
      <c r="G26" s="41">
        <f>SUMIF(RAW_File!C:C,A26,RAW_File!H:H)</f>
        <v>504584</v>
      </c>
      <c r="H26" s="40">
        <f>SUMIF(RAW_File!C:C,A26,RAW_File!I:I)</f>
        <v>990515</v>
      </c>
      <c r="I26" s="41">
        <f>SUMIF(RAW_File!C:C,A26,RAW_File!F:F)</f>
        <v>283420.01092195115</v>
      </c>
    </row>
    <row r="27" spans="1:9" x14ac:dyDescent="0.25">
      <c r="A27" s="7" t="s">
        <v>63</v>
      </c>
      <c r="B27" s="8" t="s">
        <v>18</v>
      </c>
      <c r="C27" s="9">
        <f>COUNTIF(DSO!A:A,A27)</f>
        <v>45</v>
      </c>
      <c r="D27" s="41">
        <f>SUMIF(RAW_File!C:C,A27,RAW_File!K:K)</f>
        <v>224000</v>
      </c>
      <c r="E27" s="41">
        <f>SUMIF(RAW_File!C:C,A27,RAW_File!M:M)</f>
        <v>663000</v>
      </c>
      <c r="F27" s="41">
        <f>SUMIF(RAW_File!C:C,A27,RAW_File!G:G)</f>
        <v>370843</v>
      </c>
      <c r="G27" s="41">
        <f>SUMIF(RAW_File!C:C,A27,RAW_File!H:H)</f>
        <v>654056</v>
      </c>
      <c r="H27" s="40">
        <f>SUMIF(RAW_File!C:C,A27,RAW_File!I:I)</f>
        <v>1024899</v>
      </c>
      <c r="I27" s="41">
        <f>SUMIF(RAW_File!C:C,A27,RAW_File!F:F)</f>
        <v>649854.27391591563</v>
      </c>
    </row>
    <row r="28" spans="1:9" x14ac:dyDescent="0.25">
      <c r="A28" s="7" t="s">
        <v>76</v>
      </c>
      <c r="B28" s="8" t="s">
        <v>17</v>
      </c>
      <c r="C28" s="9">
        <f>COUNTIF(DSO!A:A,A28)</f>
        <v>51</v>
      </c>
      <c r="D28" s="41">
        <f>SUMIF(RAW_File!C:C,A28,RAW_File!K:K)</f>
        <v>263000</v>
      </c>
      <c r="E28" s="41">
        <f>SUMIF(RAW_File!C:C,A28,RAW_File!M:M)</f>
        <v>524000</v>
      </c>
      <c r="F28" s="41">
        <f>SUMIF(RAW_File!C:C,A28,RAW_File!G:G)</f>
        <v>351450</v>
      </c>
      <c r="G28" s="41">
        <f>SUMIF(RAW_File!C:C,A28,RAW_File!H:H)</f>
        <v>497566</v>
      </c>
      <c r="H28" s="40">
        <f>SUMIF(RAW_File!C:C,A28,RAW_File!I:I)</f>
        <v>849016</v>
      </c>
      <c r="I28" s="41">
        <f>SUMIF(RAW_File!C:C,A28,RAW_File!F:F)</f>
        <v>569887.18246409413</v>
      </c>
    </row>
    <row r="29" spans="1:9" x14ac:dyDescent="0.25">
      <c r="A29" s="7" t="s">
        <v>55</v>
      </c>
      <c r="B29" s="8" t="s">
        <v>32</v>
      </c>
      <c r="C29" s="9">
        <f>COUNTIF(DSO!A:A,A29)</f>
        <v>43</v>
      </c>
      <c r="D29" s="41">
        <f>SUMIF(RAW_File!C:C,A29,RAW_File!K:K)</f>
        <v>252000</v>
      </c>
      <c r="E29" s="41">
        <f>SUMIF(RAW_File!C:C,A29,RAW_File!M:M)</f>
        <v>495000</v>
      </c>
      <c r="F29" s="41">
        <f>SUMIF(RAW_File!C:C,A29,RAW_File!G:G)</f>
        <v>307279</v>
      </c>
      <c r="G29" s="41">
        <f>SUMIF(RAW_File!C:C,A29,RAW_File!H:H)</f>
        <v>449988</v>
      </c>
      <c r="H29" s="40">
        <f>SUMIF(RAW_File!C:C,A29,RAW_File!I:I)</f>
        <v>757267</v>
      </c>
      <c r="I29" s="41">
        <f>SUMIF(RAW_File!C:C,A29,RAW_File!F:F)</f>
        <v>495194.15753404092</v>
      </c>
    </row>
    <row r="30" spans="1:9" x14ac:dyDescent="0.25">
      <c r="A30" s="7" t="s">
        <v>83</v>
      </c>
      <c r="B30" s="8" t="s">
        <v>24</v>
      </c>
      <c r="C30" s="9">
        <f>COUNTIF(DSO!A:A,A30)</f>
        <v>47</v>
      </c>
      <c r="D30" s="41">
        <f>SUMIF(RAW_File!C:C,A30,RAW_File!K:K)</f>
        <v>134500</v>
      </c>
      <c r="E30" s="41">
        <f>SUMIF(RAW_File!C:C,A30,RAW_File!M:M)</f>
        <v>539999</v>
      </c>
      <c r="F30" s="41">
        <f>SUMIF(RAW_File!C:C,A30,RAW_File!G:G)</f>
        <v>154912</v>
      </c>
      <c r="G30" s="41">
        <f>SUMIF(RAW_File!C:C,A30,RAW_File!H:H)</f>
        <v>401767</v>
      </c>
      <c r="H30" s="40">
        <f>SUMIF(RAW_File!C:C,A30,RAW_File!I:I)</f>
        <v>556679</v>
      </c>
      <c r="I30" s="41">
        <f>SUMIF(RAW_File!C:C,A30,RAW_File!F:F)</f>
        <v>333680.81286669214</v>
      </c>
    </row>
    <row r="31" spans="1:9" x14ac:dyDescent="0.25">
      <c r="A31" s="7" t="s">
        <v>79</v>
      </c>
      <c r="B31" s="8" t="s">
        <v>16</v>
      </c>
      <c r="C31" s="9">
        <f>COUNTIF(DSO!A:A,A31)</f>
        <v>47</v>
      </c>
      <c r="D31" s="41">
        <f>SUMIF(RAW_File!C:C,A31,RAW_File!K:K)</f>
        <v>141000</v>
      </c>
      <c r="E31" s="41">
        <f>SUMIF(RAW_File!C:C,A31,RAW_File!M:M)</f>
        <v>183000</v>
      </c>
      <c r="F31" s="41">
        <f>SUMIF(RAW_File!C:C,A31,RAW_File!G:G)</f>
        <v>294481</v>
      </c>
      <c r="G31" s="41">
        <f>SUMIF(RAW_File!C:C,A31,RAW_File!H:H)</f>
        <v>364570</v>
      </c>
      <c r="H31" s="40">
        <f>SUMIF(RAW_File!C:C,A31,RAW_File!I:I)</f>
        <v>659051</v>
      </c>
      <c r="I31" s="41">
        <f>SUMIF(RAW_File!C:C,A31,RAW_File!F:F)</f>
        <v>531534.25460781448</v>
      </c>
    </row>
    <row r="32" spans="1:9" x14ac:dyDescent="0.25">
      <c r="A32" s="7" t="s">
        <v>78</v>
      </c>
      <c r="B32" s="8" t="s">
        <v>97</v>
      </c>
      <c r="C32" s="9">
        <f>COUNTIF(DSO!A:A,A32)</f>
        <v>49</v>
      </c>
      <c r="D32" s="41">
        <f>SUMIF(RAW_File!C:C,A32,RAW_File!K:K)</f>
        <v>77000</v>
      </c>
      <c r="E32" s="41">
        <f>SUMIF(RAW_File!C:C,A32,RAW_File!M:M)</f>
        <v>533000</v>
      </c>
      <c r="F32" s="41">
        <f>SUMIF(RAW_File!C:C,A32,RAW_File!G:G)</f>
        <v>132696</v>
      </c>
      <c r="G32" s="41">
        <f>SUMIF(RAW_File!C:C,A32,RAW_File!H:H)</f>
        <v>322764</v>
      </c>
      <c r="H32" s="40">
        <f>SUMIF(RAW_File!C:C,A32,RAW_File!I:I)</f>
        <v>455460</v>
      </c>
      <c r="I32" s="41">
        <f>SUMIF(RAW_File!C:C,A32,RAW_File!F:F)</f>
        <v>192905.55860274678</v>
      </c>
    </row>
    <row r="33" spans="1:9" x14ac:dyDescent="0.25">
      <c r="A33" s="7" t="s">
        <v>92</v>
      </c>
      <c r="B33" s="8" t="s">
        <v>96</v>
      </c>
      <c r="C33" s="9">
        <f>COUNTIF(DSO!A:A,A33)</f>
        <v>47</v>
      </c>
      <c r="D33" s="41">
        <f>SUMIF(RAW_File!C:C,A33,RAW_File!K:K)</f>
        <v>133000</v>
      </c>
      <c r="E33" s="41">
        <f>SUMIF(RAW_File!C:C,A33,RAW_File!M:M)</f>
        <v>512000</v>
      </c>
      <c r="F33" s="41">
        <f>SUMIF(RAW_File!C:C,A33,RAW_File!G:G)</f>
        <v>360273</v>
      </c>
      <c r="G33" s="41">
        <f>SUMIF(RAW_File!C:C,A33,RAW_File!H:H)</f>
        <v>560514</v>
      </c>
      <c r="H33" s="40">
        <f>SUMIF(RAW_File!C:C,A33,RAW_File!I:I)</f>
        <v>920787</v>
      </c>
      <c r="I33" s="41">
        <f>SUMIF(RAW_File!C:C,A33,RAW_File!F:F)</f>
        <v>485710.94124171673</v>
      </c>
    </row>
    <row r="34" spans="1:9" x14ac:dyDescent="0.25">
      <c r="A34" s="74" t="s">
        <v>99</v>
      </c>
      <c r="B34" s="74"/>
      <c r="C34" s="11">
        <f>SUM(C24:C33)</f>
        <v>458</v>
      </c>
      <c r="D34" s="57">
        <f t="shared" ref="D34:I34" si="2">SUM(D24:D33)</f>
        <v>1702000</v>
      </c>
      <c r="E34" s="57">
        <f t="shared" si="2"/>
        <v>4807499</v>
      </c>
      <c r="F34" s="57">
        <f t="shared" si="2"/>
        <v>2937910</v>
      </c>
      <c r="G34" s="57">
        <f t="shared" si="2"/>
        <v>4633087.55</v>
      </c>
      <c r="H34" s="57">
        <f t="shared" si="2"/>
        <v>7570997.5499999998</v>
      </c>
      <c r="I34" s="57">
        <f t="shared" si="2"/>
        <v>4345035.9372082073</v>
      </c>
    </row>
    <row r="35" spans="1:9" x14ac:dyDescent="0.25">
      <c r="A35" s="7" t="s">
        <v>69</v>
      </c>
      <c r="B35" s="8" t="s">
        <v>22</v>
      </c>
      <c r="C35" s="9">
        <f>COUNTIF(DSO!A:A,A35)</f>
        <v>42</v>
      </c>
      <c r="D35" s="41">
        <f>SUMIF(RAW_File!C:C,A35,RAW_File!K:K)</f>
        <v>146000</v>
      </c>
      <c r="E35" s="41">
        <f>SUMIF(RAW_File!C:C,A35,RAW_File!M:M)</f>
        <v>292000</v>
      </c>
      <c r="F35" s="41">
        <f>SUMIF(RAW_File!C:C,A35,RAW_File!G:G)</f>
        <v>356260</v>
      </c>
      <c r="G35" s="41">
        <f>SUMIF(RAW_File!C:C,A35,RAW_File!H:H)</f>
        <v>386754</v>
      </c>
      <c r="H35" s="40">
        <f>SUMIF(RAW_File!C:C,A35,RAW_File!I:I)</f>
        <v>743014</v>
      </c>
      <c r="I35" s="41">
        <f>SUMIF(RAW_File!C:C,A35,RAW_File!F:F)</f>
        <v>265561.15861857688</v>
      </c>
    </row>
    <row r="36" spans="1:9" x14ac:dyDescent="0.25">
      <c r="A36" s="7" t="s">
        <v>53</v>
      </c>
      <c r="B36" s="8" t="s">
        <v>51</v>
      </c>
      <c r="C36" s="9">
        <f>COUNTIF(DSO!A:A,A36)</f>
        <v>49</v>
      </c>
      <c r="D36" s="41">
        <f>SUMIF(RAW_File!C:C,A36,RAW_File!K:K)</f>
        <v>437000</v>
      </c>
      <c r="E36" s="41">
        <f>SUMIF(RAW_File!C:C,A36,RAW_File!M:M)</f>
        <v>365000</v>
      </c>
      <c r="F36" s="41">
        <f>SUMIF(RAW_File!C:C,A36,RAW_File!G:G)</f>
        <v>416960</v>
      </c>
      <c r="G36" s="41">
        <f>SUMIF(RAW_File!C:C,A36,RAW_File!H:H)</f>
        <v>469827</v>
      </c>
      <c r="H36" s="40">
        <f>SUMIF(RAW_File!C:C,A36,RAW_File!I:I)</f>
        <v>886787</v>
      </c>
      <c r="I36" s="41">
        <f>SUMIF(RAW_File!C:C,A36,RAW_File!F:F)</f>
        <v>589922.44514426554</v>
      </c>
    </row>
    <row r="37" spans="1:9" x14ac:dyDescent="0.25">
      <c r="A37" s="7" t="s">
        <v>65</v>
      </c>
      <c r="B37" s="8" t="s">
        <v>89</v>
      </c>
      <c r="C37" s="9">
        <f>COUNTIF(DSO!A:A,A37)</f>
        <v>51</v>
      </c>
      <c r="D37" s="41">
        <f>SUMIF(RAW_File!C:C,A37,RAW_File!K:K)</f>
        <v>259000</v>
      </c>
      <c r="E37" s="41">
        <f>SUMIF(RAW_File!C:C,A37,RAW_File!M:M)</f>
        <v>340000</v>
      </c>
      <c r="F37" s="41">
        <f>SUMIF(RAW_File!C:C,A37,RAW_File!G:G)</f>
        <v>349036</v>
      </c>
      <c r="G37" s="41">
        <f>SUMIF(RAW_File!C:C,A37,RAW_File!H:H)</f>
        <v>412805</v>
      </c>
      <c r="H37" s="40">
        <f>SUMIF(RAW_File!C:C,A37,RAW_File!I:I)</f>
        <v>761841</v>
      </c>
      <c r="I37" s="41">
        <f>SUMIF(RAW_File!C:C,A37,RAW_File!F:F)</f>
        <v>537137.49603988754</v>
      </c>
    </row>
    <row r="38" spans="1:9" x14ac:dyDescent="0.25">
      <c r="A38" s="7" t="s">
        <v>64</v>
      </c>
      <c r="B38" s="8" t="s">
        <v>20</v>
      </c>
      <c r="C38" s="9">
        <f>COUNTIF(DSO!A:A,A38)</f>
        <v>42</v>
      </c>
      <c r="D38" s="41">
        <f>SUMIF(RAW_File!C:C,A38,RAW_File!K:K)</f>
        <v>443000</v>
      </c>
      <c r="E38" s="41">
        <f>SUMIF(RAW_File!C:C,A38,RAW_File!M:M)</f>
        <v>287000</v>
      </c>
      <c r="F38" s="41">
        <f>SUMIF(RAW_File!C:C,A38,RAW_File!G:G)</f>
        <v>503125</v>
      </c>
      <c r="G38" s="41">
        <f>SUMIF(RAW_File!C:C,A38,RAW_File!H:H)</f>
        <v>387144</v>
      </c>
      <c r="H38" s="40">
        <f>SUMIF(RAW_File!C:C,A38,RAW_File!I:I)</f>
        <v>890269</v>
      </c>
      <c r="I38" s="41">
        <f>SUMIF(RAW_File!C:C,A38,RAW_File!F:F)</f>
        <v>626644.15592585236</v>
      </c>
    </row>
    <row r="39" spans="1:9" x14ac:dyDescent="0.25">
      <c r="A39" s="7" t="s">
        <v>82</v>
      </c>
      <c r="B39" s="8" t="s">
        <v>102</v>
      </c>
      <c r="C39" s="9">
        <f>COUNTIF(DSO!A:A,A39)</f>
        <v>54</v>
      </c>
      <c r="D39" s="41">
        <f>SUMIF(RAW_File!C:C,A39,RAW_File!K:K)</f>
        <v>187000</v>
      </c>
      <c r="E39" s="41">
        <f>SUMIF(RAW_File!C:C,A39,RAW_File!M:M)</f>
        <v>479500</v>
      </c>
      <c r="F39" s="41">
        <f>SUMIF(RAW_File!C:C,A39,RAW_File!G:G)</f>
        <v>324022</v>
      </c>
      <c r="G39" s="41">
        <f>SUMIF(RAW_File!C:C,A39,RAW_File!H:H)</f>
        <v>517054</v>
      </c>
      <c r="H39" s="40">
        <f>SUMIF(RAW_File!C:C,A39,RAW_File!I:I)</f>
        <v>841076</v>
      </c>
      <c r="I39" s="41">
        <f>SUMIF(RAW_File!C:C,A39,RAW_File!F:F)</f>
        <v>387002.99118193367</v>
      </c>
    </row>
    <row r="40" spans="1:9" x14ac:dyDescent="0.25">
      <c r="A40" s="7" t="s">
        <v>77</v>
      </c>
      <c r="B40" s="8" t="s">
        <v>33</v>
      </c>
      <c r="C40" s="9">
        <f>COUNTIF(DSO!A:A,A40)</f>
        <v>44</v>
      </c>
      <c r="D40" s="41">
        <f>SUMIF(RAW_File!C:C,A40,RAW_File!K:K)</f>
        <v>93000</v>
      </c>
      <c r="E40" s="41">
        <f>SUMIF(RAW_File!C:C,A40,RAW_File!M:M)</f>
        <v>562000</v>
      </c>
      <c r="F40" s="41">
        <f>SUMIF(RAW_File!C:C,A40,RAW_File!G:G)</f>
        <v>249935</v>
      </c>
      <c r="G40" s="41">
        <f>SUMIF(RAW_File!C:C,A40,RAW_File!H:H)</f>
        <v>200067</v>
      </c>
      <c r="H40" s="40">
        <f>SUMIF(RAW_File!C:C,A40,RAW_File!I:I)</f>
        <v>450002</v>
      </c>
      <c r="I40" s="41">
        <f>SUMIF(RAW_File!C:C,A40,RAW_File!F:F)</f>
        <v>368945.7087180012</v>
      </c>
    </row>
    <row r="41" spans="1:9" x14ac:dyDescent="0.25">
      <c r="A41" s="7" t="s">
        <v>61</v>
      </c>
      <c r="B41" s="8" t="s">
        <v>50</v>
      </c>
      <c r="C41" s="9">
        <f>COUNTIF(DSO!A:A,A41)</f>
        <v>39</v>
      </c>
      <c r="D41" s="41">
        <f>SUMIF(RAW_File!C:C,A41,RAW_File!K:K)</f>
        <v>290000</v>
      </c>
      <c r="E41" s="41">
        <f>SUMIF(RAW_File!C:C,A41,RAW_File!M:M)</f>
        <v>396000</v>
      </c>
      <c r="F41" s="41">
        <f>SUMIF(RAW_File!C:C,A41,RAW_File!G:G)</f>
        <v>366040</v>
      </c>
      <c r="G41" s="41">
        <f>SUMIF(RAW_File!C:C,A41,RAW_File!H:H)</f>
        <v>500795</v>
      </c>
      <c r="H41" s="40">
        <f>SUMIF(RAW_File!C:C,A41,RAW_File!I:I)</f>
        <v>866835</v>
      </c>
      <c r="I41" s="41">
        <f>SUMIF(RAW_File!C:C,A41,RAW_File!F:F)</f>
        <v>504115.05570343183</v>
      </c>
    </row>
    <row r="42" spans="1:9" x14ac:dyDescent="0.25">
      <c r="A42" s="7" t="s">
        <v>54</v>
      </c>
      <c r="B42" s="8" t="s">
        <v>48</v>
      </c>
      <c r="C42" s="9">
        <f>COUNTIF(DSO!A:A,A42)</f>
        <v>51</v>
      </c>
      <c r="D42" s="41">
        <f>SUMIF(RAW_File!C:C,A42,RAW_File!K:K)</f>
        <v>154000</v>
      </c>
      <c r="E42" s="41">
        <f>SUMIF(RAW_File!C:C,A42,RAW_File!M:M)</f>
        <v>261000</v>
      </c>
      <c r="F42" s="41">
        <f>SUMIF(RAW_File!C:C,A42,RAW_File!G:G)</f>
        <v>244456</v>
      </c>
      <c r="G42" s="41">
        <f>SUMIF(RAW_File!C:C,A42,RAW_File!H:H)</f>
        <v>337902</v>
      </c>
      <c r="H42" s="40">
        <f>SUMIF(RAW_File!C:C,A42,RAW_File!I:I)</f>
        <v>582358</v>
      </c>
      <c r="I42" s="41">
        <f>SUMIF(RAW_File!C:C,A42,RAW_File!F:F)</f>
        <v>486584.31073588488</v>
      </c>
    </row>
    <row r="43" spans="1:9" x14ac:dyDescent="0.25">
      <c r="A43" s="7" t="s">
        <v>93</v>
      </c>
      <c r="B43" s="8" t="s">
        <v>95</v>
      </c>
      <c r="C43" s="9">
        <f>COUNTIF(DSO!A:A,A43)</f>
        <v>40</v>
      </c>
      <c r="D43" s="41">
        <f>SUMIF(RAW_File!C:C,A43,RAW_File!K:K)</f>
        <v>231000</v>
      </c>
      <c r="E43" s="41">
        <f>SUMIF(RAW_File!C:C,A43,RAW_File!M:M)</f>
        <v>362500</v>
      </c>
      <c r="F43" s="41">
        <f>SUMIF(RAW_File!C:C,A43,RAW_File!G:G)</f>
        <v>350423</v>
      </c>
      <c r="G43" s="41">
        <f>SUMIF(RAW_File!C:C,A43,RAW_File!H:H)</f>
        <v>459713</v>
      </c>
      <c r="H43" s="40">
        <f>SUMIF(RAW_File!C:C,A43,RAW_File!I:I)</f>
        <v>810136</v>
      </c>
      <c r="I43" s="41">
        <f>SUMIF(RAW_File!C:C,A43,RAW_File!F:F)</f>
        <v>507432.11058696953</v>
      </c>
    </row>
    <row r="44" spans="1:9" x14ac:dyDescent="0.25">
      <c r="A44" s="7" t="s">
        <v>85</v>
      </c>
      <c r="B44" s="8" t="s">
        <v>39</v>
      </c>
      <c r="C44" s="9">
        <f>COUNTIF(DSO!A:A,A44)</f>
        <v>47</v>
      </c>
      <c r="D44" s="41">
        <f>SUMIF(RAW_File!C:C,A44,RAW_File!K:K)</f>
        <v>113000</v>
      </c>
      <c r="E44" s="41">
        <f>SUMIF(RAW_File!C:C,A44,RAW_File!M:M)</f>
        <v>989000</v>
      </c>
      <c r="F44" s="41">
        <f>SUMIF(RAW_File!C:C,A44,RAW_File!G:G)</f>
        <v>199050</v>
      </c>
      <c r="G44" s="41">
        <f>SUMIF(RAW_File!C:C,A44,RAW_File!H:H)</f>
        <v>695700</v>
      </c>
      <c r="H44" s="40">
        <f>SUMIF(RAW_File!C:C,A44,RAW_File!I:I)</f>
        <v>894750</v>
      </c>
      <c r="I44" s="41">
        <f>SUMIF(RAW_File!C:C,A44,RAW_File!F:F)</f>
        <v>456932.16358651972</v>
      </c>
    </row>
    <row r="45" spans="1:9" x14ac:dyDescent="0.25">
      <c r="A45" s="74" t="s">
        <v>100</v>
      </c>
      <c r="B45" s="74"/>
      <c r="C45" s="11">
        <f t="shared" ref="C45:I45" si="3">SUM(C35:C44)</f>
        <v>459</v>
      </c>
      <c r="D45" s="57">
        <f t="shared" si="3"/>
        <v>2353000</v>
      </c>
      <c r="E45" s="57">
        <f t="shared" si="3"/>
        <v>4334000</v>
      </c>
      <c r="F45" s="57">
        <f t="shared" si="3"/>
        <v>3359307</v>
      </c>
      <c r="G45" s="57">
        <f t="shared" si="3"/>
        <v>4367761</v>
      </c>
      <c r="H45" s="57">
        <f t="shared" si="3"/>
        <v>7727068</v>
      </c>
      <c r="I45" s="57">
        <f t="shared" si="3"/>
        <v>4730277.5962413233</v>
      </c>
    </row>
    <row r="46" spans="1:9" x14ac:dyDescent="0.25">
      <c r="A46" s="73" t="s">
        <v>98</v>
      </c>
      <c r="B46" s="73"/>
      <c r="C46" s="16">
        <f t="shared" ref="C46:I46" si="4">SUM(C12+C23+C34+C45)</f>
        <v>1770</v>
      </c>
      <c r="D46" s="58">
        <f t="shared" si="4"/>
        <v>7650500</v>
      </c>
      <c r="E46" s="58">
        <f t="shared" si="4"/>
        <v>18963949</v>
      </c>
      <c r="F46" s="58">
        <f t="shared" si="4"/>
        <v>11208210.6</v>
      </c>
      <c r="G46" s="58">
        <f t="shared" si="4"/>
        <v>17802093.82</v>
      </c>
      <c r="H46" s="58">
        <f t="shared" si="4"/>
        <v>29010304.419999998</v>
      </c>
      <c r="I46" s="58">
        <f t="shared" si="4"/>
        <v>17233002.564819276</v>
      </c>
    </row>
  </sheetData>
  <mergeCells count="7">
    <mergeCell ref="A46:B46"/>
    <mergeCell ref="A45:B45"/>
    <mergeCell ref="A1:I1"/>
    <mergeCell ref="A2:I2"/>
    <mergeCell ref="A12:B12"/>
    <mergeCell ref="A23:B23"/>
    <mergeCell ref="A34:B34"/>
  </mergeCells>
  <phoneticPr fontId="8" type="noConversion"/>
  <conditionalFormatting sqref="A3">
    <cfRule type="duplicateValues" dxfId="21" priority="16"/>
  </conditionalFormatting>
  <conditionalFormatting sqref="A4:A33 A35:A46">
    <cfRule type="duplicateValues" dxfId="20" priority="44"/>
  </conditionalFormatting>
  <conditionalFormatting sqref="A34">
    <cfRule type="duplicateValues" dxfId="19" priority="3"/>
  </conditionalFormatting>
  <conditionalFormatting sqref="B3">
    <cfRule type="duplicateValues" dxfId="18" priority="15"/>
  </conditionalFormatting>
  <conditionalFormatting sqref="B4:B9 B11:B26 B28:B33 B35:B46">
    <cfRule type="duplicateValues" dxfId="17" priority="46"/>
  </conditionalFormatting>
  <conditionalFormatting sqref="B10">
    <cfRule type="duplicateValues" dxfId="16" priority="7"/>
  </conditionalFormatting>
  <conditionalFormatting sqref="B27">
    <cfRule type="duplicateValues" dxfId="15" priority="8"/>
  </conditionalFormatting>
  <conditionalFormatting sqref="B34">
    <cfRule type="duplicateValues" dxfId="14" priority="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0931-563C-4ABA-ABE2-69146D3D2C8F}">
  <sheetPr>
    <tabColor rgb="FF00FFFF"/>
  </sheetPr>
  <dimension ref="A1:K46"/>
  <sheetViews>
    <sheetView topLeftCell="C1" workbookViewId="0">
      <pane ySplit="3" topLeftCell="A34" activePane="bottomLeft" state="frozen"/>
      <selection pane="bottomLeft" activeCell="D43" sqref="A1:K46"/>
    </sheetView>
  </sheetViews>
  <sheetFormatPr defaultColWidth="12.140625" defaultRowHeight="15" x14ac:dyDescent="0.25"/>
  <cols>
    <col min="1" max="1" width="12" style="2" bestFit="1" customWidth="1"/>
    <col min="2" max="2" width="30" style="1" bestFit="1" customWidth="1"/>
    <col min="3" max="3" width="9.85546875" style="1" bestFit="1" customWidth="1"/>
    <col min="4" max="4" width="16.42578125" style="1" bestFit="1" customWidth="1"/>
    <col min="5" max="5" width="4.28515625" style="1" customWidth="1"/>
    <col min="6" max="6" width="12.5703125" style="1" bestFit="1" customWidth="1"/>
    <col min="7" max="7" width="4.5703125" style="1" bestFit="1" customWidth="1"/>
    <col min="8" max="8" width="8.28515625" style="1" bestFit="1" customWidth="1"/>
    <col min="9" max="9" width="4.5703125" style="1" bestFit="1" customWidth="1"/>
    <col min="10" max="10" width="12.42578125" style="1" bestFit="1" customWidth="1"/>
    <col min="11" max="11" width="5.5703125" style="1" bestFit="1" customWidth="1"/>
    <col min="12" max="16384" width="12.140625" style="1"/>
  </cols>
  <sheetData>
    <row r="1" spans="1:11" ht="30" customHeight="1" x14ac:dyDescent="0.25">
      <c r="A1" s="79" t="str">
        <f>Summary!A1:I1</f>
        <v>Report Till-19/01/2026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30" customHeight="1" x14ac:dyDescent="0.25">
      <c r="A2" s="81" t="str">
        <f>Summary!A2:I2</f>
        <v>Sales Report - 05:50 PM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 s="18" customFormat="1" x14ac:dyDescent="0.25">
      <c r="A3" s="13" t="s">
        <v>7</v>
      </c>
      <c r="B3" s="14" t="s">
        <v>8</v>
      </c>
      <c r="C3" s="14" t="s">
        <v>2</v>
      </c>
      <c r="D3" s="15" t="s">
        <v>34</v>
      </c>
      <c r="E3" s="15" t="s">
        <v>29</v>
      </c>
      <c r="F3" s="15" t="s">
        <v>36</v>
      </c>
      <c r="G3" s="15" t="s">
        <v>29</v>
      </c>
      <c r="H3" s="15" t="s">
        <v>37</v>
      </c>
      <c r="I3" s="15" t="s">
        <v>29</v>
      </c>
      <c r="J3" s="15" t="s">
        <v>38</v>
      </c>
      <c r="K3" s="15" t="s">
        <v>29</v>
      </c>
    </row>
    <row r="4" spans="1:11" x14ac:dyDescent="0.25">
      <c r="A4" s="7" t="s">
        <v>62</v>
      </c>
      <c r="B4" s="8" t="str">
        <f>VLOOKUP(A4,Summary!A4:B4,2,FALSE)</f>
        <v>AJHARUL</v>
      </c>
      <c r="C4" s="9">
        <f>COUNTIF(DSO!A:A,A4)</f>
        <v>50</v>
      </c>
      <c r="D4" s="9">
        <f>COUNTIFS(DSO!A:A,A4,DSO!D:D,"&gt;999")</f>
        <v>40</v>
      </c>
      <c r="E4" s="10">
        <f t="shared" ref="E4:E46" si="0">D4/C4</f>
        <v>0.8</v>
      </c>
      <c r="F4" s="22">
        <f>COUNTIFS(RAW_File!C:C,A4:A11,RAW_File!N:N,"&gt;2999")</f>
        <v>9</v>
      </c>
      <c r="G4" s="23">
        <f>F4/C4</f>
        <v>0.18</v>
      </c>
      <c r="H4" s="22">
        <f>COUNTIFS(RAW_File!C:C,A4:A11,RAW_File!O:O,"&gt;1999")</f>
        <v>35</v>
      </c>
      <c r="I4" s="24">
        <f>H4/C4</f>
        <v>0.7</v>
      </c>
      <c r="J4" s="25">
        <f>F4+H4</f>
        <v>44</v>
      </c>
      <c r="K4" s="26">
        <f>J4/C4</f>
        <v>0.88</v>
      </c>
    </row>
    <row r="5" spans="1:11" x14ac:dyDescent="0.25">
      <c r="A5" s="7" t="s">
        <v>84</v>
      </c>
      <c r="B5" s="8" t="str">
        <f>VLOOKUP(A5,Summary!A5:B5,2,FALSE)</f>
        <v>MD. ANZARUL ISLAM</v>
      </c>
      <c r="C5" s="9">
        <f>COUNTIF(DSO!A:A,A5)</f>
        <v>50</v>
      </c>
      <c r="D5" s="9">
        <f>COUNTIFS(DSO!A:A,A5,DSO!D:D,"&gt;999")</f>
        <v>33</v>
      </c>
      <c r="E5" s="10">
        <f t="shared" ref="E5:E10" si="1">D5/C5</f>
        <v>0.66</v>
      </c>
      <c r="F5" s="22">
        <f>COUNTIFS(RAW_File!C:C,A5:A12,RAW_File!N:N,"&gt;2999")</f>
        <v>15</v>
      </c>
      <c r="G5" s="23">
        <f t="shared" ref="G5:G10" si="2">F5/C5</f>
        <v>0.3</v>
      </c>
      <c r="H5" s="22">
        <f>COUNTIFS(RAW_File!C:C,A5:A12,RAW_File!O:O,"&gt;1999")</f>
        <v>24</v>
      </c>
      <c r="I5" s="24">
        <f t="shared" ref="I5:I10" si="3">H5/C5</f>
        <v>0.48</v>
      </c>
      <c r="J5" s="25">
        <f t="shared" ref="J5:J10" si="4">F5+H5</f>
        <v>39</v>
      </c>
      <c r="K5" s="26">
        <f t="shared" ref="K5:K10" si="5">J5/C5</f>
        <v>0.78</v>
      </c>
    </row>
    <row r="6" spans="1:11" x14ac:dyDescent="0.25">
      <c r="A6" s="7" t="s">
        <v>71</v>
      </c>
      <c r="B6" s="8" t="str">
        <f>VLOOKUP(A6,Summary!A6:B6,2,FALSE)</f>
        <v>MONI BHUSION ROY</v>
      </c>
      <c r="C6" s="9">
        <f>COUNTIF(DSO!A:A,A6)</f>
        <v>48</v>
      </c>
      <c r="D6" s="9">
        <f>COUNTIFS(DSO!A:A,A6,DSO!D:D,"&gt;999")</f>
        <v>29</v>
      </c>
      <c r="E6" s="10">
        <f t="shared" si="1"/>
        <v>0.60416666666666663</v>
      </c>
      <c r="F6" s="22">
        <f>COUNTIFS(RAW_File!C:C,A6:A13,RAW_File!N:N,"&gt;2999")</f>
        <v>17</v>
      </c>
      <c r="G6" s="23">
        <f t="shared" si="2"/>
        <v>0.35416666666666669</v>
      </c>
      <c r="H6" s="22">
        <f>COUNTIFS(RAW_File!C:C,A6:A13,RAW_File!O:O,"&gt;1999")</f>
        <v>25</v>
      </c>
      <c r="I6" s="24">
        <f t="shared" si="3"/>
        <v>0.52083333333333337</v>
      </c>
      <c r="J6" s="25">
        <f t="shared" si="4"/>
        <v>42</v>
      </c>
      <c r="K6" s="26">
        <f t="shared" si="5"/>
        <v>0.875</v>
      </c>
    </row>
    <row r="7" spans="1:11" x14ac:dyDescent="0.25">
      <c r="A7" s="7" t="s">
        <v>67</v>
      </c>
      <c r="B7" s="8" t="str">
        <f>VLOOKUP(A7,Summary!A7:B7,2,FALSE)</f>
        <v>MD. MIRAJUL ISLAM</v>
      </c>
      <c r="C7" s="9">
        <f>COUNTIF(DSO!A:A,A7)</f>
        <v>52</v>
      </c>
      <c r="D7" s="9">
        <f>COUNTIFS(DSO!A:A,A7,DSO!D:D,"&gt;999")</f>
        <v>40</v>
      </c>
      <c r="E7" s="10">
        <f t="shared" si="1"/>
        <v>0.76923076923076927</v>
      </c>
      <c r="F7" s="22">
        <f>COUNTIFS(RAW_File!C:C,A7:A14,RAW_File!N:N,"&gt;2999")</f>
        <v>19</v>
      </c>
      <c r="G7" s="23">
        <f t="shared" si="2"/>
        <v>0.36538461538461536</v>
      </c>
      <c r="H7" s="22">
        <f>COUNTIFS(RAW_File!C:C,A7:A14,RAW_File!O:O,"&gt;1999")</f>
        <v>28</v>
      </c>
      <c r="I7" s="24">
        <f t="shared" si="3"/>
        <v>0.53846153846153844</v>
      </c>
      <c r="J7" s="25">
        <f t="shared" si="4"/>
        <v>47</v>
      </c>
      <c r="K7" s="26">
        <f t="shared" si="5"/>
        <v>0.90384615384615385</v>
      </c>
    </row>
    <row r="8" spans="1:11" x14ac:dyDescent="0.25">
      <c r="A8" s="7" t="s">
        <v>81</v>
      </c>
      <c r="B8" s="8" t="str">
        <f>VLOOKUP(A8,Summary!A8:B8,2,FALSE)</f>
        <v>SUJAN SARKERR</v>
      </c>
      <c r="C8" s="9">
        <f>COUNTIF(DSO!A:A,A8)</f>
        <v>48</v>
      </c>
      <c r="D8" s="9">
        <f>COUNTIFS(DSO!A:A,A8,DSO!D:D,"&gt;999")</f>
        <v>38</v>
      </c>
      <c r="E8" s="10">
        <f t="shared" si="1"/>
        <v>0.79166666666666663</v>
      </c>
      <c r="F8" s="22">
        <f>COUNTIFS(RAW_File!C:C,A8:A15,RAW_File!N:N,"&gt;2999")</f>
        <v>13</v>
      </c>
      <c r="G8" s="23">
        <f t="shared" si="2"/>
        <v>0.27083333333333331</v>
      </c>
      <c r="H8" s="22">
        <f>COUNTIFS(RAW_File!C:C,A8:A15,RAW_File!O:O,"&gt;1999")</f>
        <v>30</v>
      </c>
      <c r="I8" s="24">
        <f t="shared" si="3"/>
        <v>0.625</v>
      </c>
      <c r="J8" s="25">
        <f t="shared" si="4"/>
        <v>43</v>
      </c>
      <c r="K8" s="26">
        <f t="shared" si="5"/>
        <v>0.89583333333333337</v>
      </c>
    </row>
    <row r="9" spans="1:11" x14ac:dyDescent="0.25">
      <c r="A9" s="7" t="s">
        <v>86</v>
      </c>
      <c r="B9" s="8" t="str">
        <f>VLOOKUP(A9,Summary!A9:B9,2,FALSE)</f>
        <v>MOSIUR RAHMAN</v>
      </c>
      <c r="C9" s="9">
        <f>COUNTIF(DSO!A:A,A9)</f>
        <v>51</v>
      </c>
      <c r="D9" s="9">
        <f>COUNTIFS(DSO!A:A,A9,DSO!D:D,"&gt;999")</f>
        <v>40</v>
      </c>
      <c r="E9" s="10">
        <f t="shared" si="1"/>
        <v>0.78431372549019607</v>
      </c>
      <c r="F9" s="22">
        <f>COUNTIFS(RAW_File!C:C,A9:A16,RAW_File!N:N,"&gt;2999")</f>
        <v>11</v>
      </c>
      <c r="G9" s="23">
        <f t="shared" si="2"/>
        <v>0.21568627450980393</v>
      </c>
      <c r="H9" s="22">
        <f>COUNTIFS(RAW_File!C:C,A9:A16,RAW_File!O:O,"&gt;1999")</f>
        <v>29</v>
      </c>
      <c r="I9" s="24">
        <f t="shared" si="3"/>
        <v>0.56862745098039214</v>
      </c>
      <c r="J9" s="25">
        <f t="shared" si="4"/>
        <v>40</v>
      </c>
      <c r="K9" s="26">
        <f t="shared" si="5"/>
        <v>0.78431372549019607</v>
      </c>
    </row>
    <row r="10" spans="1:11" x14ac:dyDescent="0.25">
      <c r="A10" s="7" t="s">
        <v>59</v>
      </c>
      <c r="B10" s="8" t="str">
        <f>VLOOKUP(A10,Summary!A10:B10,2,FALSE)</f>
        <v>MD. JAMAL ISLAM</v>
      </c>
      <c r="C10" s="9">
        <f>COUNTIF(DSO!A:A,A10)</f>
        <v>50</v>
      </c>
      <c r="D10" s="9">
        <f>COUNTIFS(DSO!A:A,A10,DSO!D:D,"&gt;999")</f>
        <v>33</v>
      </c>
      <c r="E10" s="10">
        <f t="shared" si="1"/>
        <v>0.66</v>
      </c>
      <c r="F10" s="22">
        <f>COUNTIFS(RAW_File!C:C,A10:A17,RAW_File!N:N,"&gt;2999")</f>
        <v>14</v>
      </c>
      <c r="G10" s="23">
        <f t="shared" si="2"/>
        <v>0.28000000000000003</v>
      </c>
      <c r="H10" s="22">
        <f>COUNTIFS(RAW_File!C:C,A10:A17,RAW_File!O:O,"&gt;1999")</f>
        <v>27</v>
      </c>
      <c r="I10" s="24">
        <f t="shared" si="3"/>
        <v>0.54</v>
      </c>
      <c r="J10" s="25">
        <f t="shared" si="4"/>
        <v>41</v>
      </c>
      <c r="K10" s="26">
        <f t="shared" si="5"/>
        <v>0.82</v>
      </c>
    </row>
    <row r="11" spans="1:11" x14ac:dyDescent="0.25">
      <c r="A11" s="7" t="s">
        <v>72</v>
      </c>
      <c r="B11" s="8" t="str">
        <f>VLOOKUP(A11,Summary!A11:B11,2,FALSE)</f>
        <v>UTTAM ROY</v>
      </c>
      <c r="C11" s="9">
        <f>COUNTIF(DSO!A:A,A11)</f>
        <v>50</v>
      </c>
      <c r="D11" s="9">
        <f>COUNTIFS(DSO!A:A,A11,DSO!D:D,"&gt;999")</f>
        <v>37</v>
      </c>
      <c r="E11" s="10">
        <f t="shared" ref="E11" si="6">D11/C11</f>
        <v>0.74</v>
      </c>
      <c r="F11" s="22">
        <f>COUNTIFS(RAW_File!C:C,A11:A17,RAW_File!N:N,"&gt;2999")</f>
        <v>9</v>
      </c>
      <c r="G11" s="23">
        <f t="shared" ref="G11" si="7">F11/C11</f>
        <v>0.18</v>
      </c>
      <c r="H11" s="22">
        <f>COUNTIFS(RAW_File!C:C,A11:A17,RAW_File!O:O,"&gt;1999")</f>
        <v>33</v>
      </c>
      <c r="I11" s="24">
        <f t="shared" ref="I11" si="8">H11/C11</f>
        <v>0.66</v>
      </c>
      <c r="J11" s="25">
        <f t="shared" ref="J11" si="9">F11+H11</f>
        <v>42</v>
      </c>
      <c r="K11" s="26">
        <f t="shared" ref="K11" si="10">J11/C11</f>
        <v>0.84</v>
      </c>
    </row>
    <row r="12" spans="1:11" x14ac:dyDescent="0.25">
      <c r="A12" s="85" t="s">
        <v>104</v>
      </c>
      <c r="B12" s="86"/>
      <c r="C12" s="20">
        <f>SUM(C4:C11)</f>
        <v>399</v>
      </c>
      <c r="D12" s="20">
        <f>SUM(D4:D11)</f>
        <v>290</v>
      </c>
      <c r="E12" s="21">
        <f t="shared" si="0"/>
        <v>0.72681704260651625</v>
      </c>
      <c r="F12" s="20">
        <f>SUM(F4:F11)</f>
        <v>107</v>
      </c>
      <c r="G12" s="27">
        <f t="shared" ref="G12:G24" si="11">F12/C12</f>
        <v>0.26817042606516289</v>
      </c>
      <c r="H12" s="20">
        <f>SUM(H4:H11)</f>
        <v>231</v>
      </c>
      <c r="I12" s="27">
        <f t="shared" ref="I12:I24" si="12">H12/C12</f>
        <v>0.57894736842105265</v>
      </c>
      <c r="J12" s="20">
        <f>SUM(J4:J11)</f>
        <v>338</v>
      </c>
      <c r="K12" s="28">
        <f t="shared" ref="K12:K24" si="13">J12/C12</f>
        <v>0.84711779448621549</v>
      </c>
    </row>
    <row r="13" spans="1:11" x14ac:dyDescent="0.25">
      <c r="A13" s="7" t="s">
        <v>56</v>
      </c>
      <c r="B13" s="8" t="str">
        <f>VLOOKUP(A13,Summary!A13:B13,2,FALSE)</f>
        <v>MD. SUMON RAHMAN</v>
      </c>
      <c r="C13" s="9">
        <f>COUNTIF(DSO!A:A,A13)</f>
        <v>42</v>
      </c>
      <c r="D13" s="9">
        <f>COUNTIFS(DSO!A:A,A13,DSO!D:D,"&gt;999")</f>
        <v>30</v>
      </c>
      <c r="E13" s="10">
        <f t="shared" si="0"/>
        <v>0.7142857142857143</v>
      </c>
      <c r="F13" s="22">
        <f>COUNTIFS(RAW_File!C:C,A13:A22,RAW_File!N:N,"&gt;2999")</f>
        <v>16</v>
      </c>
      <c r="G13" s="23">
        <f t="shared" si="11"/>
        <v>0.38095238095238093</v>
      </c>
      <c r="H13" s="22">
        <f>COUNTIFS(RAW_File!C:C,A13:A22,RAW_File!O:O,"&gt;1999")</f>
        <v>20</v>
      </c>
      <c r="I13" s="24">
        <f t="shared" si="12"/>
        <v>0.47619047619047616</v>
      </c>
      <c r="J13" s="25">
        <f t="shared" ref="J13:J24" si="14">F13+H13</f>
        <v>36</v>
      </c>
      <c r="K13" s="26">
        <f t="shared" si="13"/>
        <v>0.8571428571428571</v>
      </c>
    </row>
    <row r="14" spans="1:11" x14ac:dyDescent="0.25">
      <c r="A14" s="7" t="s">
        <v>70</v>
      </c>
      <c r="B14" s="8" t="str">
        <f>VLOOKUP(A14,Summary!A14:B14,2,FALSE)</f>
        <v>ASBI KARIM</v>
      </c>
      <c r="C14" s="9">
        <f>COUNTIF(DSO!A:A,A14)</f>
        <v>47</v>
      </c>
      <c r="D14" s="9">
        <f>COUNTIFS(DSO!A:A,A14,DSO!D:D,"&gt;999")</f>
        <v>31</v>
      </c>
      <c r="E14" s="10">
        <f t="shared" ref="E14:E20" si="15">D14/C14</f>
        <v>0.65957446808510634</v>
      </c>
      <c r="F14" s="22">
        <f>COUNTIFS(RAW_File!C:C,A14:A23,RAW_File!N:N,"&gt;2999")</f>
        <v>26</v>
      </c>
      <c r="G14" s="23">
        <f t="shared" ref="G14:G20" si="16">F14/C14</f>
        <v>0.55319148936170215</v>
      </c>
      <c r="H14" s="22">
        <f>COUNTIFS(RAW_File!C:C,A14:A23,RAW_File!O:O,"&gt;1999")</f>
        <v>17</v>
      </c>
      <c r="I14" s="24">
        <f t="shared" ref="I14:I20" si="17">H14/C14</f>
        <v>0.36170212765957449</v>
      </c>
      <c r="J14" s="25">
        <f t="shared" ref="J14:J20" si="18">F14+H14</f>
        <v>43</v>
      </c>
      <c r="K14" s="26">
        <f t="shared" ref="K14:K20" si="19">J14/C14</f>
        <v>0.91489361702127658</v>
      </c>
    </row>
    <row r="15" spans="1:11" x14ac:dyDescent="0.25">
      <c r="A15" s="7" t="s">
        <v>87</v>
      </c>
      <c r="B15" s="8" t="str">
        <f>VLOOKUP(A15,Summary!A15:B15,2,FALSE)</f>
        <v>MD. RUHUL AMIN</v>
      </c>
      <c r="C15" s="9">
        <f>COUNTIF(DSO!A:A,A15)</f>
        <v>45</v>
      </c>
      <c r="D15" s="9">
        <f>COUNTIFS(DSO!A:A,A15,DSO!D:D,"&gt;999")</f>
        <v>41</v>
      </c>
      <c r="E15" s="10">
        <f t="shared" si="15"/>
        <v>0.91111111111111109</v>
      </c>
      <c r="F15" s="22">
        <f>COUNTIFS(RAW_File!C:C,A15:A24,RAW_File!N:N,"&gt;2999")</f>
        <v>21</v>
      </c>
      <c r="G15" s="23">
        <f t="shared" si="16"/>
        <v>0.46666666666666667</v>
      </c>
      <c r="H15" s="22">
        <f>COUNTIFS(RAW_File!C:C,A15:A24,RAW_File!O:O,"&gt;1999")</f>
        <v>23</v>
      </c>
      <c r="I15" s="24">
        <f t="shared" si="17"/>
        <v>0.51111111111111107</v>
      </c>
      <c r="J15" s="25">
        <f t="shared" si="18"/>
        <v>44</v>
      </c>
      <c r="K15" s="26">
        <f t="shared" si="19"/>
        <v>0.97777777777777775</v>
      </c>
    </row>
    <row r="16" spans="1:11" x14ac:dyDescent="0.25">
      <c r="A16" s="7" t="s">
        <v>73</v>
      </c>
      <c r="B16" s="8" t="str">
        <f>VLOOKUP(A16,Summary!A16:B16,2,FALSE)</f>
        <v>PRODESH CHANDRO ROY</v>
      </c>
      <c r="C16" s="9">
        <f>COUNTIF(DSO!A:A,A16)</f>
        <v>44</v>
      </c>
      <c r="D16" s="9">
        <f>COUNTIFS(DSO!A:A,A16,DSO!D:D,"&gt;999")</f>
        <v>32</v>
      </c>
      <c r="E16" s="10">
        <f t="shared" si="15"/>
        <v>0.72727272727272729</v>
      </c>
      <c r="F16" s="22">
        <f>COUNTIFS(RAW_File!C:C,A16:A25,RAW_File!N:N,"&gt;2999")</f>
        <v>19</v>
      </c>
      <c r="G16" s="23">
        <f t="shared" si="16"/>
        <v>0.43181818181818182</v>
      </c>
      <c r="H16" s="22">
        <f>COUNTIFS(RAW_File!C:C,A16:A25,RAW_File!O:O,"&gt;1999")</f>
        <v>23</v>
      </c>
      <c r="I16" s="24">
        <f t="shared" si="17"/>
        <v>0.52272727272727271</v>
      </c>
      <c r="J16" s="25">
        <f t="shared" si="18"/>
        <v>42</v>
      </c>
      <c r="K16" s="26">
        <f t="shared" si="19"/>
        <v>0.95454545454545459</v>
      </c>
    </row>
    <row r="17" spans="1:11" x14ac:dyDescent="0.25">
      <c r="A17" s="7" t="s">
        <v>75</v>
      </c>
      <c r="B17" s="8" t="str">
        <f>VLOOKUP(A17,Summary!A17:B17,2,FALSE)</f>
        <v>SELIM SAZZAD</v>
      </c>
      <c r="C17" s="9">
        <f>COUNTIF(DSO!A:A,A17)</f>
        <v>46</v>
      </c>
      <c r="D17" s="9">
        <f>COUNTIFS(DSO!A:A,A17,DSO!D:D,"&gt;999")</f>
        <v>37</v>
      </c>
      <c r="E17" s="10">
        <f t="shared" si="15"/>
        <v>0.80434782608695654</v>
      </c>
      <c r="F17" s="22">
        <f>COUNTIFS(RAW_File!C:C,A17:A26,RAW_File!N:N,"&gt;2999")</f>
        <v>17</v>
      </c>
      <c r="G17" s="23">
        <f t="shared" si="16"/>
        <v>0.36956521739130432</v>
      </c>
      <c r="H17" s="22">
        <f>COUNTIFS(RAW_File!C:C,A17:A26,RAW_File!O:O,"&gt;1999")</f>
        <v>23</v>
      </c>
      <c r="I17" s="24">
        <f t="shared" si="17"/>
        <v>0.5</v>
      </c>
      <c r="J17" s="25">
        <f t="shared" si="18"/>
        <v>40</v>
      </c>
      <c r="K17" s="26">
        <f t="shared" si="19"/>
        <v>0.86956521739130432</v>
      </c>
    </row>
    <row r="18" spans="1:11" x14ac:dyDescent="0.25">
      <c r="A18" s="7" t="s">
        <v>60</v>
      </c>
      <c r="B18" s="8" t="str">
        <f>VLOOKUP(A18,Summary!A18:B18,2,FALSE)</f>
        <v>MD. SAZZADUL ISLAM SOHAG</v>
      </c>
      <c r="C18" s="9">
        <f>COUNTIF(DSO!A:A,A18)</f>
        <v>45</v>
      </c>
      <c r="D18" s="9">
        <f>COUNTIFS(DSO!A:A,A18,DSO!D:D,"&gt;999")</f>
        <v>38</v>
      </c>
      <c r="E18" s="10">
        <f t="shared" si="15"/>
        <v>0.84444444444444444</v>
      </c>
      <c r="F18" s="22">
        <f>COUNTIFS(RAW_File!C:C,A18:A27,RAW_File!N:N,"&gt;2999")</f>
        <v>23</v>
      </c>
      <c r="G18" s="23">
        <f t="shared" si="16"/>
        <v>0.51111111111111107</v>
      </c>
      <c r="H18" s="22">
        <f>COUNTIFS(RAW_File!C:C,A18:A27,RAW_File!O:O,"&gt;1999")</f>
        <v>16</v>
      </c>
      <c r="I18" s="24">
        <f t="shared" si="17"/>
        <v>0.35555555555555557</v>
      </c>
      <c r="J18" s="25">
        <f t="shared" si="18"/>
        <v>39</v>
      </c>
      <c r="K18" s="26">
        <f t="shared" si="19"/>
        <v>0.8666666666666667</v>
      </c>
    </row>
    <row r="19" spans="1:11" x14ac:dyDescent="0.25">
      <c r="A19" s="7" t="s">
        <v>58</v>
      </c>
      <c r="B19" s="8" t="str">
        <f>VLOOKUP(A19,Summary!A19:B19,2,FALSE)</f>
        <v>MD. ABDUL MANNAN</v>
      </c>
      <c r="C19" s="9">
        <f>COUNTIF(DSO!A:A,A19)</f>
        <v>42</v>
      </c>
      <c r="D19" s="9">
        <f>COUNTIFS(DSO!A:A,A19,DSO!D:D,"&gt;999")</f>
        <v>32</v>
      </c>
      <c r="E19" s="10">
        <f t="shared" si="15"/>
        <v>0.76190476190476186</v>
      </c>
      <c r="F19" s="22">
        <f>COUNTIFS(RAW_File!C:C,A19:A28,RAW_File!N:N,"&gt;2999")</f>
        <v>20</v>
      </c>
      <c r="G19" s="23">
        <f t="shared" si="16"/>
        <v>0.47619047619047616</v>
      </c>
      <c r="H19" s="22">
        <f>COUNTIFS(RAW_File!C:C,A19:A28,RAW_File!O:O,"&gt;1999")</f>
        <v>17</v>
      </c>
      <c r="I19" s="24">
        <f t="shared" si="17"/>
        <v>0.40476190476190477</v>
      </c>
      <c r="J19" s="25">
        <f t="shared" si="18"/>
        <v>37</v>
      </c>
      <c r="K19" s="26">
        <f t="shared" si="19"/>
        <v>0.88095238095238093</v>
      </c>
    </row>
    <row r="20" spans="1:11" x14ac:dyDescent="0.25">
      <c r="A20" s="7" t="s">
        <v>68</v>
      </c>
      <c r="B20" s="8" t="str">
        <f>VLOOKUP(A20,Summary!A20:B20,2,FALSE)</f>
        <v>SAZZAD ISLAM</v>
      </c>
      <c r="C20" s="9">
        <f>COUNTIF(DSO!A:A,A20)</f>
        <v>43</v>
      </c>
      <c r="D20" s="9">
        <f>COUNTIFS(DSO!A:A,A20,DSO!D:D,"&gt;999")</f>
        <v>31</v>
      </c>
      <c r="E20" s="10">
        <f t="shared" si="15"/>
        <v>0.72093023255813948</v>
      </c>
      <c r="F20" s="22">
        <f>COUNTIFS(RAW_File!C:C,A20:A29,RAW_File!N:N,"&gt;2999")</f>
        <v>18</v>
      </c>
      <c r="G20" s="23">
        <f t="shared" si="16"/>
        <v>0.41860465116279072</v>
      </c>
      <c r="H20" s="22">
        <f>COUNTIFS(RAW_File!C:C,A20:A29,RAW_File!O:O,"&gt;1999")</f>
        <v>19</v>
      </c>
      <c r="I20" s="24">
        <f t="shared" si="17"/>
        <v>0.44186046511627908</v>
      </c>
      <c r="J20" s="25">
        <f t="shared" si="18"/>
        <v>37</v>
      </c>
      <c r="K20" s="26">
        <f t="shared" si="19"/>
        <v>0.86046511627906974</v>
      </c>
    </row>
    <row r="21" spans="1:11" x14ac:dyDescent="0.25">
      <c r="A21" s="7" t="s">
        <v>74</v>
      </c>
      <c r="B21" s="8" t="str">
        <f>VLOOKUP(A21,Summary!A21:B21,2,FALSE)</f>
        <v>GOPEN CHANDRO ROY</v>
      </c>
      <c r="C21" s="9">
        <f>COUNTIF(DSO!A:A,A21)</f>
        <v>50</v>
      </c>
      <c r="D21" s="9">
        <f>COUNTIFS(DSO!A:A,A21,DSO!D:D,"&gt;999")</f>
        <v>35</v>
      </c>
      <c r="E21" s="10">
        <f t="shared" ref="E21:E22" si="20">D21/C21</f>
        <v>0.7</v>
      </c>
      <c r="F21" s="22">
        <f>COUNTIFS(RAW_File!C:C,A21:A31,RAW_File!N:N,"&gt;2999")</f>
        <v>17</v>
      </c>
      <c r="G21" s="23">
        <f t="shared" ref="G21:G22" si="21">F21/C21</f>
        <v>0.34</v>
      </c>
      <c r="H21" s="22">
        <f>COUNTIFS(RAW_File!C:C,A21:A31,RAW_File!O:O,"&gt;1999")</f>
        <v>25</v>
      </c>
      <c r="I21" s="24">
        <f t="shared" ref="I21:I22" si="22">H21/C21</f>
        <v>0.5</v>
      </c>
      <c r="J21" s="25">
        <f t="shared" ref="J21:J22" si="23">F21+H21</f>
        <v>42</v>
      </c>
      <c r="K21" s="26">
        <f t="shared" ref="K21:K22" si="24">J21/C21</f>
        <v>0.84</v>
      </c>
    </row>
    <row r="22" spans="1:11" x14ac:dyDescent="0.25">
      <c r="A22" s="7" t="s">
        <v>57</v>
      </c>
      <c r="B22" s="8" t="str">
        <f>VLOOKUP(A22,Summary!A22:B22,2,FALSE)</f>
        <v>ARUN ROY</v>
      </c>
      <c r="C22" s="9">
        <f>COUNTIF(DSO!A:A,A22)</f>
        <v>50</v>
      </c>
      <c r="D22" s="9">
        <f>COUNTIFS(DSO!A:A,A22,DSO!D:D,"&gt;999")</f>
        <v>28</v>
      </c>
      <c r="E22" s="10">
        <f t="shared" si="20"/>
        <v>0.56000000000000005</v>
      </c>
      <c r="F22" s="22">
        <f>COUNTIFS(RAW_File!C:C,A22:A32,RAW_File!N:N,"&gt;2999")</f>
        <v>7</v>
      </c>
      <c r="G22" s="23">
        <f t="shared" si="21"/>
        <v>0.14000000000000001</v>
      </c>
      <c r="H22" s="22">
        <f>COUNTIFS(RAW_File!C:C,A22:A32,RAW_File!O:O,"&gt;1999")</f>
        <v>36</v>
      </c>
      <c r="I22" s="24">
        <f t="shared" si="22"/>
        <v>0.72</v>
      </c>
      <c r="J22" s="25">
        <f t="shared" si="23"/>
        <v>43</v>
      </c>
      <c r="K22" s="26">
        <f t="shared" si="24"/>
        <v>0.86</v>
      </c>
    </row>
    <row r="23" spans="1:11" x14ac:dyDescent="0.25">
      <c r="A23" s="87" t="s">
        <v>103</v>
      </c>
      <c r="B23" s="88"/>
      <c r="C23" s="30">
        <f>SUM(C13:C22)</f>
        <v>454</v>
      </c>
      <c r="D23" s="30">
        <f>SUM(D13:D22)</f>
        <v>335</v>
      </c>
      <c r="E23" s="31">
        <f t="shared" si="0"/>
        <v>0.73788546255506604</v>
      </c>
      <c r="F23" s="30">
        <f>SUM(F13:F22)</f>
        <v>184</v>
      </c>
      <c r="G23" s="29">
        <f t="shared" si="11"/>
        <v>0.40528634361233479</v>
      </c>
      <c r="H23" s="30">
        <f>SUM(H13:H22)</f>
        <v>219</v>
      </c>
      <c r="I23" s="29">
        <f t="shared" si="12"/>
        <v>0.48237885462555063</v>
      </c>
      <c r="J23" s="30">
        <f>SUM(J13:J22)</f>
        <v>403</v>
      </c>
      <c r="K23" s="29">
        <f t="shared" si="13"/>
        <v>0.88766519823788548</v>
      </c>
    </row>
    <row r="24" spans="1:11" x14ac:dyDescent="0.25">
      <c r="A24" s="7" t="s">
        <v>80</v>
      </c>
      <c r="B24" s="8" t="str">
        <f>VLOOKUP(A24,Summary!A24:B24,2,FALSE)</f>
        <v>BABUL CHANDRO ROY</v>
      </c>
      <c r="C24" s="9">
        <f>COUNTIF(DSO!A:A,A24)</f>
        <v>44</v>
      </c>
      <c r="D24" s="9">
        <f>COUNTIFS(DSO!A:A,A24,DSO!D:D,"&gt;999")</f>
        <v>35</v>
      </c>
      <c r="E24" s="10">
        <f t="shared" si="0"/>
        <v>0.79545454545454541</v>
      </c>
      <c r="F24" s="22">
        <f>COUNTIFS(RAW_File!C:C,A24:A33,RAW_File!N:N,"&gt;2999")</f>
        <v>15</v>
      </c>
      <c r="G24" s="23">
        <f t="shared" si="11"/>
        <v>0.34090909090909088</v>
      </c>
      <c r="H24" s="22">
        <f>COUNTIFS(RAW_File!C:C,A24:A33,RAW_File!O:O,"&gt;1999")</f>
        <v>23</v>
      </c>
      <c r="I24" s="24">
        <f t="shared" si="12"/>
        <v>0.52272727272727271</v>
      </c>
      <c r="J24" s="25">
        <f t="shared" si="14"/>
        <v>38</v>
      </c>
      <c r="K24" s="26">
        <f t="shared" si="13"/>
        <v>0.86363636363636365</v>
      </c>
    </row>
    <row r="25" spans="1:11" x14ac:dyDescent="0.25">
      <c r="A25" s="7" t="s">
        <v>52</v>
      </c>
      <c r="B25" s="8" t="str">
        <f>VLOOKUP(A25,Summary!A25:B25,2,FALSE)</f>
        <v>TONOY SINGHA ROY</v>
      </c>
      <c r="C25" s="9">
        <f>COUNTIF(DSO!A:A,A25)</f>
        <v>47</v>
      </c>
      <c r="D25" s="9">
        <f>COUNTIFS(DSO!A:A,A25,DSO!D:D,"&gt;999")</f>
        <v>33</v>
      </c>
      <c r="E25" s="10">
        <f t="shared" ref="E25:E29" si="25">D25/C25</f>
        <v>0.7021276595744681</v>
      </c>
      <c r="F25" s="22">
        <f>COUNTIFS(RAW_File!C:C,A25:A34,RAW_File!N:N,"&gt;2999")</f>
        <v>13</v>
      </c>
      <c r="G25" s="23">
        <f t="shared" ref="G25:G29" si="26">F25/C25</f>
        <v>0.27659574468085107</v>
      </c>
      <c r="H25" s="22">
        <f>COUNTIFS(RAW_File!C:C,A25:A34,RAW_File!O:O,"&gt;1999")</f>
        <v>27</v>
      </c>
      <c r="I25" s="24">
        <f t="shared" ref="I25:I29" si="27">H25/C25</f>
        <v>0.57446808510638303</v>
      </c>
      <c r="J25" s="25">
        <f t="shared" ref="J25:J29" si="28">F25+H25</f>
        <v>40</v>
      </c>
      <c r="K25" s="26">
        <f t="shared" ref="K25:K29" si="29">J25/C25</f>
        <v>0.85106382978723405</v>
      </c>
    </row>
    <row r="26" spans="1:11" x14ac:dyDescent="0.25">
      <c r="A26" s="7" t="s">
        <v>66</v>
      </c>
      <c r="B26" s="8" t="str">
        <f>VLOOKUP(A26,Summary!A26:B26,2,FALSE)</f>
        <v xml:space="preserve">ABDUL MAJED </v>
      </c>
      <c r="C26" s="9">
        <f>COUNTIF(DSO!A:A,A26)</f>
        <v>38</v>
      </c>
      <c r="D26" s="9">
        <f>COUNTIFS(DSO!A:A,A26,DSO!D:D,"&gt;999")</f>
        <v>30</v>
      </c>
      <c r="E26" s="10">
        <f t="shared" si="25"/>
        <v>0.78947368421052633</v>
      </c>
      <c r="F26" s="22">
        <f>COUNTIFS(RAW_File!C:C,A26:A35,RAW_File!N:N,"&gt;2999")</f>
        <v>19</v>
      </c>
      <c r="G26" s="23">
        <f t="shared" si="26"/>
        <v>0.5</v>
      </c>
      <c r="H26" s="22">
        <f>COUNTIFS(RAW_File!C:C,A26:A35,RAW_File!O:O,"&gt;1999")</f>
        <v>14</v>
      </c>
      <c r="I26" s="24">
        <f t="shared" si="27"/>
        <v>0.36842105263157893</v>
      </c>
      <c r="J26" s="25">
        <f t="shared" si="28"/>
        <v>33</v>
      </c>
      <c r="K26" s="26">
        <f t="shared" si="29"/>
        <v>0.86842105263157898</v>
      </c>
    </row>
    <row r="27" spans="1:11" x14ac:dyDescent="0.25">
      <c r="A27" s="7" t="s">
        <v>63</v>
      </c>
      <c r="B27" s="8" t="str">
        <f>VLOOKUP(A27,Summary!A27:B27,2,FALSE)</f>
        <v>PITUS ROY</v>
      </c>
      <c r="C27" s="9">
        <f>COUNTIF(DSO!A:A,A27)</f>
        <v>45</v>
      </c>
      <c r="D27" s="9">
        <f>COUNTIFS(DSO!A:A,A27,DSO!D:D,"&gt;999")</f>
        <v>37</v>
      </c>
      <c r="E27" s="10">
        <f t="shared" si="25"/>
        <v>0.82222222222222219</v>
      </c>
      <c r="F27" s="22">
        <f>COUNTIFS(RAW_File!C:C,A27:A36,RAW_File!N:N,"&gt;2999")</f>
        <v>20</v>
      </c>
      <c r="G27" s="23">
        <f t="shared" si="26"/>
        <v>0.44444444444444442</v>
      </c>
      <c r="H27" s="22">
        <f>COUNTIFS(RAW_File!C:C,A27:A36,RAW_File!O:O,"&gt;1999")</f>
        <v>23</v>
      </c>
      <c r="I27" s="24">
        <f t="shared" si="27"/>
        <v>0.51111111111111107</v>
      </c>
      <c r="J27" s="25">
        <f t="shared" si="28"/>
        <v>43</v>
      </c>
      <c r="K27" s="26">
        <f t="shared" si="29"/>
        <v>0.9555555555555556</v>
      </c>
    </row>
    <row r="28" spans="1:11" x14ac:dyDescent="0.25">
      <c r="A28" s="7" t="s">
        <v>76</v>
      </c>
      <c r="B28" s="8" t="str">
        <f>VLOOKUP(A28,Summary!A28:B28,2,FALSE)</f>
        <v>SREE BINDABON CHANDRA</v>
      </c>
      <c r="C28" s="9">
        <f>COUNTIF(DSO!A:A,A28)</f>
        <v>51</v>
      </c>
      <c r="D28" s="9">
        <f>COUNTIFS(DSO!A:A,A28,DSO!D:D,"&gt;999")</f>
        <v>43</v>
      </c>
      <c r="E28" s="10">
        <f t="shared" si="25"/>
        <v>0.84313725490196079</v>
      </c>
      <c r="F28" s="22">
        <f>COUNTIFS(RAW_File!C:C,A28:A37,RAW_File!N:N,"&gt;2999")</f>
        <v>20</v>
      </c>
      <c r="G28" s="23">
        <f t="shared" si="26"/>
        <v>0.39215686274509803</v>
      </c>
      <c r="H28" s="22">
        <f>COUNTIFS(RAW_File!C:C,A28:A37,RAW_File!O:O,"&gt;1999")</f>
        <v>26</v>
      </c>
      <c r="I28" s="24">
        <f t="shared" si="27"/>
        <v>0.50980392156862742</v>
      </c>
      <c r="J28" s="25">
        <f t="shared" si="28"/>
        <v>46</v>
      </c>
      <c r="K28" s="26">
        <f t="shared" si="29"/>
        <v>0.90196078431372551</v>
      </c>
    </row>
    <row r="29" spans="1:11" x14ac:dyDescent="0.25">
      <c r="A29" s="7" t="s">
        <v>55</v>
      </c>
      <c r="B29" s="8" t="str">
        <f>VLOOKUP(A29,Summary!A29:B29,2,FALSE)</f>
        <v>SREE JOTISH CHANDRO ROY</v>
      </c>
      <c r="C29" s="9">
        <f>COUNTIF(DSO!A:A,A29)</f>
        <v>43</v>
      </c>
      <c r="D29" s="9">
        <f>COUNTIFS(DSO!A:A,A29,DSO!D:D,"&gt;999")</f>
        <v>32</v>
      </c>
      <c r="E29" s="10">
        <f t="shared" si="25"/>
        <v>0.7441860465116279</v>
      </c>
      <c r="F29" s="22">
        <f>COUNTIFS(RAW_File!C:C,A29:A38,RAW_File!N:N,"&gt;2999")</f>
        <v>18</v>
      </c>
      <c r="G29" s="23">
        <f t="shared" si="26"/>
        <v>0.41860465116279072</v>
      </c>
      <c r="H29" s="22">
        <f>COUNTIFS(RAW_File!C:C,A29:A38,RAW_File!O:O,"&gt;1999")</f>
        <v>19</v>
      </c>
      <c r="I29" s="24">
        <f t="shared" si="27"/>
        <v>0.44186046511627908</v>
      </c>
      <c r="J29" s="25">
        <f t="shared" si="28"/>
        <v>37</v>
      </c>
      <c r="K29" s="26">
        <f t="shared" si="29"/>
        <v>0.86046511627906974</v>
      </c>
    </row>
    <row r="30" spans="1:11" x14ac:dyDescent="0.25">
      <c r="A30" s="7" t="s">
        <v>83</v>
      </c>
      <c r="B30" s="8" t="str">
        <f>VLOOKUP(A30,Summary!A30:B30,2,FALSE)</f>
        <v>MD. GOLAM KIBRIA</v>
      </c>
      <c r="C30" s="9">
        <f>COUNTIF(DSO!A:A,A30)</f>
        <v>47</v>
      </c>
      <c r="D30" s="9">
        <f>COUNTIFS(DSO!A:A,A30,DSO!D:D,"&gt;999")</f>
        <v>37</v>
      </c>
      <c r="E30" s="10">
        <f t="shared" ref="E30:E31" si="30">D30/C30</f>
        <v>0.78723404255319152</v>
      </c>
      <c r="F30" s="22">
        <f>COUNTIFS(RAW_File!C:C,A30:A39,RAW_File!N:N,"&gt;2999")</f>
        <v>15</v>
      </c>
      <c r="G30" s="23">
        <f t="shared" ref="G30:G31" si="31">F30/C30</f>
        <v>0.31914893617021278</v>
      </c>
      <c r="H30" s="22">
        <f>COUNTIFS(RAW_File!C:C,A30:A39,RAW_File!O:O,"&gt;1999")</f>
        <v>27</v>
      </c>
      <c r="I30" s="24">
        <f t="shared" ref="I30:I31" si="32">H30/C30</f>
        <v>0.57446808510638303</v>
      </c>
      <c r="J30" s="25">
        <f t="shared" ref="J30:J31" si="33">F30+H30</f>
        <v>42</v>
      </c>
      <c r="K30" s="26">
        <f t="shared" ref="K30:K31" si="34">J30/C30</f>
        <v>0.8936170212765957</v>
      </c>
    </row>
    <row r="31" spans="1:11" x14ac:dyDescent="0.25">
      <c r="A31" s="7" t="s">
        <v>79</v>
      </c>
      <c r="B31" s="8" t="str">
        <f>VLOOKUP(A31,Summary!A31:B31,2,FALSE)</f>
        <v>NINTANONDO ROY</v>
      </c>
      <c r="C31" s="9">
        <f>COUNTIF(DSO!A:A,A31)</f>
        <v>47</v>
      </c>
      <c r="D31" s="9">
        <f>COUNTIFS(DSO!A:A,A31,DSO!D:D,"&gt;999")</f>
        <v>38</v>
      </c>
      <c r="E31" s="10">
        <f t="shared" si="30"/>
        <v>0.80851063829787229</v>
      </c>
      <c r="F31" s="22">
        <f>COUNTIFS(RAW_File!C:C,A31:A40,RAW_File!N:N,"&gt;2999")</f>
        <v>21</v>
      </c>
      <c r="G31" s="23">
        <f t="shared" si="31"/>
        <v>0.44680851063829785</v>
      </c>
      <c r="H31" s="22">
        <f>COUNTIFS(RAW_File!C:C,A31:A40,RAW_File!O:O,"&gt;1999")</f>
        <v>13</v>
      </c>
      <c r="I31" s="24">
        <f t="shared" si="32"/>
        <v>0.27659574468085107</v>
      </c>
      <c r="J31" s="25">
        <f t="shared" si="33"/>
        <v>34</v>
      </c>
      <c r="K31" s="26">
        <f t="shared" si="34"/>
        <v>0.72340425531914898</v>
      </c>
    </row>
    <row r="32" spans="1:11" x14ac:dyDescent="0.25">
      <c r="A32" s="7" t="s">
        <v>78</v>
      </c>
      <c r="B32" s="8" t="str">
        <f>VLOOKUP(A32,Summary!A32:B32,2,FALSE)</f>
        <v>UTTOM KUMAR</v>
      </c>
      <c r="C32" s="9">
        <f>COUNTIF(DSO!A:A,A32)</f>
        <v>49</v>
      </c>
      <c r="D32" s="9">
        <f>COUNTIFS(DSO!A:A,A32,DSO!D:D,"&gt;999")</f>
        <v>29</v>
      </c>
      <c r="E32" s="10">
        <f t="shared" ref="E32:E33" si="35">D32/C32</f>
        <v>0.59183673469387754</v>
      </c>
      <c r="F32" s="22">
        <f>COUNTIFS(RAW_File!C:C,A32:A40,RAW_File!N:N,"&gt;2999")</f>
        <v>8</v>
      </c>
      <c r="G32" s="23">
        <f t="shared" ref="G32:G33" si="36">F32/C32</f>
        <v>0.16326530612244897</v>
      </c>
      <c r="H32" s="22">
        <f>COUNTIFS(RAW_File!C:C,A32:A40,RAW_File!O:O,"&gt;1999")</f>
        <v>31</v>
      </c>
      <c r="I32" s="24">
        <f t="shared" ref="I32:I33" si="37">H32/C32</f>
        <v>0.63265306122448983</v>
      </c>
      <c r="J32" s="25">
        <f t="shared" ref="J32:J33" si="38">F32+H32</f>
        <v>39</v>
      </c>
      <c r="K32" s="26">
        <f t="shared" ref="K32:K33" si="39">J32/C32</f>
        <v>0.79591836734693877</v>
      </c>
    </row>
    <row r="33" spans="1:11" x14ac:dyDescent="0.25">
      <c r="A33" s="7" t="s">
        <v>92</v>
      </c>
      <c r="B33" s="8" t="str">
        <f>VLOOKUP(A33,Summary!A33:B33,2,FALSE)</f>
        <v xml:space="preserve">MD. SHAHIN ISLAM </v>
      </c>
      <c r="C33" s="9">
        <f>COUNTIF(DSO!A:A,A33)</f>
        <v>47</v>
      </c>
      <c r="D33" s="9">
        <f>COUNTIFS(DSO!A:A,A33,DSO!D:D,"&gt;999")</f>
        <v>34</v>
      </c>
      <c r="E33" s="10">
        <f t="shared" si="35"/>
        <v>0.72340425531914898</v>
      </c>
      <c r="F33" s="22">
        <f>COUNTIFS(RAW_File!C:C,A33:A41,RAW_File!N:N,"&gt;2999")</f>
        <v>9</v>
      </c>
      <c r="G33" s="23">
        <f t="shared" si="36"/>
        <v>0.19148936170212766</v>
      </c>
      <c r="H33" s="22">
        <f>COUNTIFS(RAW_File!C:C,A33:A41,RAW_File!O:O,"&gt;1999")</f>
        <v>27</v>
      </c>
      <c r="I33" s="24">
        <f t="shared" si="37"/>
        <v>0.57446808510638303</v>
      </c>
      <c r="J33" s="25">
        <f t="shared" si="38"/>
        <v>36</v>
      </c>
      <c r="K33" s="26">
        <f t="shared" si="39"/>
        <v>0.76595744680851063</v>
      </c>
    </row>
    <row r="34" spans="1:11" x14ac:dyDescent="0.25">
      <c r="A34" s="83" t="s">
        <v>99</v>
      </c>
      <c r="B34" s="84"/>
      <c r="C34" s="11">
        <f>SUM(C24:C33)</f>
        <v>458</v>
      </c>
      <c r="D34" s="11">
        <f>SUM(D24:D33)</f>
        <v>348</v>
      </c>
      <c r="E34" s="12">
        <f t="shared" si="0"/>
        <v>0.75982532751091703</v>
      </c>
      <c r="F34" s="11">
        <f>SUM(F24:F33)</f>
        <v>158</v>
      </c>
      <c r="G34" s="12">
        <f>F34/C34</f>
        <v>0.34497816593886466</v>
      </c>
      <c r="H34" s="11">
        <f>SUM(H24:H33)</f>
        <v>230</v>
      </c>
      <c r="I34" s="12">
        <f>H34/C34</f>
        <v>0.50218340611353707</v>
      </c>
      <c r="J34" s="11">
        <f>SUM(J24:J33)</f>
        <v>388</v>
      </c>
      <c r="K34" s="12">
        <f>J34/C34</f>
        <v>0.84716157205240172</v>
      </c>
    </row>
    <row r="35" spans="1:11" x14ac:dyDescent="0.25">
      <c r="A35" s="7" t="s">
        <v>69</v>
      </c>
      <c r="B35" s="8" t="str">
        <f>VLOOKUP(A35,Summary!A35:B35,2,FALSE)</f>
        <v>RIMON ROY</v>
      </c>
      <c r="C35" s="9">
        <f>COUNTIF(DSO!A:A,A35)</f>
        <v>42</v>
      </c>
      <c r="D35" s="9">
        <f>COUNTIFS(DSO!A:A,A35,DSO!D:D,"&gt;999")</f>
        <v>26</v>
      </c>
      <c r="E35" s="10">
        <f>D35/C35</f>
        <v>0.61904761904761907</v>
      </c>
      <c r="F35" s="22">
        <f>COUNTIFS(RAW_File!C:C,A35:A50,RAW_File!N:N,"&gt;2999")</f>
        <v>17</v>
      </c>
      <c r="G35" s="23">
        <f t="shared" ref="G35" si="40">F35/C35</f>
        <v>0.40476190476190477</v>
      </c>
      <c r="H35" s="22">
        <f>COUNTIFS(RAW_File!C:C,A35:A50,RAW_File!O:O,"&gt;1999")</f>
        <v>18</v>
      </c>
      <c r="I35" s="24">
        <f t="shared" ref="I35" si="41">H35/C35</f>
        <v>0.42857142857142855</v>
      </c>
      <c r="J35" s="25">
        <f t="shared" ref="J35" si="42">F35+H35</f>
        <v>35</v>
      </c>
      <c r="K35" s="26">
        <f t="shared" ref="K35" si="43">J35/C35</f>
        <v>0.83333333333333337</v>
      </c>
    </row>
    <row r="36" spans="1:11" x14ac:dyDescent="0.25">
      <c r="A36" s="7" t="s">
        <v>53</v>
      </c>
      <c r="B36" s="8" t="str">
        <f>VLOOKUP(A36,Summary!A36:B36,2,FALSE)</f>
        <v>MD. EAMAN ALI</v>
      </c>
      <c r="C36" s="9">
        <f>COUNTIF(DSO!A:A,A36)</f>
        <v>49</v>
      </c>
      <c r="D36" s="9">
        <f>COUNTIFS(DSO!A:A,A36,DSO!D:D,"&gt;999")</f>
        <v>40</v>
      </c>
      <c r="E36" s="10">
        <f t="shared" ref="E36:E44" si="44">D36/C36</f>
        <v>0.81632653061224492</v>
      </c>
      <c r="F36" s="22">
        <f>COUNTIFS(RAW_File!C:C,A36:A51,RAW_File!N:N,"&gt;2999")</f>
        <v>27</v>
      </c>
      <c r="G36" s="23">
        <f t="shared" ref="G36:G44" si="45">F36/C36</f>
        <v>0.55102040816326525</v>
      </c>
      <c r="H36" s="22">
        <f>COUNTIFS(RAW_File!C:C,A36:A51,RAW_File!O:O,"&gt;1999")</f>
        <v>19</v>
      </c>
      <c r="I36" s="24">
        <f t="shared" ref="I36:I44" si="46">H36/C36</f>
        <v>0.38775510204081631</v>
      </c>
      <c r="J36" s="25">
        <f t="shared" ref="J36:J44" si="47">F36+H36</f>
        <v>46</v>
      </c>
      <c r="K36" s="26">
        <f t="shared" ref="K36:K44" si="48">J36/C36</f>
        <v>0.93877551020408168</v>
      </c>
    </row>
    <row r="37" spans="1:11" x14ac:dyDescent="0.25">
      <c r="A37" s="7" t="s">
        <v>65</v>
      </c>
      <c r="B37" s="8" t="str">
        <f>VLOOKUP(A37,Summary!A37:B37,2,FALSE)</f>
        <v>ABU MUSA</v>
      </c>
      <c r="C37" s="9">
        <f>COUNTIF(DSO!A:A,A37)</f>
        <v>51</v>
      </c>
      <c r="D37" s="9">
        <f>COUNTIFS(DSO!A:A,A37,DSO!D:D,"&gt;999")</f>
        <v>41</v>
      </c>
      <c r="E37" s="10">
        <f t="shared" si="44"/>
        <v>0.80392156862745101</v>
      </c>
      <c r="F37" s="22">
        <f>COUNTIFS(RAW_File!C:C,A37:A52,RAW_File!N:N,"&gt;2999")</f>
        <v>29</v>
      </c>
      <c r="G37" s="23">
        <f t="shared" si="45"/>
        <v>0.56862745098039214</v>
      </c>
      <c r="H37" s="22">
        <f>COUNTIFS(RAW_File!C:C,A37:A52,RAW_File!O:O,"&gt;1999")</f>
        <v>17</v>
      </c>
      <c r="I37" s="24">
        <f t="shared" si="46"/>
        <v>0.33333333333333331</v>
      </c>
      <c r="J37" s="25">
        <f t="shared" si="47"/>
        <v>46</v>
      </c>
      <c r="K37" s="26">
        <f t="shared" si="48"/>
        <v>0.90196078431372551</v>
      </c>
    </row>
    <row r="38" spans="1:11" x14ac:dyDescent="0.25">
      <c r="A38" s="7" t="s">
        <v>64</v>
      </c>
      <c r="B38" s="8" t="str">
        <f>VLOOKUP(A38,Summary!A38:B38,2,FALSE)</f>
        <v>ABDUS SALAM</v>
      </c>
      <c r="C38" s="9">
        <f>COUNTIF(DSO!A:A,A38)</f>
        <v>42</v>
      </c>
      <c r="D38" s="9">
        <f>COUNTIFS(DSO!A:A,A38,DSO!D:D,"&gt;999")</f>
        <v>36</v>
      </c>
      <c r="E38" s="10">
        <f t="shared" si="44"/>
        <v>0.8571428571428571</v>
      </c>
      <c r="F38" s="22">
        <f>COUNTIFS(RAW_File!C:C,A38:A53,RAW_File!N:N,"&gt;2999")</f>
        <v>26</v>
      </c>
      <c r="G38" s="23">
        <f t="shared" si="45"/>
        <v>0.61904761904761907</v>
      </c>
      <c r="H38" s="22">
        <f>COUNTIFS(RAW_File!C:C,A38:A53,RAW_File!O:O,"&gt;1999")</f>
        <v>10</v>
      </c>
      <c r="I38" s="24">
        <f t="shared" si="46"/>
        <v>0.23809523809523808</v>
      </c>
      <c r="J38" s="25">
        <f t="shared" si="47"/>
        <v>36</v>
      </c>
      <c r="K38" s="26">
        <f t="shared" si="48"/>
        <v>0.8571428571428571</v>
      </c>
    </row>
    <row r="39" spans="1:11" x14ac:dyDescent="0.25">
      <c r="A39" s="7" t="s">
        <v>82</v>
      </c>
      <c r="B39" s="8" t="str">
        <f>VLOOKUP(A39,Summary!A39:B39,2,FALSE)</f>
        <v>MD. ALAMIN ISLAM-2</v>
      </c>
      <c r="C39" s="9">
        <f>COUNTIF(DSO!A:A,A39)</f>
        <v>54</v>
      </c>
      <c r="D39" s="9">
        <f>COUNTIFS(DSO!A:A,A39,DSO!D:D,"&gt;999")</f>
        <v>32</v>
      </c>
      <c r="E39" s="10">
        <f t="shared" si="44"/>
        <v>0.59259259259259256</v>
      </c>
      <c r="F39" s="22">
        <f>COUNTIFS(RAW_File!C:C,A39:A54,RAW_File!N:N,"&gt;2999")</f>
        <v>18</v>
      </c>
      <c r="G39" s="23">
        <f t="shared" si="45"/>
        <v>0.33333333333333331</v>
      </c>
      <c r="H39" s="22">
        <f>COUNTIFS(RAW_File!C:C,A39:A54,RAW_File!O:O,"&gt;1999")</f>
        <v>24</v>
      </c>
      <c r="I39" s="24">
        <f t="shared" si="46"/>
        <v>0.44444444444444442</v>
      </c>
      <c r="J39" s="25">
        <f t="shared" si="47"/>
        <v>42</v>
      </c>
      <c r="K39" s="26">
        <f t="shared" si="48"/>
        <v>0.77777777777777779</v>
      </c>
    </row>
    <row r="40" spans="1:11" x14ac:dyDescent="0.25">
      <c r="A40" s="7" t="s">
        <v>77</v>
      </c>
      <c r="B40" s="8" t="str">
        <f>VLOOKUP(A40,Summary!A40:B40,2,FALSE)</f>
        <v>MD. ALAMIN ISLAM</v>
      </c>
      <c r="C40" s="9">
        <f>COUNTIF(DSO!A:A,A40)</f>
        <v>44</v>
      </c>
      <c r="D40" s="9">
        <f>COUNTIFS(DSO!A:A,A40,DSO!D:D,"&gt;999")</f>
        <v>25</v>
      </c>
      <c r="E40" s="10">
        <f t="shared" ref="E40" si="49">D40/C40</f>
        <v>0.56818181818181823</v>
      </c>
      <c r="F40" s="22">
        <f>COUNTIFS(RAW_File!C:C,A40:A56,RAW_File!N:N,"&gt;2999")</f>
        <v>14</v>
      </c>
      <c r="G40" s="23">
        <f t="shared" ref="G40" si="50">F40/C40</f>
        <v>0.31818181818181818</v>
      </c>
      <c r="H40" s="22">
        <f>COUNTIFS(RAW_File!C:C,A40:A56,RAW_File!O:O,"&gt;1999")</f>
        <v>22</v>
      </c>
      <c r="I40" s="24">
        <f t="shared" ref="I40" si="51">H40/C40</f>
        <v>0.5</v>
      </c>
      <c r="J40" s="25">
        <f t="shared" ref="J40" si="52">F40+H40</f>
        <v>36</v>
      </c>
      <c r="K40" s="26">
        <f t="shared" ref="K40" si="53">J40/C40</f>
        <v>0.81818181818181823</v>
      </c>
    </row>
    <row r="41" spans="1:11" x14ac:dyDescent="0.25">
      <c r="A41" s="7" t="s">
        <v>61</v>
      </c>
      <c r="B41" s="8" t="str">
        <f>VLOOKUP(A41,Summary!A41:B41,2,FALSE)</f>
        <v>NAHID ISLAM</v>
      </c>
      <c r="C41" s="9">
        <f>COUNTIF(DSO!A:A,A41)</f>
        <v>39</v>
      </c>
      <c r="D41" s="9">
        <f>COUNTIFS(DSO!A:A,A41,DSO!D:D,"&gt;999")</f>
        <v>32</v>
      </c>
      <c r="E41" s="10">
        <f t="shared" si="44"/>
        <v>0.82051282051282048</v>
      </c>
      <c r="F41" s="22">
        <f>COUNTIFS(RAW_File!C:C,A41:A56,RAW_File!N:N,"&gt;2999")</f>
        <v>21</v>
      </c>
      <c r="G41" s="23">
        <f t="shared" si="45"/>
        <v>0.53846153846153844</v>
      </c>
      <c r="H41" s="22">
        <f>COUNTIFS(RAW_File!C:C,A41:A56,RAW_File!O:O,"&gt;1999")</f>
        <v>15</v>
      </c>
      <c r="I41" s="24">
        <f t="shared" si="46"/>
        <v>0.38461538461538464</v>
      </c>
      <c r="J41" s="25">
        <f t="shared" si="47"/>
        <v>36</v>
      </c>
      <c r="K41" s="26">
        <f t="shared" si="48"/>
        <v>0.92307692307692313</v>
      </c>
    </row>
    <row r="42" spans="1:11" x14ac:dyDescent="0.25">
      <c r="A42" s="7" t="s">
        <v>54</v>
      </c>
      <c r="B42" s="8" t="str">
        <f>VLOOKUP(A42,Summary!A42:B42,2,FALSE)</f>
        <v>MD AZAD ALI</v>
      </c>
      <c r="C42" s="9">
        <f>COUNTIF(DSO!A:A,A42)</f>
        <v>51</v>
      </c>
      <c r="D42" s="9">
        <f>COUNTIFS(DSO!A:A,A42,DSO!D:D,"&gt;999")</f>
        <v>39</v>
      </c>
      <c r="E42" s="10">
        <f t="shared" ref="E42:E43" si="54">D42/C42</f>
        <v>0.76470588235294112</v>
      </c>
      <c r="F42" s="22">
        <f>COUNTIFS(RAW_File!C:C,A42:A57,RAW_File!N:N,"&gt;2999")</f>
        <v>22</v>
      </c>
      <c r="G42" s="23">
        <f t="shared" ref="G42:G43" si="55">F42/C42</f>
        <v>0.43137254901960786</v>
      </c>
      <c r="H42" s="22">
        <f>COUNTIFS(RAW_File!C:C,A42:A57,RAW_File!O:O,"&gt;1999")</f>
        <v>20</v>
      </c>
      <c r="I42" s="24">
        <f t="shared" ref="I42:I43" si="56">H42/C42</f>
        <v>0.39215686274509803</v>
      </c>
      <c r="J42" s="25">
        <f t="shared" ref="J42:J43" si="57">F42+H42</f>
        <v>42</v>
      </c>
      <c r="K42" s="26">
        <f t="shared" ref="K42:K43" si="58">J42/C42</f>
        <v>0.82352941176470584</v>
      </c>
    </row>
    <row r="43" spans="1:11" x14ac:dyDescent="0.25">
      <c r="A43" s="7" t="s">
        <v>93</v>
      </c>
      <c r="B43" s="8" t="str">
        <f>VLOOKUP(A43,Summary!A43:B43,2,FALSE)</f>
        <v>RIPON ISLAM</v>
      </c>
      <c r="C43" s="9">
        <f>COUNTIF(DSO!A:A,A43)</f>
        <v>40</v>
      </c>
      <c r="D43" s="9">
        <f>COUNTIFS(DSO!A:A,A43,DSO!D:D,"&gt;999")</f>
        <v>34</v>
      </c>
      <c r="E43" s="10">
        <f t="shared" si="54"/>
        <v>0.85</v>
      </c>
      <c r="F43" s="22">
        <f>COUNTIFS(RAW_File!C:C,A43:A58,RAW_File!N:N,"&gt;2999")</f>
        <v>19</v>
      </c>
      <c r="G43" s="23">
        <f t="shared" si="55"/>
        <v>0.47499999999999998</v>
      </c>
      <c r="H43" s="22">
        <f>COUNTIFS(RAW_File!C:C,A43:A58,RAW_File!O:O,"&gt;1999")</f>
        <v>17</v>
      </c>
      <c r="I43" s="24">
        <f t="shared" si="56"/>
        <v>0.42499999999999999</v>
      </c>
      <c r="J43" s="25">
        <f t="shared" si="57"/>
        <v>36</v>
      </c>
      <c r="K43" s="26">
        <f t="shared" si="58"/>
        <v>0.9</v>
      </c>
    </row>
    <row r="44" spans="1:11" x14ac:dyDescent="0.25">
      <c r="A44" s="7" t="s">
        <v>85</v>
      </c>
      <c r="B44" s="8" t="str">
        <f>VLOOKUP(A44,Summary!A44:B44,2,FALSE)</f>
        <v>MD. SUJAN ISLAM</v>
      </c>
      <c r="C44" s="9">
        <f>COUNTIF(DSO!A:A,A44)</f>
        <v>47</v>
      </c>
      <c r="D44" s="9">
        <f>COUNTIFS(DSO!A:A,A44,DSO!D:D,"&gt;999")</f>
        <v>34</v>
      </c>
      <c r="E44" s="10">
        <f t="shared" si="44"/>
        <v>0.72340425531914898</v>
      </c>
      <c r="F44" s="22">
        <f>COUNTIFS(RAW_File!C:C,A44:A58,RAW_File!N:N,"&gt;2999")</f>
        <v>10</v>
      </c>
      <c r="G44" s="23">
        <f t="shared" si="45"/>
        <v>0.21276595744680851</v>
      </c>
      <c r="H44" s="22">
        <f>COUNTIFS(RAW_File!C:C,A44:A58,RAW_File!O:O,"&gt;1999")</f>
        <v>30</v>
      </c>
      <c r="I44" s="24">
        <f t="shared" si="46"/>
        <v>0.63829787234042556</v>
      </c>
      <c r="J44" s="25">
        <f t="shared" si="47"/>
        <v>40</v>
      </c>
      <c r="K44" s="26">
        <f t="shared" si="48"/>
        <v>0.85106382978723405</v>
      </c>
    </row>
    <row r="45" spans="1:11" x14ac:dyDescent="0.25">
      <c r="A45" s="83" t="s">
        <v>100</v>
      </c>
      <c r="B45" s="84"/>
      <c r="C45" s="11">
        <f>SUM(C35:C44)</f>
        <v>459</v>
      </c>
      <c r="D45" s="11">
        <f>SUM(D35:D44)</f>
        <v>339</v>
      </c>
      <c r="E45" s="12">
        <f t="shared" ref="E45" si="59">D45/C45</f>
        <v>0.73856209150326801</v>
      </c>
      <c r="F45" s="11">
        <f>SUM(F35:F44)</f>
        <v>203</v>
      </c>
      <c r="G45" s="12">
        <f>F45/C45</f>
        <v>0.44226579520697168</v>
      </c>
      <c r="H45" s="11">
        <f>SUM(H35:H44)</f>
        <v>192</v>
      </c>
      <c r="I45" s="12">
        <f>H45/C45</f>
        <v>0.41830065359477125</v>
      </c>
      <c r="J45" s="11">
        <f>SUM(J35:J44)</f>
        <v>395</v>
      </c>
      <c r="K45" s="12">
        <f>J45/C45</f>
        <v>0.86056644880174293</v>
      </c>
    </row>
    <row r="46" spans="1:11" x14ac:dyDescent="0.25">
      <c r="A46" s="73" t="s">
        <v>98</v>
      </c>
      <c r="B46" s="73"/>
      <c r="C46" s="16">
        <f>SUM(C12+C23+C34+C45)</f>
        <v>1770</v>
      </c>
      <c r="D46" s="16">
        <f>SUM(D12+D23+D34+D45)</f>
        <v>1312</v>
      </c>
      <c r="E46" s="17">
        <f t="shared" si="0"/>
        <v>0.74124293785310735</v>
      </c>
      <c r="F46" s="16">
        <f>SUM(F12+F23+F34+F45)</f>
        <v>652</v>
      </c>
      <c r="G46" s="17">
        <f>F46/C46</f>
        <v>0.36836158192090396</v>
      </c>
      <c r="H46" s="16">
        <f>SUM(H12+H23+H34+H45)</f>
        <v>872</v>
      </c>
      <c r="I46" s="17">
        <f>H46/C46</f>
        <v>0.49265536723163844</v>
      </c>
      <c r="J46" s="16">
        <f>SUM(J12+J23+J34+J45)</f>
        <v>1524</v>
      </c>
      <c r="K46" s="17">
        <f>J46/C46</f>
        <v>0.86101694915254234</v>
      </c>
    </row>
  </sheetData>
  <mergeCells count="7">
    <mergeCell ref="A1:K1"/>
    <mergeCell ref="A2:K2"/>
    <mergeCell ref="A45:B45"/>
    <mergeCell ref="A46:B46"/>
    <mergeCell ref="A34:B34"/>
    <mergeCell ref="A12:B12"/>
    <mergeCell ref="A23:B23"/>
  </mergeCells>
  <conditionalFormatting sqref="A3">
    <cfRule type="duplicateValues" dxfId="13" priority="8"/>
  </conditionalFormatting>
  <conditionalFormatting sqref="A4:A33 A35:A45">
    <cfRule type="duplicateValues" dxfId="12" priority="41"/>
  </conditionalFormatting>
  <conditionalFormatting sqref="A34">
    <cfRule type="duplicateValues" dxfId="11" priority="3"/>
  </conditionalFormatting>
  <conditionalFormatting sqref="A46">
    <cfRule type="duplicateValues" dxfId="10" priority="22"/>
  </conditionalFormatting>
  <conditionalFormatting sqref="A47:A1048576 A1:A2">
    <cfRule type="duplicateValues" dxfId="9" priority="32"/>
  </conditionalFormatting>
  <conditionalFormatting sqref="B3">
    <cfRule type="duplicateValues" dxfId="8" priority="7"/>
  </conditionalFormatting>
  <conditionalFormatting sqref="B4:B33 B35:B45">
    <cfRule type="duplicateValues" dxfId="7" priority="44"/>
  </conditionalFormatting>
  <conditionalFormatting sqref="B34">
    <cfRule type="duplicateValues" dxfId="6" priority="4"/>
  </conditionalFormatting>
  <conditionalFormatting sqref="B46">
    <cfRule type="duplicateValues" dxfId="5" priority="21"/>
  </conditionalFormatting>
  <conditionalFormatting sqref="B47:B1048576">
    <cfRule type="duplicateValues" dxfId="4" priority="31"/>
  </conditionalFormatting>
  <conditionalFormatting sqref="E4:E11 E13:E22 E24:E33 E35:E44">
    <cfRule type="cellIs" dxfId="3" priority="34" operator="lessThan">
      <formula>0.85</formula>
    </cfRule>
  </conditionalFormatting>
  <conditionalFormatting sqref="K4:K11 K13:K22 K24:K33 K35:K44">
    <cfRule type="cellIs" dxfId="2" priority="23" operator="lessThan">
      <formula>0.75</formula>
    </cfRule>
  </conditionalFormatting>
  <conditionalFormatting sqref="K4:K11 K13:K33 K35:K44">
    <cfRule type="cellIs" dxfId="1" priority="27" operator="greaterThan">
      <formula>0.95</formula>
    </cfRule>
    <cfRule type="cellIs" dxfId="0" priority="28" operator="lessThan">
      <formula>0.7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O2421"/>
  <sheetViews>
    <sheetView workbookViewId="0">
      <pane ySplit="1" topLeftCell="A2" activePane="bottomLeft" state="frozen"/>
      <selection pane="bottomLeft" sqref="A1:M1048576"/>
    </sheetView>
  </sheetViews>
  <sheetFormatPr defaultRowHeight="12" x14ac:dyDescent="0.2"/>
  <cols>
    <col min="1" max="1" width="9.5703125" style="51" bestFit="1" customWidth="1"/>
    <col min="2" max="2" width="16.42578125" style="51" bestFit="1" customWidth="1"/>
    <col min="3" max="4" width="9.5703125" style="51" bestFit="1" customWidth="1"/>
    <col min="5" max="5" width="46.5703125" style="51" bestFit="1" customWidth="1"/>
    <col min="6" max="6" width="8.7109375" style="52" bestFit="1" customWidth="1"/>
    <col min="7" max="7" width="8.42578125" style="52" bestFit="1" customWidth="1"/>
    <col min="8" max="8" width="10" style="52" bestFit="1" customWidth="1"/>
    <col min="9" max="9" width="10.5703125" style="52" bestFit="1" customWidth="1"/>
    <col min="10" max="10" width="8.42578125" style="51" bestFit="1" customWidth="1"/>
    <col min="11" max="11" width="10" style="54" bestFit="1" customWidth="1"/>
    <col min="12" max="12" width="8.5703125" style="51" bestFit="1" customWidth="1"/>
    <col min="13" max="13" width="10.140625" style="54" bestFit="1" customWidth="1"/>
    <col min="14" max="14" width="8.28515625" style="53" bestFit="1" customWidth="1"/>
    <col min="15" max="15" width="7.42578125" style="53" bestFit="1" customWidth="1"/>
    <col min="16" max="16" width="13.140625" style="51" bestFit="1" customWidth="1"/>
    <col min="17" max="17" width="9" style="51" bestFit="1" customWidth="1"/>
    <col min="18" max="18" width="12.85546875" style="51" bestFit="1" customWidth="1"/>
    <col min="19" max="20" width="6" style="51" bestFit="1" customWidth="1"/>
    <col min="21" max="21" width="10.42578125" style="51" bestFit="1" customWidth="1"/>
    <col min="22" max="22" width="29.42578125" style="51" bestFit="1" customWidth="1"/>
    <col min="23" max="16384" width="9.140625" style="51"/>
  </cols>
  <sheetData>
    <row r="1" spans="1:15" s="50" customFormat="1" x14ac:dyDescent="0.2">
      <c r="A1" s="43" t="s">
        <v>3558</v>
      </c>
      <c r="B1" s="44" t="s">
        <v>3559</v>
      </c>
      <c r="C1" s="44" t="s">
        <v>0</v>
      </c>
      <c r="D1" s="44" t="s">
        <v>3560</v>
      </c>
      <c r="E1" s="44" t="s">
        <v>3561</v>
      </c>
      <c r="F1" s="45" t="s">
        <v>3</v>
      </c>
      <c r="G1" s="45" t="s">
        <v>3562</v>
      </c>
      <c r="H1" s="45" t="s">
        <v>3563</v>
      </c>
      <c r="I1" s="45" t="s">
        <v>3564</v>
      </c>
      <c r="J1" s="44" t="s">
        <v>3565</v>
      </c>
      <c r="K1" s="46" t="s">
        <v>4</v>
      </c>
      <c r="L1" s="44" t="s">
        <v>3566</v>
      </c>
      <c r="M1" s="47" t="s">
        <v>5</v>
      </c>
      <c r="N1" s="48" t="s">
        <v>41</v>
      </c>
      <c r="O1" s="49" t="s">
        <v>42</v>
      </c>
    </row>
    <row r="2" spans="1:15" x14ac:dyDescent="0.2">
      <c r="A2" s="51" t="s">
        <v>3567</v>
      </c>
      <c r="B2" s="51" t="s">
        <v>3568</v>
      </c>
      <c r="C2" s="51" t="s">
        <v>72</v>
      </c>
      <c r="D2" s="51" t="s">
        <v>3302</v>
      </c>
      <c r="E2" s="51" t="s">
        <v>3301</v>
      </c>
      <c r="F2" s="52">
        <v>1069.9267</v>
      </c>
      <c r="G2" s="52">
        <v>255</v>
      </c>
      <c r="H2" s="52">
        <v>0</v>
      </c>
      <c r="I2" s="52">
        <v>255</v>
      </c>
      <c r="J2" s="51">
        <v>0</v>
      </c>
      <c r="K2" s="54">
        <v>0</v>
      </c>
      <c r="L2" s="51">
        <v>1</v>
      </c>
      <c r="M2" s="54">
        <v>5000</v>
      </c>
      <c r="N2" s="53">
        <f>K2-M2</f>
        <v>-5000</v>
      </c>
      <c r="O2" s="53">
        <f>M2-K2</f>
        <v>5000</v>
      </c>
    </row>
    <row r="3" spans="1:15" x14ac:dyDescent="0.2">
      <c r="A3" s="51" t="s">
        <v>3567</v>
      </c>
      <c r="B3" s="51" t="s">
        <v>3568</v>
      </c>
      <c r="C3" s="51" t="s">
        <v>87</v>
      </c>
      <c r="D3" s="51" t="s">
        <v>2378</v>
      </c>
      <c r="E3" s="51" t="s">
        <v>2377</v>
      </c>
      <c r="F3" s="52">
        <v>11356.111070528539</v>
      </c>
      <c r="G3" s="52">
        <v>3120</v>
      </c>
      <c r="H3" s="52">
        <v>63718</v>
      </c>
      <c r="I3" s="52">
        <v>66838</v>
      </c>
      <c r="J3" s="51">
        <v>1</v>
      </c>
      <c r="K3" s="54">
        <v>10000</v>
      </c>
      <c r="L3" s="51">
        <v>2</v>
      </c>
      <c r="M3" s="54">
        <v>60000</v>
      </c>
      <c r="N3" s="53">
        <f t="shared" ref="N3:N66" si="0">K3-M3</f>
        <v>-50000</v>
      </c>
      <c r="O3" s="53">
        <f t="shared" ref="O3:O66" si="1">M3-K3</f>
        <v>50000</v>
      </c>
    </row>
    <row r="4" spans="1:15" x14ac:dyDescent="0.2">
      <c r="A4" s="51" t="s">
        <v>3567</v>
      </c>
      <c r="B4" s="51" t="s">
        <v>3568</v>
      </c>
      <c r="C4" s="51" t="s">
        <v>58</v>
      </c>
      <c r="D4" s="51" t="s">
        <v>1082</v>
      </c>
      <c r="E4" s="51" t="s">
        <v>1081</v>
      </c>
      <c r="F4" s="52">
        <v>2108.069587117951</v>
      </c>
      <c r="G4" s="52">
        <v>7807</v>
      </c>
      <c r="H4" s="52">
        <v>5080</v>
      </c>
      <c r="I4" s="52">
        <v>12887</v>
      </c>
      <c r="J4" s="51">
        <v>1</v>
      </c>
      <c r="K4" s="54">
        <v>5000</v>
      </c>
      <c r="L4" s="51">
        <v>0</v>
      </c>
      <c r="M4" s="54">
        <v>0</v>
      </c>
      <c r="N4" s="53">
        <f t="shared" si="0"/>
        <v>5000</v>
      </c>
      <c r="O4" s="53">
        <f t="shared" si="1"/>
        <v>-5000</v>
      </c>
    </row>
    <row r="5" spans="1:15" x14ac:dyDescent="0.2">
      <c r="A5" s="51" t="s">
        <v>3567</v>
      </c>
      <c r="B5" s="51" t="s">
        <v>3568</v>
      </c>
      <c r="C5" s="51" t="s">
        <v>69</v>
      </c>
      <c r="D5" s="51" t="s">
        <v>1381</v>
      </c>
      <c r="E5" s="51" t="s">
        <v>1380</v>
      </c>
      <c r="F5" s="52">
        <v>6766.9138000000003</v>
      </c>
      <c r="G5" s="52">
        <v>1000</v>
      </c>
      <c r="H5" s="52">
        <v>0</v>
      </c>
      <c r="I5" s="52">
        <v>1000</v>
      </c>
      <c r="J5" s="51">
        <v>1</v>
      </c>
      <c r="K5" s="54">
        <v>5000</v>
      </c>
      <c r="L5" s="51">
        <v>0</v>
      </c>
      <c r="M5" s="54">
        <v>0</v>
      </c>
      <c r="N5" s="53">
        <f t="shared" si="0"/>
        <v>5000</v>
      </c>
      <c r="O5" s="53">
        <f t="shared" si="1"/>
        <v>-5000</v>
      </c>
    </row>
    <row r="6" spans="1:15" x14ac:dyDescent="0.2">
      <c r="A6" s="51" t="s">
        <v>3567</v>
      </c>
      <c r="B6" s="51" t="s">
        <v>3568</v>
      </c>
      <c r="C6" s="51" t="s">
        <v>3590</v>
      </c>
      <c r="D6" s="51" t="s">
        <v>3591</v>
      </c>
      <c r="E6" s="51" t="s">
        <v>3592</v>
      </c>
      <c r="F6" s="52">
        <v>1.7293459734307759</v>
      </c>
      <c r="G6" s="52">
        <v>0</v>
      </c>
      <c r="H6" s="52">
        <v>0</v>
      </c>
      <c r="I6" s="52">
        <v>0</v>
      </c>
      <c r="J6" s="51">
        <v>0</v>
      </c>
      <c r="K6" s="54">
        <v>0</v>
      </c>
      <c r="L6" s="51">
        <v>0</v>
      </c>
      <c r="M6" s="54">
        <v>0</v>
      </c>
      <c r="N6" s="53">
        <f t="shared" si="0"/>
        <v>0</v>
      </c>
      <c r="O6" s="53">
        <f t="shared" si="1"/>
        <v>0</v>
      </c>
    </row>
    <row r="7" spans="1:15" x14ac:dyDescent="0.2">
      <c r="A7" s="51" t="s">
        <v>3567</v>
      </c>
      <c r="B7" s="51" t="s">
        <v>3568</v>
      </c>
      <c r="C7" s="51" t="s">
        <v>85</v>
      </c>
      <c r="D7" s="51" t="s">
        <v>2224</v>
      </c>
      <c r="E7" s="51" t="s">
        <v>2223</v>
      </c>
      <c r="F7" s="52">
        <v>7965.0051000000003</v>
      </c>
      <c r="G7" s="52">
        <v>830</v>
      </c>
      <c r="H7" s="52">
        <v>2190</v>
      </c>
      <c r="I7" s="52">
        <v>3020</v>
      </c>
      <c r="J7" s="51">
        <v>1</v>
      </c>
      <c r="K7" s="54">
        <v>5000</v>
      </c>
      <c r="L7" s="51">
        <v>0</v>
      </c>
      <c r="M7" s="54">
        <v>0</v>
      </c>
      <c r="N7" s="53">
        <f t="shared" si="0"/>
        <v>5000</v>
      </c>
      <c r="O7" s="53">
        <f t="shared" si="1"/>
        <v>-5000</v>
      </c>
    </row>
    <row r="8" spans="1:15" x14ac:dyDescent="0.2">
      <c r="A8" s="51" t="s">
        <v>3567</v>
      </c>
      <c r="B8" s="51" t="s">
        <v>3568</v>
      </c>
      <c r="C8" s="51" t="s">
        <v>60</v>
      </c>
      <c r="D8" s="51" t="s">
        <v>1916</v>
      </c>
      <c r="E8" s="51" t="s">
        <v>1915</v>
      </c>
      <c r="F8" s="52">
        <v>3755.2609031033489</v>
      </c>
      <c r="G8" s="52">
        <v>4165</v>
      </c>
      <c r="H8" s="52">
        <v>5290</v>
      </c>
      <c r="I8" s="52">
        <v>9455</v>
      </c>
      <c r="J8" s="51">
        <v>0</v>
      </c>
      <c r="K8" s="54">
        <v>0</v>
      </c>
      <c r="L8" s="51">
        <v>1</v>
      </c>
      <c r="M8" s="54">
        <v>10000</v>
      </c>
      <c r="N8" s="53">
        <f t="shared" si="0"/>
        <v>-10000</v>
      </c>
      <c r="O8" s="53">
        <f t="shared" si="1"/>
        <v>10000</v>
      </c>
    </row>
    <row r="9" spans="1:15" x14ac:dyDescent="0.2">
      <c r="A9" s="51" t="s">
        <v>3567</v>
      </c>
      <c r="B9" s="51" t="s">
        <v>3568</v>
      </c>
      <c r="C9" s="51" t="s">
        <v>74</v>
      </c>
      <c r="D9" s="51" t="s">
        <v>3569</v>
      </c>
      <c r="E9" s="51" t="s">
        <v>3570</v>
      </c>
      <c r="F9" s="52">
        <v>0.42814999999999998</v>
      </c>
      <c r="G9" s="52">
        <v>0</v>
      </c>
      <c r="H9" s="52">
        <v>0</v>
      </c>
      <c r="I9" s="52">
        <v>0</v>
      </c>
      <c r="J9" s="51">
        <v>0</v>
      </c>
      <c r="K9" s="54">
        <v>0</v>
      </c>
      <c r="L9" s="51">
        <v>0</v>
      </c>
      <c r="M9" s="54">
        <v>0</v>
      </c>
      <c r="N9" s="53">
        <f t="shared" si="0"/>
        <v>0</v>
      </c>
      <c r="O9" s="53">
        <f t="shared" si="1"/>
        <v>0</v>
      </c>
    </row>
    <row r="10" spans="1:15" x14ac:dyDescent="0.2">
      <c r="A10" s="51" t="s">
        <v>3567</v>
      </c>
      <c r="B10" s="51" t="s">
        <v>3568</v>
      </c>
      <c r="C10" s="51" t="s">
        <v>3571</v>
      </c>
      <c r="D10" s="51" t="s">
        <v>3572</v>
      </c>
      <c r="E10" s="51" t="s">
        <v>3573</v>
      </c>
      <c r="F10" s="52">
        <v>21.624949269868821</v>
      </c>
      <c r="G10" s="52">
        <v>0</v>
      </c>
      <c r="H10" s="52">
        <v>0</v>
      </c>
      <c r="I10" s="52">
        <v>0</v>
      </c>
      <c r="J10" s="51">
        <v>0</v>
      </c>
      <c r="K10" s="54">
        <v>0</v>
      </c>
      <c r="L10" s="51">
        <v>0</v>
      </c>
      <c r="M10" s="54">
        <v>0</v>
      </c>
      <c r="N10" s="53">
        <f t="shared" si="0"/>
        <v>0</v>
      </c>
      <c r="O10" s="53">
        <f t="shared" si="1"/>
        <v>0</v>
      </c>
    </row>
    <row r="11" spans="1:15" x14ac:dyDescent="0.2">
      <c r="A11" s="51" t="s">
        <v>3567</v>
      </c>
      <c r="B11" s="51" t="s">
        <v>3568</v>
      </c>
      <c r="C11" s="51" t="s">
        <v>75</v>
      </c>
      <c r="D11" s="51" t="s">
        <v>3588</v>
      </c>
      <c r="E11" s="51" t="s">
        <v>3589</v>
      </c>
      <c r="F11" s="52">
        <v>0.59446100000000002</v>
      </c>
      <c r="G11" s="52">
        <v>0</v>
      </c>
      <c r="H11" s="52">
        <v>0</v>
      </c>
      <c r="I11" s="52">
        <v>0</v>
      </c>
      <c r="J11" s="51">
        <v>0</v>
      </c>
      <c r="K11" s="54">
        <v>0</v>
      </c>
      <c r="L11" s="51">
        <v>0</v>
      </c>
      <c r="M11" s="54">
        <v>0</v>
      </c>
      <c r="N11" s="53">
        <f t="shared" si="0"/>
        <v>0</v>
      </c>
      <c r="O11" s="53">
        <f t="shared" si="1"/>
        <v>0</v>
      </c>
    </row>
    <row r="12" spans="1:15" x14ac:dyDescent="0.2">
      <c r="A12" s="51" t="s">
        <v>3567</v>
      </c>
      <c r="B12" s="51" t="s">
        <v>3568</v>
      </c>
      <c r="C12" s="51" t="s">
        <v>68</v>
      </c>
      <c r="D12" s="51" t="s">
        <v>3586</v>
      </c>
      <c r="E12" s="51" t="s">
        <v>3587</v>
      </c>
      <c r="F12" s="52">
        <v>77.148795073098043</v>
      </c>
      <c r="G12" s="52">
        <v>0</v>
      </c>
      <c r="H12" s="52">
        <v>0</v>
      </c>
      <c r="I12" s="52">
        <v>0</v>
      </c>
      <c r="J12" s="51">
        <v>0</v>
      </c>
      <c r="K12" s="54">
        <v>0</v>
      </c>
      <c r="L12" s="51">
        <v>0</v>
      </c>
      <c r="M12" s="54">
        <v>0</v>
      </c>
      <c r="N12" s="53">
        <f t="shared" si="0"/>
        <v>0</v>
      </c>
      <c r="O12" s="53">
        <f t="shared" si="1"/>
        <v>0</v>
      </c>
    </row>
    <row r="13" spans="1:15" x14ac:dyDescent="0.2">
      <c r="A13" s="51" t="s">
        <v>3567</v>
      </c>
      <c r="B13" s="51" t="s">
        <v>3568</v>
      </c>
      <c r="C13" s="51" t="s">
        <v>86</v>
      </c>
      <c r="D13" s="51" t="s">
        <v>1296</v>
      </c>
      <c r="E13" s="51" t="s">
        <v>1295</v>
      </c>
      <c r="F13" s="52">
        <v>12820.315766478099</v>
      </c>
      <c r="G13" s="52">
        <v>7700</v>
      </c>
      <c r="H13" s="52">
        <v>8500</v>
      </c>
      <c r="I13" s="52">
        <v>16200</v>
      </c>
      <c r="J13" s="51">
        <v>0</v>
      </c>
      <c r="K13" s="54">
        <v>0</v>
      </c>
      <c r="L13" s="51">
        <v>1</v>
      </c>
      <c r="M13" s="54">
        <v>5000</v>
      </c>
      <c r="N13" s="53">
        <f t="shared" si="0"/>
        <v>-5000</v>
      </c>
      <c r="O13" s="53">
        <f t="shared" si="1"/>
        <v>5000</v>
      </c>
    </row>
    <row r="14" spans="1:15" x14ac:dyDescent="0.2">
      <c r="A14" s="51" t="s">
        <v>3567</v>
      </c>
      <c r="B14" s="51" t="s">
        <v>3568</v>
      </c>
      <c r="C14" s="51" t="s">
        <v>3577</v>
      </c>
      <c r="D14" s="51" t="s">
        <v>3578</v>
      </c>
      <c r="E14" s="51" t="s">
        <v>3579</v>
      </c>
      <c r="F14" s="52">
        <v>27.502949999999998</v>
      </c>
      <c r="G14" s="52">
        <v>0</v>
      </c>
      <c r="H14" s="52">
        <v>0</v>
      </c>
      <c r="I14" s="52">
        <v>0</v>
      </c>
      <c r="J14" s="51">
        <v>0</v>
      </c>
      <c r="K14" s="54">
        <v>0</v>
      </c>
      <c r="L14" s="51">
        <v>0</v>
      </c>
      <c r="M14" s="54">
        <v>0</v>
      </c>
      <c r="N14" s="53">
        <f t="shared" si="0"/>
        <v>0</v>
      </c>
      <c r="O14" s="53">
        <f t="shared" si="1"/>
        <v>0</v>
      </c>
    </row>
    <row r="15" spans="1:15" x14ac:dyDescent="0.2">
      <c r="A15" s="51" t="s">
        <v>3567</v>
      </c>
      <c r="B15" s="51" t="s">
        <v>3568</v>
      </c>
      <c r="C15" s="51" t="s">
        <v>81</v>
      </c>
      <c r="D15" s="51" t="s">
        <v>2072</v>
      </c>
      <c r="E15" s="51" t="s">
        <v>2071</v>
      </c>
      <c r="F15" s="52">
        <v>5356.6604820000002</v>
      </c>
      <c r="G15" s="52">
        <v>0</v>
      </c>
      <c r="H15" s="52">
        <v>290</v>
      </c>
      <c r="I15" s="52">
        <v>290</v>
      </c>
      <c r="J15" s="51">
        <v>1</v>
      </c>
      <c r="K15" s="54">
        <v>5000</v>
      </c>
      <c r="L15" s="51">
        <v>0</v>
      </c>
      <c r="M15" s="54">
        <v>0</v>
      </c>
      <c r="N15" s="53">
        <f t="shared" si="0"/>
        <v>5000</v>
      </c>
      <c r="O15" s="53">
        <f t="shared" si="1"/>
        <v>-5000</v>
      </c>
    </row>
    <row r="16" spans="1:15" x14ac:dyDescent="0.2">
      <c r="A16" s="51" t="s">
        <v>3567</v>
      </c>
      <c r="B16" s="51" t="s">
        <v>3568</v>
      </c>
      <c r="C16" s="51" t="s">
        <v>77</v>
      </c>
      <c r="D16" s="51" t="s">
        <v>3128</v>
      </c>
      <c r="E16" s="51" t="s">
        <v>3127</v>
      </c>
      <c r="F16" s="52">
        <v>1696.4434607514049</v>
      </c>
      <c r="G16" s="52">
        <v>7685</v>
      </c>
      <c r="H16" s="52">
        <v>16050</v>
      </c>
      <c r="I16" s="52">
        <v>23735</v>
      </c>
      <c r="J16" s="51">
        <v>0</v>
      </c>
      <c r="K16" s="54">
        <v>0</v>
      </c>
      <c r="L16" s="51">
        <v>1</v>
      </c>
      <c r="M16" s="54">
        <v>30000</v>
      </c>
      <c r="N16" s="53">
        <f t="shared" si="0"/>
        <v>-30000</v>
      </c>
      <c r="O16" s="53">
        <f t="shared" si="1"/>
        <v>30000</v>
      </c>
    </row>
    <row r="17" spans="1:15" x14ac:dyDescent="0.2">
      <c r="A17" s="51" t="s">
        <v>3567</v>
      </c>
      <c r="B17" s="51" t="s">
        <v>3568</v>
      </c>
      <c r="C17" s="51" t="s">
        <v>70</v>
      </c>
      <c r="D17" s="51" t="s">
        <v>2889</v>
      </c>
      <c r="E17" s="51" t="s">
        <v>2888</v>
      </c>
      <c r="F17" s="52">
        <v>156.51723336435541</v>
      </c>
      <c r="G17" s="52">
        <v>465</v>
      </c>
      <c r="H17" s="52">
        <v>0</v>
      </c>
      <c r="I17" s="52">
        <v>465</v>
      </c>
      <c r="J17" s="51">
        <v>0</v>
      </c>
      <c r="K17" s="54">
        <v>0</v>
      </c>
      <c r="L17" s="51">
        <v>1</v>
      </c>
      <c r="M17" s="54">
        <v>6500</v>
      </c>
      <c r="N17" s="53">
        <f t="shared" si="0"/>
        <v>-6500</v>
      </c>
      <c r="O17" s="53">
        <f t="shared" si="1"/>
        <v>6500</v>
      </c>
    </row>
    <row r="18" spans="1:15" x14ac:dyDescent="0.2">
      <c r="A18" s="51" t="s">
        <v>3567</v>
      </c>
      <c r="B18" s="51" t="s">
        <v>3568</v>
      </c>
      <c r="C18" s="51" t="s">
        <v>3583</v>
      </c>
      <c r="D18" s="51" t="s">
        <v>3584</v>
      </c>
      <c r="E18" s="51" t="s">
        <v>3585</v>
      </c>
      <c r="F18" s="52">
        <v>8.2459279878</v>
      </c>
      <c r="G18" s="52">
        <v>0</v>
      </c>
      <c r="H18" s="52">
        <v>0</v>
      </c>
      <c r="I18" s="52">
        <v>0</v>
      </c>
      <c r="J18" s="51">
        <v>0</v>
      </c>
      <c r="K18" s="54">
        <v>0</v>
      </c>
      <c r="L18" s="51">
        <v>0</v>
      </c>
      <c r="M18" s="54">
        <v>0</v>
      </c>
      <c r="N18" s="53">
        <f t="shared" si="0"/>
        <v>0</v>
      </c>
      <c r="O18" s="53">
        <f t="shared" si="1"/>
        <v>0</v>
      </c>
    </row>
    <row r="19" spans="1:15" x14ac:dyDescent="0.2">
      <c r="A19" s="51" t="s">
        <v>3567</v>
      </c>
      <c r="B19" s="51" t="s">
        <v>3568</v>
      </c>
      <c r="C19" s="51" t="s">
        <v>57</v>
      </c>
      <c r="D19" s="51" t="s">
        <v>2614</v>
      </c>
      <c r="E19" s="51" t="s">
        <v>2613</v>
      </c>
      <c r="F19" s="52">
        <v>566.82420000000002</v>
      </c>
      <c r="G19" s="52">
        <v>0</v>
      </c>
      <c r="H19" s="52">
        <v>0</v>
      </c>
      <c r="I19" s="52">
        <v>0</v>
      </c>
      <c r="J19" s="51">
        <v>0</v>
      </c>
      <c r="K19" s="54">
        <v>0</v>
      </c>
      <c r="L19" s="51">
        <v>1</v>
      </c>
      <c r="M19" s="54">
        <v>5000</v>
      </c>
      <c r="N19" s="53">
        <f t="shared" si="0"/>
        <v>-5000</v>
      </c>
      <c r="O19" s="53">
        <f t="shared" si="1"/>
        <v>5000</v>
      </c>
    </row>
    <row r="20" spans="1:15" x14ac:dyDescent="0.2">
      <c r="A20" s="51" t="s">
        <v>3567</v>
      </c>
      <c r="B20" s="51" t="s">
        <v>3568</v>
      </c>
      <c r="C20" s="51" t="s">
        <v>65</v>
      </c>
      <c r="D20" s="51" t="s">
        <v>1808</v>
      </c>
      <c r="E20" s="51" t="s">
        <v>1807</v>
      </c>
      <c r="F20" s="52">
        <v>55.175404998027453</v>
      </c>
      <c r="G20" s="52">
        <v>3634</v>
      </c>
      <c r="H20" s="52">
        <v>3500</v>
      </c>
      <c r="I20" s="52">
        <v>7134</v>
      </c>
      <c r="J20" s="51">
        <v>0</v>
      </c>
      <c r="K20" s="54">
        <v>0</v>
      </c>
      <c r="L20" s="51">
        <v>2</v>
      </c>
      <c r="M20" s="54">
        <v>14500</v>
      </c>
      <c r="N20" s="53">
        <f t="shared" si="0"/>
        <v>-14500</v>
      </c>
      <c r="O20" s="53">
        <f t="shared" si="1"/>
        <v>14500</v>
      </c>
    </row>
    <row r="21" spans="1:15" x14ac:dyDescent="0.2">
      <c r="A21" s="51" t="s">
        <v>3567</v>
      </c>
      <c r="B21" s="51" t="s">
        <v>3568</v>
      </c>
      <c r="C21" s="51" t="s">
        <v>84</v>
      </c>
      <c r="D21" s="51" t="s">
        <v>1644</v>
      </c>
      <c r="E21" s="51" t="s">
        <v>1643</v>
      </c>
      <c r="F21" s="52">
        <v>5127.2174851779309</v>
      </c>
      <c r="G21" s="52">
        <v>500</v>
      </c>
      <c r="H21" s="52">
        <v>0</v>
      </c>
      <c r="I21" s="52">
        <v>500</v>
      </c>
      <c r="J21" s="51">
        <v>0</v>
      </c>
      <c r="K21" s="54">
        <v>0</v>
      </c>
      <c r="L21" s="51">
        <v>0</v>
      </c>
      <c r="M21" s="54">
        <v>0</v>
      </c>
      <c r="N21" s="53">
        <f t="shared" si="0"/>
        <v>0</v>
      </c>
      <c r="O21" s="53">
        <f t="shared" si="1"/>
        <v>0</v>
      </c>
    </row>
    <row r="22" spans="1:15" x14ac:dyDescent="0.2">
      <c r="A22" s="51" t="s">
        <v>3567</v>
      </c>
      <c r="B22" s="51" t="s">
        <v>3568</v>
      </c>
      <c r="C22" s="51" t="s">
        <v>81</v>
      </c>
      <c r="D22" s="51" t="s">
        <v>1300</v>
      </c>
      <c r="E22" s="51" t="s">
        <v>1299</v>
      </c>
      <c r="F22" s="52">
        <v>11487.37305</v>
      </c>
      <c r="G22" s="52">
        <v>0</v>
      </c>
      <c r="H22" s="52">
        <v>2505</v>
      </c>
      <c r="I22" s="52">
        <v>2505</v>
      </c>
      <c r="J22" s="51">
        <v>1</v>
      </c>
      <c r="K22" s="54">
        <v>5000</v>
      </c>
      <c r="L22" s="51">
        <v>0</v>
      </c>
      <c r="M22" s="54">
        <v>0</v>
      </c>
      <c r="N22" s="53">
        <f t="shared" si="0"/>
        <v>5000</v>
      </c>
      <c r="O22" s="53">
        <f t="shared" si="1"/>
        <v>-5000</v>
      </c>
    </row>
    <row r="23" spans="1:15" x14ac:dyDescent="0.2">
      <c r="A23" s="51" t="s">
        <v>3567</v>
      </c>
      <c r="B23" s="51" t="s">
        <v>3568</v>
      </c>
      <c r="C23" s="51" t="s">
        <v>58</v>
      </c>
      <c r="D23" s="51" t="s">
        <v>1667</v>
      </c>
      <c r="E23" s="51" t="s">
        <v>1666</v>
      </c>
      <c r="F23" s="52">
        <v>31299.74737818108</v>
      </c>
      <c r="G23" s="52">
        <v>1100</v>
      </c>
      <c r="H23" s="52">
        <v>5115</v>
      </c>
      <c r="I23" s="52">
        <v>6215</v>
      </c>
      <c r="J23" s="51">
        <v>1</v>
      </c>
      <c r="K23" s="54">
        <v>25000</v>
      </c>
      <c r="L23" s="51">
        <v>0</v>
      </c>
      <c r="M23" s="54">
        <v>0</v>
      </c>
      <c r="N23" s="53">
        <f t="shared" si="0"/>
        <v>25000</v>
      </c>
      <c r="O23" s="53">
        <f t="shared" si="1"/>
        <v>-25000</v>
      </c>
    </row>
    <row r="24" spans="1:15" x14ac:dyDescent="0.2">
      <c r="A24" s="51" t="s">
        <v>3567</v>
      </c>
      <c r="B24" s="51" t="s">
        <v>3568</v>
      </c>
      <c r="C24" s="51" t="s">
        <v>76</v>
      </c>
      <c r="D24" s="51" t="s">
        <v>1435</v>
      </c>
      <c r="E24" s="51" t="s">
        <v>1434</v>
      </c>
      <c r="F24" s="52">
        <v>3629.2114059999999</v>
      </c>
      <c r="G24" s="52">
        <v>6250</v>
      </c>
      <c r="H24" s="52">
        <v>800</v>
      </c>
      <c r="I24" s="52">
        <v>7050</v>
      </c>
      <c r="J24" s="51">
        <v>1</v>
      </c>
      <c r="K24" s="54">
        <v>5000</v>
      </c>
      <c r="L24" s="51">
        <v>1</v>
      </c>
      <c r="M24" s="54">
        <v>12000</v>
      </c>
      <c r="N24" s="53">
        <f t="shared" si="0"/>
        <v>-7000</v>
      </c>
      <c r="O24" s="53">
        <f t="shared" si="1"/>
        <v>7000</v>
      </c>
    </row>
    <row r="25" spans="1:15" x14ac:dyDescent="0.2">
      <c r="A25" s="51" t="s">
        <v>3567</v>
      </c>
      <c r="B25" s="51" t="s">
        <v>3568</v>
      </c>
      <c r="C25" s="51" t="s">
        <v>58</v>
      </c>
      <c r="D25" s="51" t="s">
        <v>1741</v>
      </c>
      <c r="E25" s="51" t="s">
        <v>1740</v>
      </c>
      <c r="F25" s="52">
        <v>1197.094978327759</v>
      </c>
      <c r="G25" s="52">
        <v>6170</v>
      </c>
      <c r="H25" s="52">
        <v>2300</v>
      </c>
      <c r="I25" s="52">
        <v>8470</v>
      </c>
      <c r="J25" s="51">
        <v>1</v>
      </c>
      <c r="K25" s="54">
        <v>5000</v>
      </c>
      <c r="L25" s="51">
        <v>0</v>
      </c>
      <c r="M25" s="54">
        <v>0</v>
      </c>
      <c r="N25" s="53">
        <f t="shared" si="0"/>
        <v>5000</v>
      </c>
      <c r="O25" s="53">
        <f t="shared" si="1"/>
        <v>-5000</v>
      </c>
    </row>
    <row r="26" spans="1:15" x14ac:dyDescent="0.2">
      <c r="A26" s="51" t="s">
        <v>3567</v>
      </c>
      <c r="B26" s="51" t="s">
        <v>3568</v>
      </c>
      <c r="C26" s="51" t="s">
        <v>66</v>
      </c>
      <c r="D26" s="51" t="s">
        <v>2837</v>
      </c>
      <c r="E26" s="51" t="s">
        <v>2836</v>
      </c>
      <c r="F26" s="52">
        <v>1726.5218738538219</v>
      </c>
      <c r="G26" s="52">
        <v>46800</v>
      </c>
      <c r="H26" s="52">
        <v>38832</v>
      </c>
      <c r="I26" s="52">
        <v>85632</v>
      </c>
      <c r="J26" s="51">
        <v>1</v>
      </c>
      <c r="K26" s="54">
        <v>5000</v>
      </c>
      <c r="L26" s="51">
        <v>0</v>
      </c>
      <c r="M26" s="54">
        <v>0</v>
      </c>
      <c r="N26" s="53">
        <f t="shared" si="0"/>
        <v>5000</v>
      </c>
      <c r="O26" s="53">
        <f t="shared" si="1"/>
        <v>-5000</v>
      </c>
    </row>
    <row r="27" spans="1:15" x14ac:dyDescent="0.2">
      <c r="A27" s="51" t="s">
        <v>3567</v>
      </c>
      <c r="B27" s="51" t="s">
        <v>3568</v>
      </c>
      <c r="C27" s="51" t="s">
        <v>56</v>
      </c>
      <c r="D27" s="51" t="s">
        <v>3314</v>
      </c>
      <c r="E27" s="51" t="s">
        <v>3313</v>
      </c>
      <c r="F27" s="52">
        <v>5180.4494304961254</v>
      </c>
      <c r="G27" s="52">
        <v>0</v>
      </c>
      <c r="H27" s="52">
        <v>500</v>
      </c>
      <c r="I27" s="52">
        <v>500</v>
      </c>
      <c r="J27" s="51">
        <v>1</v>
      </c>
      <c r="K27" s="54">
        <v>5000</v>
      </c>
      <c r="L27" s="51">
        <v>0</v>
      </c>
      <c r="M27" s="54">
        <v>0</v>
      </c>
      <c r="N27" s="53">
        <f t="shared" si="0"/>
        <v>5000</v>
      </c>
      <c r="O27" s="53">
        <f t="shared" si="1"/>
        <v>-5000</v>
      </c>
    </row>
    <row r="28" spans="1:15" x14ac:dyDescent="0.2">
      <c r="A28" s="51" t="s">
        <v>3567</v>
      </c>
      <c r="B28" s="51" t="s">
        <v>3568</v>
      </c>
      <c r="C28" s="51" t="s">
        <v>56</v>
      </c>
      <c r="D28" s="51" t="s">
        <v>1416</v>
      </c>
      <c r="E28" s="51" t="s">
        <v>1415</v>
      </c>
      <c r="F28" s="52">
        <v>20826.636572174291</v>
      </c>
      <c r="G28" s="52">
        <v>0</v>
      </c>
      <c r="H28" s="52">
        <v>3650</v>
      </c>
      <c r="I28" s="52">
        <v>3650</v>
      </c>
      <c r="J28" s="51">
        <v>0</v>
      </c>
      <c r="K28" s="54">
        <v>0</v>
      </c>
      <c r="L28" s="51">
        <v>1</v>
      </c>
      <c r="M28" s="54">
        <v>12000</v>
      </c>
      <c r="N28" s="53">
        <f t="shared" si="0"/>
        <v>-12000</v>
      </c>
      <c r="O28" s="53">
        <f t="shared" si="1"/>
        <v>12000</v>
      </c>
    </row>
    <row r="29" spans="1:15" x14ac:dyDescent="0.2">
      <c r="A29" s="51" t="s">
        <v>3567</v>
      </c>
      <c r="B29" s="51" t="s">
        <v>3568</v>
      </c>
      <c r="C29" s="51" t="s">
        <v>86</v>
      </c>
      <c r="D29" s="51" t="s">
        <v>3148</v>
      </c>
      <c r="E29" s="51" t="s">
        <v>2409</v>
      </c>
      <c r="F29" s="52">
        <v>603.26493070647552</v>
      </c>
      <c r="G29" s="52">
        <v>150</v>
      </c>
      <c r="H29" s="52">
        <v>3600</v>
      </c>
      <c r="I29" s="52">
        <v>3750</v>
      </c>
      <c r="J29" s="51">
        <v>1</v>
      </c>
      <c r="K29" s="54">
        <v>5000</v>
      </c>
      <c r="L29" s="51">
        <v>1</v>
      </c>
      <c r="M29" s="54">
        <v>8000</v>
      </c>
      <c r="N29" s="53">
        <f t="shared" si="0"/>
        <v>-3000</v>
      </c>
      <c r="O29" s="53">
        <f t="shared" si="1"/>
        <v>3000</v>
      </c>
    </row>
    <row r="30" spans="1:15" x14ac:dyDescent="0.2">
      <c r="A30" s="51" t="s">
        <v>3567</v>
      </c>
      <c r="B30" s="51" t="s">
        <v>3568</v>
      </c>
      <c r="C30" s="51" t="s">
        <v>93</v>
      </c>
      <c r="D30" s="51" t="s">
        <v>3092</v>
      </c>
      <c r="E30" s="51" t="s">
        <v>3091</v>
      </c>
      <c r="F30" s="52">
        <v>1762.8433474717961</v>
      </c>
      <c r="G30" s="52">
        <v>0</v>
      </c>
      <c r="H30" s="52">
        <v>1700</v>
      </c>
      <c r="I30" s="52">
        <v>1700</v>
      </c>
      <c r="J30" s="51">
        <v>0</v>
      </c>
      <c r="K30" s="54">
        <v>0</v>
      </c>
      <c r="L30" s="51">
        <v>0</v>
      </c>
      <c r="M30" s="54">
        <v>0</v>
      </c>
      <c r="N30" s="53">
        <f t="shared" si="0"/>
        <v>0</v>
      </c>
      <c r="O30" s="53">
        <f t="shared" si="1"/>
        <v>0</v>
      </c>
    </row>
    <row r="31" spans="1:15" x14ac:dyDescent="0.2">
      <c r="A31" s="51" t="s">
        <v>3567</v>
      </c>
      <c r="B31" s="51" t="s">
        <v>3568</v>
      </c>
      <c r="C31" s="51" t="s">
        <v>86</v>
      </c>
      <c r="D31" s="51" t="s">
        <v>623</v>
      </c>
      <c r="E31" s="51" t="s">
        <v>622</v>
      </c>
      <c r="F31" s="52">
        <v>4932.1307717528307</v>
      </c>
      <c r="G31" s="52">
        <v>6010</v>
      </c>
      <c r="H31" s="52">
        <v>5820</v>
      </c>
      <c r="I31" s="52">
        <v>11830</v>
      </c>
      <c r="J31" s="51">
        <v>1</v>
      </c>
      <c r="K31" s="54">
        <v>5000</v>
      </c>
      <c r="L31" s="51">
        <v>0</v>
      </c>
      <c r="M31" s="54">
        <v>0</v>
      </c>
      <c r="N31" s="53">
        <f t="shared" si="0"/>
        <v>5000</v>
      </c>
      <c r="O31" s="53">
        <f t="shared" si="1"/>
        <v>-5000</v>
      </c>
    </row>
    <row r="32" spans="1:15" x14ac:dyDescent="0.2">
      <c r="A32" s="51" t="s">
        <v>3567</v>
      </c>
      <c r="B32" s="51" t="s">
        <v>3568</v>
      </c>
      <c r="C32" s="51" t="s">
        <v>74</v>
      </c>
      <c r="D32" s="51" t="s">
        <v>1236</v>
      </c>
      <c r="E32" s="51" t="s">
        <v>1235</v>
      </c>
      <c r="F32" s="52">
        <v>4950.6834981887241</v>
      </c>
      <c r="G32" s="52">
        <v>3260</v>
      </c>
      <c r="H32" s="52">
        <v>5000</v>
      </c>
      <c r="I32" s="52">
        <v>8260</v>
      </c>
      <c r="J32" s="51">
        <v>0</v>
      </c>
      <c r="K32" s="54">
        <v>0</v>
      </c>
      <c r="L32" s="51">
        <v>1</v>
      </c>
      <c r="M32" s="54">
        <v>8000</v>
      </c>
      <c r="N32" s="53">
        <f t="shared" si="0"/>
        <v>-8000</v>
      </c>
      <c r="O32" s="53">
        <f t="shared" si="1"/>
        <v>8000</v>
      </c>
    </row>
    <row r="33" spans="1:15" x14ac:dyDescent="0.2">
      <c r="A33" s="51" t="s">
        <v>3567</v>
      </c>
      <c r="B33" s="51" t="s">
        <v>3568</v>
      </c>
      <c r="C33" s="51" t="s">
        <v>65</v>
      </c>
      <c r="D33" s="51" t="s">
        <v>410</v>
      </c>
      <c r="E33" s="51" t="s">
        <v>409</v>
      </c>
      <c r="F33" s="52">
        <v>6256.8680100000001</v>
      </c>
      <c r="G33" s="52">
        <v>500</v>
      </c>
      <c r="H33" s="52">
        <v>0</v>
      </c>
      <c r="I33" s="52">
        <v>500</v>
      </c>
      <c r="J33" s="51">
        <v>1</v>
      </c>
      <c r="K33" s="54">
        <v>6000</v>
      </c>
      <c r="L33" s="51">
        <v>0</v>
      </c>
      <c r="M33" s="54">
        <v>0</v>
      </c>
      <c r="N33" s="53">
        <f t="shared" si="0"/>
        <v>6000</v>
      </c>
      <c r="O33" s="53">
        <f t="shared" si="1"/>
        <v>-6000</v>
      </c>
    </row>
    <row r="34" spans="1:15" x14ac:dyDescent="0.2">
      <c r="A34" s="51" t="s">
        <v>3567</v>
      </c>
      <c r="B34" s="51" t="s">
        <v>3568</v>
      </c>
      <c r="C34" s="51" t="s">
        <v>68</v>
      </c>
      <c r="D34" s="51" t="s">
        <v>1885</v>
      </c>
      <c r="E34" s="51" t="s">
        <v>1884</v>
      </c>
      <c r="F34" s="52">
        <v>193.059</v>
      </c>
      <c r="G34" s="52">
        <v>11002</v>
      </c>
      <c r="H34" s="52">
        <v>2536</v>
      </c>
      <c r="I34" s="52">
        <v>13538</v>
      </c>
      <c r="J34" s="51">
        <v>4</v>
      </c>
      <c r="K34" s="54">
        <v>10000</v>
      </c>
      <c r="L34" s="51">
        <v>0</v>
      </c>
      <c r="M34" s="54">
        <v>0</v>
      </c>
      <c r="N34" s="53">
        <f t="shared" si="0"/>
        <v>10000</v>
      </c>
      <c r="O34" s="53">
        <f t="shared" si="1"/>
        <v>-10000</v>
      </c>
    </row>
    <row r="35" spans="1:15" x14ac:dyDescent="0.2">
      <c r="A35" s="51" t="s">
        <v>3567</v>
      </c>
      <c r="B35" s="51" t="s">
        <v>3568</v>
      </c>
      <c r="C35" s="51" t="s">
        <v>3574</v>
      </c>
      <c r="D35" s="51" t="s">
        <v>3575</v>
      </c>
      <c r="E35" s="51" t="s">
        <v>3576</v>
      </c>
      <c r="F35" s="52">
        <v>5.1749999999999998</v>
      </c>
      <c r="G35" s="52">
        <v>0</v>
      </c>
      <c r="H35" s="52">
        <v>0</v>
      </c>
      <c r="I35" s="52">
        <v>0</v>
      </c>
      <c r="J35" s="51">
        <v>0</v>
      </c>
      <c r="K35" s="54">
        <v>0</v>
      </c>
      <c r="L35" s="51">
        <v>0</v>
      </c>
      <c r="M35" s="54">
        <v>0</v>
      </c>
      <c r="N35" s="53">
        <f t="shared" si="0"/>
        <v>0</v>
      </c>
      <c r="O35" s="53">
        <f t="shared" si="1"/>
        <v>0</v>
      </c>
    </row>
    <row r="36" spans="1:15" x14ac:dyDescent="0.2">
      <c r="A36" s="51" t="s">
        <v>3567</v>
      </c>
      <c r="B36" s="51" t="s">
        <v>3568</v>
      </c>
      <c r="C36" s="51" t="s">
        <v>3580</v>
      </c>
      <c r="D36" s="51" t="s">
        <v>3581</v>
      </c>
      <c r="E36" s="51" t="s">
        <v>3582</v>
      </c>
      <c r="F36" s="52">
        <v>0.89319054975118251</v>
      </c>
      <c r="G36" s="52">
        <v>0</v>
      </c>
      <c r="H36" s="52">
        <v>0</v>
      </c>
      <c r="I36" s="52">
        <v>0</v>
      </c>
      <c r="J36" s="51">
        <v>0</v>
      </c>
      <c r="K36" s="54">
        <v>0</v>
      </c>
      <c r="L36" s="51">
        <v>0</v>
      </c>
      <c r="M36" s="54">
        <v>0</v>
      </c>
      <c r="N36" s="53">
        <f t="shared" si="0"/>
        <v>0</v>
      </c>
      <c r="O36" s="53">
        <f t="shared" si="1"/>
        <v>0</v>
      </c>
    </row>
    <row r="37" spans="1:15" x14ac:dyDescent="0.2">
      <c r="A37" s="51" t="s">
        <v>3567</v>
      </c>
      <c r="B37" s="51" t="s">
        <v>3568</v>
      </c>
      <c r="C37" s="51" t="s">
        <v>74</v>
      </c>
      <c r="D37" s="51" t="s">
        <v>2545</v>
      </c>
      <c r="E37" s="51" t="s">
        <v>2544</v>
      </c>
      <c r="F37" s="52">
        <v>4477.5673500000003</v>
      </c>
      <c r="G37" s="52">
        <v>0</v>
      </c>
      <c r="H37" s="52">
        <v>100</v>
      </c>
      <c r="I37" s="52">
        <v>100</v>
      </c>
      <c r="J37" s="51">
        <v>1</v>
      </c>
      <c r="K37" s="54">
        <v>5000</v>
      </c>
      <c r="L37" s="51">
        <v>1</v>
      </c>
      <c r="M37" s="54">
        <v>15000</v>
      </c>
      <c r="N37" s="53">
        <f t="shared" si="0"/>
        <v>-10000</v>
      </c>
      <c r="O37" s="53">
        <f t="shared" si="1"/>
        <v>10000</v>
      </c>
    </row>
    <row r="38" spans="1:15" x14ac:dyDescent="0.2">
      <c r="A38" s="51" t="s">
        <v>3567</v>
      </c>
      <c r="B38" s="51" t="s">
        <v>3568</v>
      </c>
      <c r="C38" s="51" t="s">
        <v>80</v>
      </c>
      <c r="D38" s="51" t="s">
        <v>1705</v>
      </c>
      <c r="E38" s="51" t="s">
        <v>1704</v>
      </c>
      <c r="F38" s="52">
        <v>9760.5954500000007</v>
      </c>
      <c r="G38" s="52">
        <v>2170</v>
      </c>
      <c r="H38" s="52">
        <v>2550</v>
      </c>
      <c r="I38" s="52">
        <v>4720</v>
      </c>
      <c r="J38" s="51">
        <v>1</v>
      </c>
      <c r="K38" s="54">
        <v>5000</v>
      </c>
      <c r="L38" s="51">
        <v>0</v>
      </c>
      <c r="M38" s="54">
        <v>0</v>
      </c>
      <c r="N38" s="53">
        <f t="shared" si="0"/>
        <v>5000</v>
      </c>
      <c r="O38" s="53">
        <f t="shared" si="1"/>
        <v>-5000</v>
      </c>
    </row>
    <row r="39" spans="1:15" x14ac:dyDescent="0.2">
      <c r="A39" s="51" t="s">
        <v>3567</v>
      </c>
      <c r="B39" s="51" t="s">
        <v>3568</v>
      </c>
      <c r="C39" s="51" t="s">
        <v>85</v>
      </c>
      <c r="D39" s="51" t="s">
        <v>2749</v>
      </c>
      <c r="E39" s="51" t="s">
        <v>2748</v>
      </c>
      <c r="F39" s="52">
        <v>6872.2097080815274</v>
      </c>
      <c r="G39" s="52">
        <v>0</v>
      </c>
      <c r="H39" s="52">
        <v>0</v>
      </c>
      <c r="I39" s="52">
        <v>0</v>
      </c>
      <c r="J39" s="51">
        <v>1</v>
      </c>
      <c r="K39" s="54">
        <v>6000</v>
      </c>
      <c r="L39" s="51">
        <v>0</v>
      </c>
      <c r="M39" s="54">
        <v>0</v>
      </c>
      <c r="N39" s="53">
        <f t="shared" si="0"/>
        <v>6000</v>
      </c>
      <c r="O39" s="53">
        <f t="shared" si="1"/>
        <v>-6000</v>
      </c>
    </row>
    <row r="40" spans="1:15" x14ac:dyDescent="0.2">
      <c r="A40" s="51" t="s">
        <v>3567</v>
      </c>
      <c r="B40" s="51" t="s">
        <v>3568</v>
      </c>
      <c r="C40" s="51" t="s">
        <v>3571</v>
      </c>
      <c r="D40" s="51" t="s">
        <v>3595</v>
      </c>
      <c r="E40" s="51" t="s">
        <v>3596</v>
      </c>
      <c r="F40" s="52">
        <v>341.48210000180001</v>
      </c>
      <c r="G40" s="52">
        <v>0</v>
      </c>
      <c r="H40" s="52">
        <v>0</v>
      </c>
      <c r="I40" s="52">
        <v>0</v>
      </c>
      <c r="J40" s="51">
        <v>0</v>
      </c>
      <c r="K40" s="54">
        <v>0</v>
      </c>
      <c r="L40" s="51">
        <v>0</v>
      </c>
      <c r="M40" s="54">
        <v>0</v>
      </c>
      <c r="N40" s="53">
        <f t="shared" si="0"/>
        <v>0</v>
      </c>
      <c r="O40" s="53">
        <f t="shared" si="1"/>
        <v>0</v>
      </c>
    </row>
    <row r="41" spans="1:15" x14ac:dyDescent="0.2">
      <c r="A41" s="51" t="s">
        <v>3567</v>
      </c>
      <c r="B41" s="51" t="s">
        <v>3568</v>
      </c>
      <c r="C41" s="51" t="s">
        <v>81</v>
      </c>
      <c r="D41" s="51" t="s">
        <v>3419</v>
      </c>
      <c r="E41" s="51" t="s">
        <v>881</v>
      </c>
      <c r="F41" s="52">
        <v>11803.84648859751</v>
      </c>
      <c r="G41" s="52">
        <v>54400</v>
      </c>
      <c r="H41" s="52">
        <v>16890</v>
      </c>
      <c r="I41" s="52">
        <v>71290</v>
      </c>
      <c r="J41" s="51">
        <v>1</v>
      </c>
      <c r="K41" s="54">
        <v>5000</v>
      </c>
      <c r="L41" s="51">
        <v>0</v>
      </c>
      <c r="M41" s="54">
        <v>0</v>
      </c>
      <c r="N41" s="53">
        <f t="shared" si="0"/>
        <v>5000</v>
      </c>
      <c r="O41" s="53">
        <f t="shared" si="1"/>
        <v>-5000</v>
      </c>
    </row>
    <row r="42" spans="1:15" x14ac:dyDescent="0.2">
      <c r="A42" s="51" t="s">
        <v>3567</v>
      </c>
      <c r="B42" s="51" t="s">
        <v>3568</v>
      </c>
      <c r="C42" s="51" t="s">
        <v>3597</v>
      </c>
      <c r="D42" s="51" t="s">
        <v>3598</v>
      </c>
      <c r="E42" s="51" t="s">
        <v>147</v>
      </c>
      <c r="F42" s="52">
        <v>1.2344999999999999</v>
      </c>
      <c r="G42" s="52">
        <v>0</v>
      </c>
      <c r="H42" s="52">
        <v>0</v>
      </c>
      <c r="I42" s="52">
        <v>0</v>
      </c>
      <c r="J42" s="51">
        <v>0</v>
      </c>
      <c r="K42" s="54">
        <v>0</v>
      </c>
      <c r="L42" s="51">
        <v>0</v>
      </c>
      <c r="M42" s="54">
        <v>0</v>
      </c>
      <c r="N42" s="53">
        <f t="shared" si="0"/>
        <v>0</v>
      </c>
      <c r="O42" s="53">
        <f t="shared" si="1"/>
        <v>0</v>
      </c>
    </row>
    <row r="43" spans="1:15" x14ac:dyDescent="0.2">
      <c r="A43" s="51" t="s">
        <v>3567</v>
      </c>
      <c r="B43" s="51" t="s">
        <v>3568</v>
      </c>
      <c r="C43" s="51" t="s">
        <v>61</v>
      </c>
      <c r="D43" s="51" t="s">
        <v>3599</v>
      </c>
      <c r="E43" s="51" t="s">
        <v>3600</v>
      </c>
      <c r="F43" s="52">
        <v>10.2171</v>
      </c>
      <c r="G43" s="52">
        <v>0</v>
      </c>
      <c r="H43" s="52">
        <v>0</v>
      </c>
      <c r="I43" s="52">
        <v>0</v>
      </c>
      <c r="J43" s="51">
        <v>0</v>
      </c>
      <c r="K43" s="54">
        <v>0</v>
      </c>
      <c r="L43" s="51">
        <v>0</v>
      </c>
      <c r="M43" s="54">
        <v>0</v>
      </c>
      <c r="N43" s="53">
        <f t="shared" si="0"/>
        <v>0</v>
      </c>
      <c r="O43" s="53">
        <f t="shared" si="1"/>
        <v>0</v>
      </c>
    </row>
    <row r="44" spans="1:15" x14ac:dyDescent="0.2">
      <c r="A44" s="51" t="s">
        <v>3567</v>
      </c>
      <c r="B44" s="51" t="s">
        <v>3568</v>
      </c>
      <c r="C44" s="51" t="s">
        <v>60</v>
      </c>
      <c r="D44" s="51" t="s">
        <v>3605</v>
      </c>
      <c r="E44" s="51" t="s">
        <v>3606</v>
      </c>
      <c r="F44" s="52">
        <v>1.851473780779646</v>
      </c>
      <c r="G44" s="52">
        <v>0</v>
      </c>
      <c r="H44" s="52">
        <v>0</v>
      </c>
      <c r="I44" s="52">
        <v>0</v>
      </c>
      <c r="J44" s="51">
        <v>0</v>
      </c>
      <c r="K44" s="54">
        <v>0</v>
      </c>
      <c r="L44" s="51">
        <v>0</v>
      </c>
      <c r="M44" s="54">
        <v>0</v>
      </c>
      <c r="N44" s="53">
        <f t="shared" si="0"/>
        <v>0</v>
      </c>
      <c r="O44" s="53">
        <f t="shared" si="1"/>
        <v>0</v>
      </c>
    </row>
    <row r="45" spans="1:15" x14ac:dyDescent="0.2">
      <c r="A45" s="51" t="s">
        <v>3567</v>
      </c>
      <c r="B45" s="51" t="s">
        <v>3568</v>
      </c>
      <c r="C45" s="51" t="s">
        <v>64</v>
      </c>
      <c r="D45" s="51" t="s">
        <v>900</v>
      </c>
      <c r="E45" s="51" t="s">
        <v>899</v>
      </c>
      <c r="F45" s="52">
        <v>31427.892174754419</v>
      </c>
      <c r="G45" s="52">
        <v>410</v>
      </c>
      <c r="H45" s="52">
        <v>1550</v>
      </c>
      <c r="I45" s="52">
        <v>1960</v>
      </c>
      <c r="J45" s="51">
        <v>1</v>
      </c>
      <c r="K45" s="54">
        <v>5000</v>
      </c>
      <c r="L45" s="51">
        <v>0</v>
      </c>
      <c r="M45" s="54">
        <v>0</v>
      </c>
      <c r="N45" s="53">
        <f t="shared" si="0"/>
        <v>5000</v>
      </c>
      <c r="O45" s="53">
        <f t="shared" si="1"/>
        <v>-5000</v>
      </c>
    </row>
    <row r="46" spans="1:15" x14ac:dyDescent="0.2">
      <c r="A46" s="51" t="s">
        <v>3567</v>
      </c>
      <c r="B46" s="51" t="s">
        <v>3568</v>
      </c>
      <c r="C46" s="51" t="s">
        <v>79</v>
      </c>
      <c r="D46" s="51" t="s">
        <v>331</v>
      </c>
      <c r="E46" s="51" t="s">
        <v>330</v>
      </c>
      <c r="F46" s="52">
        <v>12895.46573998366</v>
      </c>
      <c r="G46" s="52">
        <v>0</v>
      </c>
      <c r="H46" s="52">
        <v>1400</v>
      </c>
      <c r="I46" s="52">
        <v>1400</v>
      </c>
      <c r="J46" s="51">
        <v>1</v>
      </c>
      <c r="K46" s="54">
        <v>5000</v>
      </c>
      <c r="L46" s="51">
        <v>0</v>
      </c>
      <c r="M46" s="54">
        <v>0</v>
      </c>
      <c r="N46" s="53">
        <f t="shared" si="0"/>
        <v>5000</v>
      </c>
      <c r="O46" s="53">
        <f t="shared" si="1"/>
        <v>-5000</v>
      </c>
    </row>
    <row r="47" spans="1:15" x14ac:dyDescent="0.2">
      <c r="A47" s="51" t="s">
        <v>3567</v>
      </c>
      <c r="B47" s="51" t="s">
        <v>3568</v>
      </c>
      <c r="C47" s="51" t="s">
        <v>70</v>
      </c>
      <c r="D47" s="51" t="s">
        <v>855</v>
      </c>
      <c r="E47" s="51" t="s">
        <v>854</v>
      </c>
      <c r="F47" s="52">
        <v>6836.9934859180948</v>
      </c>
      <c r="G47" s="52">
        <v>16090</v>
      </c>
      <c r="H47" s="52">
        <v>5600</v>
      </c>
      <c r="I47" s="52">
        <v>21690</v>
      </c>
      <c r="J47" s="51">
        <v>1</v>
      </c>
      <c r="K47" s="54">
        <v>10000</v>
      </c>
      <c r="L47" s="51">
        <v>1</v>
      </c>
      <c r="M47" s="54">
        <v>5000</v>
      </c>
      <c r="N47" s="53">
        <f t="shared" si="0"/>
        <v>5000</v>
      </c>
      <c r="O47" s="53">
        <f t="shared" si="1"/>
        <v>-5000</v>
      </c>
    </row>
    <row r="48" spans="1:15" x14ac:dyDescent="0.2">
      <c r="A48" s="51" t="s">
        <v>3567</v>
      </c>
      <c r="B48" s="51" t="s">
        <v>3568</v>
      </c>
      <c r="C48" s="51" t="s">
        <v>57</v>
      </c>
      <c r="D48" s="51" t="s">
        <v>1814</v>
      </c>
      <c r="E48" s="51" t="s">
        <v>1813</v>
      </c>
      <c r="F48" s="52">
        <v>412.607954795811</v>
      </c>
      <c r="G48" s="52">
        <v>0</v>
      </c>
      <c r="H48" s="52">
        <v>4500</v>
      </c>
      <c r="I48" s="52">
        <v>4500</v>
      </c>
      <c r="J48" s="51">
        <v>0</v>
      </c>
      <c r="K48" s="54">
        <v>0</v>
      </c>
      <c r="L48" s="51">
        <v>1</v>
      </c>
      <c r="M48" s="54">
        <v>15000</v>
      </c>
      <c r="N48" s="53">
        <f t="shared" si="0"/>
        <v>-15000</v>
      </c>
      <c r="O48" s="53">
        <f t="shared" si="1"/>
        <v>15000</v>
      </c>
    </row>
    <row r="49" spans="1:15" x14ac:dyDescent="0.2">
      <c r="A49" s="51" t="s">
        <v>3567</v>
      </c>
      <c r="B49" s="51" t="s">
        <v>3568</v>
      </c>
      <c r="C49" s="51" t="s">
        <v>62</v>
      </c>
      <c r="D49" s="51" t="s">
        <v>534</v>
      </c>
      <c r="E49" s="51" t="s">
        <v>533</v>
      </c>
      <c r="F49" s="52">
        <v>8945.2049045814292</v>
      </c>
      <c r="G49" s="52">
        <v>0</v>
      </c>
      <c r="H49" s="52">
        <v>1670</v>
      </c>
      <c r="I49" s="52">
        <v>1670</v>
      </c>
      <c r="J49" s="51">
        <v>1</v>
      </c>
      <c r="K49" s="54">
        <v>5000</v>
      </c>
      <c r="L49" s="51">
        <v>0</v>
      </c>
      <c r="M49" s="54">
        <v>0</v>
      </c>
      <c r="N49" s="53">
        <f t="shared" si="0"/>
        <v>5000</v>
      </c>
      <c r="O49" s="53">
        <f t="shared" si="1"/>
        <v>-5000</v>
      </c>
    </row>
    <row r="50" spans="1:15" x14ac:dyDescent="0.2">
      <c r="A50" s="51" t="s">
        <v>3567</v>
      </c>
      <c r="B50" s="51" t="s">
        <v>3568</v>
      </c>
      <c r="C50" s="51" t="s">
        <v>3630</v>
      </c>
      <c r="D50" s="51" t="s">
        <v>3631</v>
      </c>
      <c r="E50" s="51" t="s">
        <v>3632</v>
      </c>
      <c r="F50" s="52">
        <v>18.961566276658171</v>
      </c>
      <c r="G50" s="52">
        <v>0</v>
      </c>
      <c r="H50" s="52">
        <v>0</v>
      </c>
      <c r="I50" s="52">
        <v>0</v>
      </c>
      <c r="J50" s="51">
        <v>0</v>
      </c>
      <c r="K50" s="54">
        <v>0</v>
      </c>
      <c r="L50" s="51">
        <v>0</v>
      </c>
      <c r="M50" s="54">
        <v>0</v>
      </c>
      <c r="N50" s="53">
        <f t="shared" si="0"/>
        <v>0</v>
      </c>
      <c r="O50" s="53">
        <f t="shared" si="1"/>
        <v>0</v>
      </c>
    </row>
    <row r="51" spans="1:15" x14ac:dyDescent="0.2">
      <c r="A51" s="51" t="s">
        <v>3567</v>
      </c>
      <c r="B51" s="51" t="s">
        <v>3568</v>
      </c>
      <c r="C51" s="51" t="s">
        <v>3636</v>
      </c>
      <c r="D51" s="51" t="s">
        <v>3637</v>
      </c>
      <c r="E51" s="51" t="s">
        <v>3638</v>
      </c>
      <c r="F51" s="52">
        <v>1.76325</v>
      </c>
      <c r="G51" s="52">
        <v>0</v>
      </c>
      <c r="H51" s="52">
        <v>0</v>
      </c>
      <c r="I51" s="52">
        <v>0</v>
      </c>
      <c r="J51" s="51">
        <v>0</v>
      </c>
      <c r="K51" s="54">
        <v>0</v>
      </c>
      <c r="L51" s="51">
        <v>0</v>
      </c>
      <c r="M51" s="54">
        <v>0</v>
      </c>
      <c r="N51" s="53">
        <f t="shared" si="0"/>
        <v>0</v>
      </c>
      <c r="O51" s="53">
        <f t="shared" si="1"/>
        <v>0</v>
      </c>
    </row>
    <row r="52" spans="1:15" x14ac:dyDescent="0.2">
      <c r="A52" s="51" t="s">
        <v>3567</v>
      </c>
      <c r="B52" s="51" t="s">
        <v>3568</v>
      </c>
      <c r="C52" s="51" t="s">
        <v>71</v>
      </c>
      <c r="D52" s="51" t="s">
        <v>1111</v>
      </c>
      <c r="E52" s="51" t="s">
        <v>1110</v>
      </c>
      <c r="F52" s="52">
        <v>31.383846229432478</v>
      </c>
      <c r="G52" s="52">
        <v>0</v>
      </c>
      <c r="H52" s="52">
        <v>0</v>
      </c>
      <c r="I52" s="52">
        <v>0</v>
      </c>
      <c r="J52" s="51">
        <v>0</v>
      </c>
      <c r="K52" s="54">
        <v>0</v>
      </c>
      <c r="L52" s="51">
        <v>0</v>
      </c>
      <c r="M52" s="54">
        <v>0</v>
      </c>
      <c r="N52" s="53">
        <f t="shared" si="0"/>
        <v>0</v>
      </c>
      <c r="O52" s="53">
        <f t="shared" si="1"/>
        <v>0</v>
      </c>
    </row>
    <row r="53" spans="1:15" x14ac:dyDescent="0.2">
      <c r="A53" s="51" t="s">
        <v>3567</v>
      </c>
      <c r="B53" s="51" t="s">
        <v>3568</v>
      </c>
      <c r="C53" s="51" t="s">
        <v>3583</v>
      </c>
      <c r="D53" s="51" t="s">
        <v>3612</v>
      </c>
      <c r="E53" s="51" t="s">
        <v>3613</v>
      </c>
      <c r="F53" s="52">
        <v>15.0754482865</v>
      </c>
      <c r="G53" s="52">
        <v>0</v>
      </c>
      <c r="H53" s="52">
        <v>0</v>
      </c>
      <c r="I53" s="52">
        <v>0</v>
      </c>
      <c r="J53" s="51">
        <v>0</v>
      </c>
      <c r="K53" s="54">
        <v>0</v>
      </c>
      <c r="L53" s="51">
        <v>0</v>
      </c>
      <c r="M53" s="54">
        <v>0</v>
      </c>
      <c r="N53" s="53">
        <f t="shared" si="0"/>
        <v>0</v>
      </c>
      <c r="O53" s="53">
        <f t="shared" si="1"/>
        <v>0</v>
      </c>
    </row>
    <row r="54" spans="1:15" x14ac:dyDescent="0.2">
      <c r="A54" s="51" t="s">
        <v>3567</v>
      </c>
      <c r="B54" s="51" t="s">
        <v>3568</v>
      </c>
      <c r="C54" s="51" t="s">
        <v>63</v>
      </c>
      <c r="D54" s="51" t="s">
        <v>426</v>
      </c>
      <c r="E54" s="51" t="s">
        <v>425</v>
      </c>
      <c r="F54" s="52">
        <v>3458.0102999999999</v>
      </c>
      <c r="G54" s="52">
        <v>5070</v>
      </c>
      <c r="H54" s="52">
        <v>0</v>
      </c>
      <c r="I54" s="52">
        <v>5070</v>
      </c>
      <c r="J54" s="51">
        <v>1</v>
      </c>
      <c r="K54" s="54">
        <v>5000</v>
      </c>
      <c r="L54" s="51">
        <v>0</v>
      </c>
      <c r="M54" s="54">
        <v>0</v>
      </c>
      <c r="N54" s="53">
        <f t="shared" si="0"/>
        <v>5000</v>
      </c>
      <c r="O54" s="53">
        <f t="shared" si="1"/>
        <v>-5000</v>
      </c>
    </row>
    <row r="55" spans="1:15" x14ac:dyDescent="0.2">
      <c r="A55" s="51" t="s">
        <v>3567</v>
      </c>
      <c r="B55" s="51" t="s">
        <v>3568</v>
      </c>
      <c r="C55" s="51" t="s">
        <v>63</v>
      </c>
      <c r="D55" s="51" t="s">
        <v>466</v>
      </c>
      <c r="E55" s="51" t="s">
        <v>465</v>
      </c>
      <c r="F55" s="52">
        <v>197.33860000000001</v>
      </c>
      <c r="G55" s="52">
        <v>0</v>
      </c>
      <c r="H55" s="52">
        <v>0</v>
      </c>
      <c r="I55" s="52">
        <v>0</v>
      </c>
      <c r="J55" s="51">
        <v>0</v>
      </c>
      <c r="K55" s="54">
        <v>0</v>
      </c>
      <c r="L55" s="51">
        <v>1</v>
      </c>
      <c r="M55" s="54">
        <v>5000</v>
      </c>
      <c r="N55" s="53">
        <f t="shared" si="0"/>
        <v>-5000</v>
      </c>
      <c r="O55" s="53">
        <f t="shared" si="1"/>
        <v>5000</v>
      </c>
    </row>
    <row r="56" spans="1:15" x14ac:dyDescent="0.2">
      <c r="A56" s="51" t="s">
        <v>3567</v>
      </c>
      <c r="B56" s="51" t="s">
        <v>3568</v>
      </c>
      <c r="C56" s="51" t="s">
        <v>68</v>
      </c>
      <c r="D56" s="51" t="s">
        <v>2486</v>
      </c>
      <c r="E56" s="51" t="s">
        <v>2485</v>
      </c>
      <c r="F56" s="52">
        <v>6043.8644000000004</v>
      </c>
      <c r="G56" s="52">
        <v>2945</v>
      </c>
      <c r="H56" s="52">
        <v>3560</v>
      </c>
      <c r="I56" s="52">
        <v>6505</v>
      </c>
      <c r="J56" s="51">
        <v>1</v>
      </c>
      <c r="K56" s="54">
        <v>5000</v>
      </c>
      <c r="L56" s="51">
        <v>0</v>
      </c>
      <c r="M56" s="54">
        <v>0</v>
      </c>
      <c r="N56" s="53">
        <f t="shared" si="0"/>
        <v>5000</v>
      </c>
      <c r="O56" s="53">
        <f t="shared" si="1"/>
        <v>-5000</v>
      </c>
    </row>
    <row r="57" spans="1:15" x14ac:dyDescent="0.2">
      <c r="A57" s="51" t="s">
        <v>3567</v>
      </c>
      <c r="B57" s="51" t="s">
        <v>3568</v>
      </c>
      <c r="C57" s="51" t="s">
        <v>83</v>
      </c>
      <c r="D57" s="51" t="s">
        <v>766</v>
      </c>
      <c r="E57" s="51" t="s">
        <v>765</v>
      </c>
      <c r="F57" s="52">
        <v>1250.3110725594511</v>
      </c>
      <c r="G57" s="52">
        <v>19200</v>
      </c>
      <c r="H57" s="52">
        <v>21090</v>
      </c>
      <c r="I57" s="52">
        <v>40290</v>
      </c>
      <c r="J57" s="51">
        <v>1</v>
      </c>
      <c r="K57" s="54">
        <v>12000</v>
      </c>
      <c r="L57" s="51">
        <v>1</v>
      </c>
      <c r="M57" s="54">
        <v>18000</v>
      </c>
      <c r="N57" s="53">
        <f t="shared" si="0"/>
        <v>-6000</v>
      </c>
      <c r="O57" s="53">
        <f t="shared" si="1"/>
        <v>6000</v>
      </c>
    </row>
    <row r="58" spans="1:15" x14ac:dyDescent="0.2">
      <c r="A58" s="51" t="s">
        <v>3567</v>
      </c>
      <c r="B58" s="51" t="s">
        <v>3568</v>
      </c>
      <c r="C58" s="51" t="s">
        <v>3619</v>
      </c>
      <c r="D58" s="51" t="s">
        <v>3620</v>
      </c>
      <c r="E58" s="51" t="s">
        <v>3621</v>
      </c>
      <c r="F58" s="52">
        <v>5.9130875000009998E-3</v>
      </c>
      <c r="G58" s="52">
        <v>0</v>
      </c>
      <c r="H58" s="52">
        <v>0</v>
      </c>
      <c r="I58" s="52">
        <v>0</v>
      </c>
      <c r="J58" s="51">
        <v>0</v>
      </c>
      <c r="K58" s="54">
        <v>0</v>
      </c>
      <c r="L58" s="51">
        <v>0</v>
      </c>
      <c r="M58" s="54">
        <v>0</v>
      </c>
      <c r="N58" s="53">
        <f t="shared" si="0"/>
        <v>0</v>
      </c>
      <c r="O58" s="53">
        <f t="shared" si="1"/>
        <v>0</v>
      </c>
    </row>
    <row r="59" spans="1:15" x14ac:dyDescent="0.2">
      <c r="A59" s="51" t="s">
        <v>3567</v>
      </c>
      <c r="B59" s="51" t="s">
        <v>3568</v>
      </c>
      <c r="C59" s="51" t="s">
        <v>69</v>
      </c>
      <c r="D59" s="51" t="s">
        <v>1194</v>
      </c>
      <c r="E59" s="51" t="s">
        <v>1193</v>
      </c>
      <c r="F59" s="52">
        <v>3390.8630000020999</v>
      </c>
      <c r="G59" s="52">
        <v>1800</v>
      </c>
      <c r="H59" s="52">
        <v>160</v>
      </c>
      <c r="I59" s="52">
        <v>1960</v>
      </c>
      <c r="J59" s="51">
        <v>1</v>
      </c>
      <c r="K59" s="54">
        <v>5000</v>
      </c>
      <c r="L59" s="51">
        <v>0</v>
      </c>
      <c r="M59" s="54">
        <v>0</v>
      </c>
      <c r="N59" s="53">
        <f t="shared" si="0"/>
        <v>5000</v>
      </c>
      <c r="O59" s="53">
        <f t="shared" si="1"/>
        <v>-5000</v>
      </c>
    </row>
    <row r="60" spans="1:15" x14ac:dyDescent="0.2">
      <c r="A60" s="51" t="s">
        <v>3567</v>
      </c>
      <c r="B60" s="51" t="s">
        <v>3568</v>
      </c>
      <c r="C60" s="51" t="s">
        <v>74</v>
      </c>
      <c r="D60" s="51" t="s">
        <v>1337</v>
      </c>
      <c r="E60" s="51" t="s">
        <v>1336</v>
      </c>
      <c r="F60" s="52">
        <v>258.57416975903021</v>
      </c>
      <c r="G60" s="52">
        <v>13005</v>
      </c>
      <c r="H60" s="52">
        <v>4490</v>
      </c>
      <c r="I60" s="52">
        <v>17495</v>
      </c>
      <c r="J60" s="51">
        <v>1</v>
      </c>
      <c r="K60" s="54">
        <v>6000</v>
      </c>
      <c r="L60" s="51">
        <v>0</v>
      </c>
      <c r="M60" s="54">
        <v>0</v>
      </c>
      <c r="N60" s="53">
        <f t="shared" si="0"/>
        <v>6000</v>
      </c>
      <c r="O60" s="53">
        <f t="shared" si="1"/>
        <v>-6000</v>
      </c>
    </row>
    <row r="61" spans="1:15" x14ac:dyDescent="0.2">
      <c r="A61" s="51" t="s">
        <v>3567</v>
      </c>
      <c r="B61" s="51" t="s">
        <v>3568</v>
      </c>
      <c r="C61" s="51" t="s">
        <v>56</v>
      </c>
      <c r="D61" s="51" t="s">
        <v>597</v>
      </c>
      <c r="E61" s="51" t="s">
        <v>596</v>
      </c>
      <c r="F61" s="52">
        <v>48838.5285</v>
      </c>
      <c r="G61" s="52">
        <v>2630</v>
      </c>
      <c r="H61" s="52">
        <v>0</v>
      </c>
      <c r="I61" s="52">
        <v>2630</v>
      </c>
      <c r="J61" s="51">
        <v>0</v>
      </c>
      <c r="K61" s="54">
        <v>0</v>
      </c>
      <c r="L61" s="51">
        <v>1</v>
      </c>
      <c r="M61" s="54">
        <v>7000</v>
      </c>
      <c r="N61" s="53">
        <f t="shared" si="0"/>
        <v>-7000</v>
      </c>
      <c r="O61" s="53">
        <f t="shared" si="1"/>
        <v>7000</v>
      </c>
    </row>
    <row r="62" spans="1:15" x14ac:dyDescent="0.2">
      <c r="A62" s="51" t="s">
        <v>3567</v>
      </c>
      <c r="B62" s="51" t="s">
        <v>3568</v>
      </c>
      <c r="C62" s="51" t="s">
        <v>57</v>
      </c>
      <c r="D62" s="51" t="s">
        <v>2356</v>
      </c>
      <c r="E62" s="51" t="s">
        <v>2355</v>
      </c>
      <c r="F62" s="52">
        <v>5098.7403599725976</v>
      </c>
      <c r="G62" s="52">
        <v>0</v>
      </c>
      <c r="H62" s="52">
        <v>1900</v>
      </c>
      <c r="I62" s="52">
        <v>1900</v>
      </c>
      <c r="J62" s="51">
        <v>0</v>
      </c>
      <c r="K62" s="54">
        <v>0</v>
      </c>
      <c r="L62" s="51">
        <v>1</v>
      </c>
      <c r="M62" s="54">
        <v>6000</v>
      </c>
      <c r="N62" s="53">
        <f t="shared" si="0"/>
        <v>-6000</v>
      </c>
      <c r="O62" s="53">
        <f t="shared" si="1"/>
        <v>6000</v>
      </c>
    </row>
    <row r="63" spans="1:15" x14ac:dyDescent="0.2">
      <c r="A63" s="51" t="s">
        <v>3567</v>
      </c>
      <c r="B63" s="51" t="s">
        <v>3568</v>
      </c>
      <c r="C63" s="51" t="s">
        <v>63</v>
      </c>
      <c r="D63" s="51" t="s">
        <v>3603</v>
      </c>
      <c r="E63" s="51" t="s">
        <v>3604</v>
      </c>
      <c r="F63" s="52">
        <v>11.85886583859928</v>
      </c>
      <c r="G63" s="52">
        <v>0</v>
      </c>
      <c r="H63" s="52">
        <v>0</v>
      </c>
      <c r="I63" s="52">
        <v>0</v>
      </c>
      <c r="J63" s="51">
        <v>0</v>
      </c>
      <c r="K63" s="54">
        <v>0</v>
      </c>
      <c r="L63" s="51">
        <v>0</v>
      </c>
      <c r="M63" s="54">
        <v>0</v>
      </c>
      <c r="N63" s="53">
        <f t="shared" si="0"/>
        <v>0</v>
      </c>
      <c r="O63" s="53">
        <f t="shared" si="1"/>
        <v>0</v>
      </c>
    </row>
    <row r="64" spans="1:15" x14ac:dyDescent="0.2">
      <c r="A64" s="51" t="s">
        <v>3567</v>
      </c>
      <c r="B64" s="51" t="s">
        <v>3568</v>
      </c>
      <c r="C64" s="51" t="s">
        <v>66</v>
      </c>
      <c r="D64" s="51" t="s">
        <v>998</v>
      </c>
      <c r="E64" s="51" t="s">
        <v>997</v>
      </c>
      <c r="F64" s="52">
        <v>12641.598825477129</v>
      </c>
      <c r="G64" s="52">
        <v>13560</v>
      </c>
      <c r="H64" s="52">
        <v>18640</v>
      </c>
      <c r="I64" s="52">
        <v>32200</v>
      </c>
      <c r="J64" s="51">
        <v>1</v>
      </c>
      <c r="K64" s="54">
        <v>5000</v>
      </c>
      <c r="L64" s="51">
        <v>0</v>
      </c>
      <c r="M64" s="54">
        <v>0</v>
      </c>
      <c r="N64" s="53">
        <f t="shared" si="0"/>
        <v>5000</v>
      </c>
      <c r="O64" s="53">
        <f t="shared" si="1"/>
        <v>-5000</v>
      </c>
    </row>
    <row r="65" spans="1:15" x14ac:dyDescent="0.2">
      <c r="A65" s="51" t="s">
        <v>3567</v>
      </c>
      <c r="B65" s="51" t="s">
        <v>3568</v>
      </c>
      <c r="C65" s="51" t="s">
        <v>55</v>
      </c>
      <c r="D65" s="51" t="s">
        <v>2214</v>
      </c>
      <c r="E65" s="51" t="s">
        <v>2213</v>
      </c>
      <c r="F65" s="52">
        <v>14823.4507086956</v>
      </c>
      <c r="G65" s="52">
        <v>0</v>
      </c>
      <c r="H65" s="52">
        <v>15100</v>
      </c>
      <c r="I65" s="52">
        <v>15100</v>
      </c>
      <c r="J65" s="51">
        <v>0</v>
      </c>
      <c r="K65" s="54">
        <v>0</v>
      </c>
      <c r="L65" s="51">
        <v>1</v>
      </c>
      <c r="M65" s="54">
        <v>10000</v>
      </c>
      <c r="N65" s="53">
        <f t="shared" si="0"/>
        <v>-10000</v>
      </c>
      <c r="O65" s="53">
        <f t="shared" si="1"/>
        <v>10000</v>
      </c>
    </row>
    <row r="66" spans="1:15" x14ac:dyDescent="0.2">
      <c r="A66" s="51" t="s">
        <v>3567</v>
      </c>
      <c r="B66" s="51" t="s">
        <v>3568</v>
      </c>
      <c r="C66" s="51" t="s">
        <v>66</v>
      </c>
      <c r="D66" s="51" t="s">
        <v>1624</v>
      </c>
      <c r="E66" s="51" t="s">
        <v>1623</v>
      </c>
      <c r="F66" s="52">
        <v>2010.852880195961</v>
      </c>
      <c r="G66" s="52">
        <v>720</v>
      </c>
      <c r="H66" s="52">
        <v>12900</v>
      </c>
      <c r="I66" s="52">
        <v>13620</v>
      </c>
      <c r="J66" s="51">
        <v>1</v>
      </c>
      <c r="K66" s="54">
        <v>5000</v>
      </c>
      <c r="L66" s="51">
        <v>2</v>
      </c>
      <c r="M66" s="54">
        <v>25000</v>
      </c>
      <c r="N66" s="53">
        <f t="shared" si="0"/>
        <v>-20000</v>
      </c>
      <c r="O66" s="53">
        <f t="shared" si="1"/>
        <v>20000</v>
      </c>
    </row>
    <row r="67" spans="1:15" x14ac:dyDescent="0.2">
      <c r="A67" s="51" t="s">
        <v>3567</v>
      </c>
      <c r="B67" s="51" t="s">
        <v>3568</v>
      </c>
      <c r="C67" s="51" t="s">
        <v>63</v>
      </c>
      <c r="D67" s="51" t="s">
        <v>263</v>
      </c>
      <c r="E67" s="51" t="s">
        <v>262</v>
      </c>
      <c r="F67" s="52">
        <v>947.71337886149001</v>
      </c>
      <c r="G67" s="52">
        <v>100</v>
      </c>
      <c r="H67" s="52">
        <v>1000</v>
      </c>
      <c r="I67" s="52">
        <v>1100</v>
      </c>
      <c r="J67" s="51">
        <v>0</v>
      </c>
      <c r="K67" s="54">
        <v>0</v>
      </c>
      <c r="L67" s="51">
        <v>0</v>
      </c>
      <c r="M67" s="54">
        <v>0</v>
      </c>
      <c r="N67" s="53">
        <f t="shared" ref="N67:N130" si="2">K67-M67</f>
        <v>0</v>
      </c>
      <c r="O67" s="53">
        <f t="shared" ref="O67:O130" si="3">M67-K67</f>
        <v>0</v>
      </c>
    </row>
    <row r="68" spans="1:15" x14ac:dyDescent="0.2">
      <c r="A68" s="51" t="s">
        <v>3567</v>
      </c>
      <c r="B68" s="51" t="s">
        <v>3568</v>
      </c>
      <c r="C68" s="51" t="s">
        <v>86</v>
      </c>
      <c r="D68" s="51" t="s">
        <v>1196</v>
      </c>
      <c r="E68" s="51" t="s">
        <v>1195</v>
      </c>
      <c r="F68" s="52">
        <v>1260.3254335074821</v>
      </c>
      <c r="G68" s="52">
        <v>0</v>
      </c>
      <c r="H68" s="52">
        <v>0</v>
      </c>
      <c r="I68" s="52">
        <v>0</v>
      </c>
      <c r="J68" s="51">
        <v>0</v>
      </c>
      <c r="K68" s="54">
        <v>0</v>
      </c>
      <c r="L68" s="51">
        <v>0</v>
      </c>
      <c r="M68" s="54">
        <v>0</v>
      </c>
      <c r="N68" s="53">
        <f t="shared" si="2"/>
        <v>0</v>
      </c>
      <c r="O68" s="53">
        <f t="shared" si="3"/>
        <v>0</v>
      </c>
    </row>
    <row r="69" spans="1:15" x14ac:dyDescent="0.2">
      <c r="A69" s="51" t="s">
        <v>3567</v>
      </c>
      <c r="B69" s="51" t="s">
        <v>3568</v>
      </c>
      <c r="C69" s="51" t="s">
        <v>58</v>
      </c>
      <c r="D69" s="51" t="s">
        <v>3133</v>
      </c>
      <c r="E69" s="51" t="s">
        <v>1037</v>
      </c>
      <c r="F69" s="52">
        <v>4730.6254580000004</v>
      </c>
      <c r="G69" s="52">
        <v>3100</v>
      </c>
      <c r="H69" s="52">
        <v>0</v>
      </c>
      <c r="I69" s="52">
        <v>3100</v>
      </c>
      <c r="J69" s="51">
        <v>0</v>
      </c>
      <c r="K69" s="54">
        <v>0</v>
      </c>
      <c r="L69" s="51">
        <v>0</v>
      </c>
      <c r="M69" s="54">
        <v>0</v>
      </c>
      <c r="N69" s="53">
        <f t="shared" si="2"/>
        <v>0</v>
      </c>
      <c r="O69" s="53">
        <f t="shared" si="3"/>
        <v>0</v>
      </c>
    </row>
    <row r="70" spans="1:15" x14ac:dyDescent="0.2">
      <c r="A70" s="51" t="s">
        <v>3567</v>
      </c>
      <c r="B70" s="51" t="s">
        <v>3568</v>
      </c>
      <c r="C70" s="51" t="s">
        <v>63</v>
      </c>
      <c r="D70" s="51" t="s">
        <v>3090</v>
      </c>
      <c r="E70" s="51" t="s">
        <v>3089</v>
      </c>
      <c r="F70" s="52">
        <v>18564.32817323738</v>
      </c>
      <c r="G70" s="52">
        <v>57750</v>
      </c>
      <c r="H70" s="52">
        <v>217140</v>
      </c>
      <c r="I70" s="52">
        <v>274890</v>
      </c>
      <c r="J70" s="51">
        <v>0</v>
      </c>
      <c r="K70" s="54">
        <v>0</v>
      </c>
      <c r="L70" s="51">
        <v>3</v>
      </c>
      <c r="M70" s="54">
        <v>180000</v>
      </c>
      <c r="N70" s="53">
        <f t="shared" si="2"/>
        <v>-180000</v>
      </c>
      <c r="O70" s="53">
        <f t="shared" si="3"/>
        <v>180000</v>
      </c>
    </row>
    <row r="71" spans="1:15" x14ac:dyDescent="0.2">
      <c r="A71" s="51" t="s">
        <v>3567</v>
      </c>
      <c r="B71" s="51" t="s">
        <v>3568</v>
      </c>
      <c r="C71" s="51" t="s">
        <v>57</v>
      </c>
      <c r="D71" s="51" t="s">
        <v>1960</v>
      </c>
      <c r="E71" s="51" t="s">
        <v>1959</v>
      </c>
      <c r="F71" s="52">
        <v>7212.3554746557811</v>
      </c>
      <c r="G71" s="52">
        <v>0</v>
      </c>
      <c r="H71" s="52">
        <v>17930</v>
      </c>
      <c r="I71" s="52">
        <v>17930</v>
      </c>
      <c r="J71" s="51">
        <v>0</v>
      </c>
      <c r="K71" s="54">
        <v>0</v>
      </c>
      <c r="L71" s="51">
        <v>2</v>
      </c>
      <c r="M71" s="54">
        <v>40000</v>
      </c>
      <c r="N71" s="53">
        <f t="shared" si="2"/>
        <v>-40000</v>
      </c>
      <c r="O71" s="53">
        <f t="shared" si="3"/>
        <v>40000</v>
      </c>
    </row>
    <row r="72" spans="1:15" x14ac:dyDescent="0.2">
      <c r="A72" s="51" t="s">
        <v>3567</v>
      </c>
      <c r="B72" s="51" t="s">
        <v>3568</v>
      </c>
      <c r="C72" s="51" t="s">
        <v>81</v>
      </c>
      <c r="D72" s="51" t="s">
        <v>3593</v>
      </c>
      <c r="E72" s="51" t="s">
        <v>3594</v>
      </c>
      <c r="F72" s="52">
        <v>0.66594682744356248</v>
      </c>
      <c r="G72" s="52">
        <v>0</v>
      </c>
      <c r="H72" s="52">
        <v>0</v>
      </c>
      <c r="I72" s="52">
        <v>0</v>
      </c>
      <c r="J72" s="51">
        <v>0</v>
      </c>
      <c r="K72" s="54">
        <v>0</v>
      </c>
      <c r="L72" s="51">
        <v>0</v>
      </c>
      <c r="M72" s="54">
        <v>0</v>
      </c>
      <c r="N72" s="53">
        <f t="shared" si="2"/>
        <v>0</v>
      </c>
      <c r="O72" s="53">
        <f t="shared" si="3"/>
        <v>0</v>
      </c>
    </row>
    <row r="73" spans="1:15" x14ac:dyDescent="0.2">
      <c r="A73" s="51" t="s">
        <v>3567</v>
      </c>
      <c r="B73" s="51" t="s">
        <v>3568</v>
      </c>
      <c r="C73" s="51" t="s">
        <v>72</v>
      </c>
      <c r="D73" s="51" t="s">
        <v>251</v>
      </c>
      <c r="E73" s="51" t="s">
        <v>250</v>
      </c>
      <c r="F73" s="52">
        <v>1.0929999145646989</v>
      </c>
      <c r="G73" s="52">
        <v>0</v>
      </c>
      <c r="H73" s="52">
        <v>0</v>
      </c>
      <c r="I73" s="52">
        <v>0</v>
      </c>
      <c r="J73" s="51">
        <v>0</v>
      </c>
      <c r="K73" s="54">
        <v>0</v>
      </c>
      <c r="L73" s="51">
        <v>0</v>
      </c>
      <c r="M73" s="54">
        <v>0</v>
      </c>
      <c r="N73" s="53">
        <f t="shared" si="2"/>
        <v>0</v>
      </c>
      <c r="O73" s="53">
        <f t="shared" si="3"/>
        <v>0</v>
      </c>
    </row>
    <row r="74" spans="1:15" x14ac:dyDescent="0.2">
      <c r="A74" s="51" t="s">
        <v>3567</v>
      </c>
      <c r="B74" s="51" t="s">
        <v>3568</v>
      </c>
      <c r="C74" s="51" t="s">
        <v>76</v>
      </c>
      <c r="D74" s="51" t="s">
        <v>3204</v>
      </c>
      <c r="E74" s="51" t="s">
        <v>3203</v>
      </c>
      <c r="F74" s="52">
        <v>1806.7010757901239</v>
      </c>
      <c r="G74" s="52">
        <v>3400</v>
      </c>
      <c r="H74" s="52">
        <v>19240</v>
      </c>
      <c r="I74" s="52">
        <v>22640</v>
      </c>
      <c r="J74" s="51">
        <v>1</v>
      </c>
      <c r="K74" s="54">
        <v>5000</v>
      </c>
      <c r="L74" s="51">
        <v>1</v>
      </c>
      <c r="M74" s="54">
        <v>20000</v>
      </c>
      <c r="N74" s="53">
        <f t="shared" si="2"/>
        <v>-15000</v>
      </c>
      <c r="O74" s="53">
        <f t="shared" si="3"/>
        <v>15000</v>
      </c>
    </row>
    <row r="75" spans="1:15" x14ac:dyDescent="0.2">
      <c r="A75" s="51" t="s">
        <v>3567</v>
      </c>
      <c r="B75" s="51" t="s">
        <v>3568</v>
      </c>
      <c r="C75" s="51" t="s">
        <v>80</v>
      </c>
      <c r="D75" s="51" t="s">
        <v>1324</v>
      </c>
      <c r="E75" s="51" t="s">
        <v>1323</v>
      </c>
      <c r="F75" s="52">
        <v>8157.4010158636302</v>
      </c>
      <c r="G75" s="52">
        <v>0</v>
      </c>
      <c r="H75" s="52">
        <v>0</v>
      </c>
      <c r="I75" s="52">
        <v>0</v>
      </c>
      <c r="J75" s="51">
        <v>0</v>
      </c>
      <c r="K75" s="54">
        <v>0</v>
      </c>
      <c r="L75" s="51">
        <v>0</v>
      </c>
      <c r="M75" s="54">
        <v>0</v>
      </c>
      <c r="N75" s="53">
        <f t="shared" si="2"/>
        <v>0</v>
      </c>
      <c r="O75" s="53">
        <f t="shared" si="3"/>
        <v>0</v>
      </c>
    </row>
    <row r="76" spans="1:15" x14ac:dyDescent="0.2">
      <c r="A76" s="51" t="s">
        <v>3567</v>
      </c>
      <c r="B76" s="51" t="s">
        <v>3568</v>
      </c>
      <c r="C76" s="51" t="s">
        <v>84</v>
      </c>
      <c r="D76" s="51" t="s">
        <v>1410</v>
      </c>
      <c r="E76" s="51" t="s">
        <v>1409</v>
      </c>
      <c r="F76" s="52">
        <v>4701.4128509384</v>
      </c>
      <c r="G76" s="52">
        <v>4250</v>
      </c>
      <c r="H76" s="52">
        <v>35955</v>
      </c>
      <c r="I76" s="52">
        <v>40205</v>
      </c>
      <c r="J76" s="51">
        <v>0</v>
      </c>
      <c r="K76" s="54">
        <v>0</v>
      </c>
      <c r="L76" s="51">
        <v>1</v>
      </c>
      <c r="M76" s="54">
        <v>30000</v>
      </c>
      <c r="N76" s="53">
        <f t="shared" si="2"/>
        <v>-30000</v>
      </c>
      <c r="O76" s="53">
        <f t="shared" si="3"/>
        <v>30000</v>
      </c>
    </row>
    <row r="77" spans="1:15" x14ac:dyDescent="0.2">
      <c r="A77" s="51" t="s">
        <v>3567</v>
      </c>
      <c r="B77" s="51" t="s">
        <v>3568</v>
      </c>
      <c r="C77" s="51" t="s">
        <v>3607</v>
      </c>
      <c r="D77" s="51" t="s">
        <v>3608</v>
      </c>
      <c r="E77" s="51" t="s">
        <v>3609</v>
      </c>
      <c r="F77" s="52">
        <v>15.814421681536849</v>
      </c>
      <c r="G77" s="52">
        <v>0</v>
      </c>
      <c r="H77" s="52">
        <v>0</v>
      </c>
      <c r="I77" s="52">
        <v>0</v>
      </c>
      <c r="J77" s="51">
        <v>0</v>
      </c>
      <c r="K77" s="54">
        <v>0</v>
      </c>
      <c r="L77" s="51">
        <v>0</v>
      </c>
      <c r="M77" s="54">
        <v>0</v>
      </c>
      <c r="N77" s="53">
        <f t="shared" si="2"/>
        <v>0</v>
      </c>
      <c r="O77" s="53">
        <f t="shared" si="3"/>
        <v>0</v>
      </c>
    </row>
    <row r="78" spans="1:15" x14ac:dyDescent="0.2">
      <c r="A78" s="51" t="s">
        <v>3567</v>
      </c>
      <c r="B78" s="51" t="s">
        <v>3568</v>
      </c>
      <c r="C78" s="51" t="s">
        <v>3610</v>
      </c>
      <c r="D78" s="51" t="s">
        <v>3611</v>
      </c>
      <c r="E78" s="51" t="s">
        <v>963</v>
      </c>
      <c r="F78" s="52">
        <v>8.8897999999999993</v>
      </c>
      <c r="G78" s="52">
        <v>0</v>
      </c>
      <c r="H78" s="52">
        <v>0</v>
      </c>
      <c r="I78" s="52">
        <v>0</v>
      </c>
      <c r="J78" s="51">
        <v>0</v>
      </c>
      <c r="K78" s="54">
        <v>0</v>
      </c>
      <c r="L78" s="51">
        <v>0</v>
      </c>
      <c r="M78" s="54">
        <v>0</v>
      </c>
      <c r="N78" s="53">
        <f t="shared" si="2"/>
        <v>0</v>
      </c>
      <c r="O78" s="53">
        <f t="shared" si="3"/>
        <v>0</v>
      </c>
    </row>
    <row r="79" spans="1:15" x14ac:dyDescent="0.2">
      <c r="A79" s="51" t="s">
        <v>3567</v>
      </c>
      <c r="B79" s="51" t="s">
        <v>3568</v>
      </c>
      <c r="C79" s="51" t="s">
        <v>85</v>
      </c>
      <c r="D79" s="51" t="s">
        <v>1954</v>
      </c>
      <c r="E79" s="51" t="s">
        <v>1953</v>
      </c>
      <c r="F79" s="52">
        <v>8432.6206629999997</v>
      </c>
      <c r="G79" s="52">
        <v>100</v>
      </c>
      <c r="H79" s="52">
        <v>8000</v>
      </c>
      <c r="I79" s="52">
        <v>8100</v>
      </c>
      <c r="J79" s="51">
        <v>2</v>
      </c>
      <c r="K79" s="54">
        <v>6000</v>
      </c>
      <c r="L79" s="51">
        <v>0</v>
      </c>
      <c r="M79" s="54">
        <v>0</v>
      </c>
      <c r="N79" s="53">
        <f t="shared" si="2"/>
        <v>6000</v>
      </c>
      <c r="O79" s="53">
        <f t="shared" si="3"/>
        <v>-6000</v>
      </c>
    </row>
    <row r="80" spans="1:15" x14ac:dyDescent="0.2">
      <c r="A80" s="51" t="s">
        <v>3567</v>
      </c>
      <c r="B80" s="51" t="s">
        <v>3568</v>
      </c>
      <c r="C80" s="51" t="s">
        <v>71</v>
      </c>
      <c r="D80" s="51" t="s">
        <v>3351</v>
      </c>
      <c r="E80" s="51" t="s">
        <v>3350</v>
      </c>
      <c r="F80" s="52">
        <v>4228.0604999999996</v>
      </c>
      <c r="G80" s="52">
        <v>1000</v>
      </c>
      <c r="H80" s="52">
        <v>0</v>
      </c>
      <c r="I80" s="52">
        <v>1000</v>
      </c>
      <c r="J80" s="51">
        <v>1</v>
      </c>
      <c r="K80" s="54">
        <v>5000</v>
      </c>
      <c r="L80" s="51">
        <v>0</v>
      </c>
      <c r="M80" s="54">
        <v>0</v>
      </c>
      <c r="N80" s="53">
        <f t="shared" si="2"/>
        <v>5000</v>
      </c>
      <c r="O80" s="53">
        <f t="shared" si="3"/>
        <v>-5000</v>
      </c>
    </row>
    <row r="81" spans="1:15" x14ac:dyDescent="0.2">
      <c r="A81" s="51" t="s">
        <v>3567</v>
      </c>
      <c r="B81" s="51" t="s">
        <v>3568</v>
      </c>
      <c r="C81" s="51" t="s">
        <v>72</v>
      </c>
      <c r="D81" s="51" t="s">
        <v>1983</v>
      </c>
      <c r="E81" s="51" t="s">
        <v>1982</v>
      </c>
      <c r="F81" s="52">
        <v>6965.3587486058996</v>
      </c>
      <c r="G81" s="52">
        <v>900</v>
      </c>
      <c r="H81" s="52">
        <v>5180</v>
      </c>
      <c r="I81" s="52">
        <v>6080</v>
      </c>
      <c r="J81" s="51">
        <v>0</v>
      </c>
      <c r="K81" s="54">
        <v>0</v>
      </c>
      <c r="L81" s="51">
        <v>1</v>
      </c>
      <c r="M81" s="54">
        <v>15000</v>
      </c>
      <c r="N81" s="53">
        <f t="shared" si="2"/>
        <v>-15000</v>
      </c>
      <c r="O81" s="53">
        <f t="shared" si="3"/>
        <v>15000</v>
      </c>
    </row>
    <row r="82" spans="1:15" x14ac:dyDescent="0.2">
      <c r="A82" s="51" t="s">
        <v>3567</v>
      </c>
      <c r="B82" s="51" t="s">
        <v>3568</v>
      </c>
      <c r="C82" s="51" t="s">
        <v>67</v>
      </c>
      <c r="D82" s="51" t="s">
        <v>1252</v>
      </c>
      <c r="E82" s="51" t="s">
        <v>1251</v>
      </c>
      <c r="F82" s="52">
        <v>5026.8029339555051</v>
      </c>
      <c r="G82" s="52">
        <v>670</v>
      </c>
      <c r="H82" s="52">
        <v>4970</v>
      </c>
      <c r="I82" s="52">
        <v>5640</v>
      </c>
      <c r="J82" s="51">
        <v>0</v>
      </c>
      <c r="K82" s="54">
        <v>0</v>
      </c>
      <c r="L82" s="51">
        <v>1</v>
      </c>
      <c r="M82" s="54">
        <v>5000</v>
      </c>
      <c r="N82" s="53">
        <f t="shared" si="2"/>
        <v>-5000</v>
      </c>
      <c r="O82" s="53">
        <f t="shared" si="3"/>
        <v>5000</v>
      </c>
    </row>
    <row r="83" spans="1:15" x14ac:dyDescent="0.2">
      <c r="A83" s="51" t="s">
        <v>3567</v>
      </c>
      <c r="B83" s="51" t="s">
        <v>3568</v>
      </c>
      <c r="C83" s="51" t="s">
        <v>61</v>
      </c>
      <c r="D83" s="51" t="s">
        <v>3622</v>
      </c>
      <c r="E83" s="51" t="s">
        <v>3623</v>
      </c>
      <c r="F83" s="52">
        <v>40.524528785924943</v>
      </c>
      <c r="G83" s="52">
        <v>0</v>
      </c>
      <c r="H83" s="52">
        <v>0</v>
      </c>
      <c r="I83" s="52">
        <v>0</v>
      </c>
      <c r="J83" s="51">
        <v>0</v>
      </c>
      <c r="K83" s="54">
        <v>0</v>
      </c>
      <c r="L83" s="51">
        <v>0</v>
      </c>
      <c r="M83" s="54">
        <v>0</v>
      </c>
      <c r="N83" s="53">
        <f t="shared" si="2"/>
        <v>0</v>
      </c>
      <c r="O83" s="53">
        <f t="shared" si="3"/>
        <v>0</v>
      </c>
    </row>
    <row r="84" spans="1:15" x14ac:dyDescent="0.2">
      <c r="A84" s="51" t="s">
        <v>3567</v>
      </c>
      <c r="B84" s="51" t="s">
        <v>3568</v>
      </c>
      <c r="C84" s="51" t="s">
        <v>85</v>
      </c>
      <c r="D84" s="51" t="s">
        <v>1787</v>
      </c>
      <c r="E84" s="51" t="s">
        <v>1786</v>
      </c>
      <c r="F84" s="52">
        <v>13588.0604816467</v>
      </c>
      <c r="G84" s="52">
        <v>4920</v>
      </c>
      <c r="H84" s="52">
        <v>39690</v>
      </c>
      <c r="I84" s="52">
        <v>44610</v>
      </c>
      <c r="J84" s="51">
        <v>0</v>
      </c>
      <c r="K84" s="54">
        <v>0</v>
      </c>
      <c r="L84" s="51">
        <v>1</v>
      </c>
      <c r="M84" s="54">
        <v>65000</v>
      </c>
      <c r="N84" s="53">
        <f t="shared" si="2"/>
        <v>-65000</v>
      </c>
      <c r="O84" s="53">
        <f t="shared" si="3"/>
        <v>65000</v>
      </c>
    </row>
    <row r="85" spans="1:15" x14ac:dyDescent="0.2">
      <c r="A85" s="51" t="s">
        <v>3567</v>
      </c>
      <c r="B85" s="51" t="s">
        <v>3568</v>
      </c>
      <c r="C85" s="51" t="s">
        <v>52</v>
      </c>
      <c r="D85" s="51" t="s">
        <v>1735</v>
      </c>
      <c r="E85" s="51" t="s">
        <v>1734</v>
      </c>
      <c r="F85" s="52">
        <v>108.17951402288919</v>
      </c>
      <c r="G85" s="52">
        <v>0</v>
      </c>
      <c r="H85" s="52">
        <v>100</v>
      </c>
      <c r="I85" s="52">
        <v>100</v>
      </c>
      <c r="J85" s="51">
        <v>0</v>
      </c>
      <c r="K85" s="54">
        <v>0</v>
      </c>
      <c r="L85" s="51">
        <v>0</v>
      </c>
      <c r="M85" s="54">
        <v>0</v>
      </c>
      <c r="N85" s="53">
        <f t="shared" si="2"/>
        <v>0</v>
      </c>
      <c r="O85" s="53">
        <f t="shared" si="3"/>
        <v>0</v>
      </c>
    </row>
    <row r="86" spans="1:15" x14ac:dyDescent="0.2">
      <c r="A86" s="51" t="s">
        <v>3567</v>
      </c>
      <c r="B86" s="51" t="s">
        <v>3568</v>
      </c>
      <c r="C86" s="51" t="s">
        <v>87</v>
      </c>
      <c r="D86" s="51" t="s">
        <v>1490</v>
      </c>
      <c r="E86" s="51" t="s">
        <v>1489</v>
      </c>
      <c r="F86" s="52">
        <v>42824.422829024639</v>
      </c>
      <c r="G86" s="52">
        <v>33010</v>
      </c>
      <c r="H86" s="52">
        <v>23550</v>
      </c>
      <c r="I86" s="52">
        <v>56560</v>
      </c>
      <c r="J86" s="51">
        <v>1</v>
      </c>
      <c r="K86" s="54">
        <v>50000</v>
      </c>
      <c r="L86" s="51">
        <v>1</v>
      </c>
      <c r="M86" s="54">
        <v>15000</v>
      </c>
      <c r="N86" s="53">
        <f t="shared" si="2"/>
        <v>35000</v>
      </c>
      <c r="O86" s="53">
        <f t="shared" si="3"/>
        <v>-35000</v>
      </c>
    </row>
    <row r="87" spans="1:15" x14ac:dyDescent="0.2">
      <c r="A87" s="51" t="s">
        <v>3567</v>
      </c>
      <c r="B87" s="51" t="s">
        <v>3568</v>
      </c>
      <c r="C87" s="51" t="s">
        <v>68</v>
      </c>
      <c r="D87" s="51" t="s">
        <v>2710</v>
      </c>
      <c r="E87" s="51" t="s">
        <v>2709</v>
      </c>
      <c r="F87" s="52">
        <v>15752.80557074725</v>
      </c>
      <c r="G87" s="52">
        <v>13390</v>
      </c>
      <c r="H87" s="52">
        <v>22665</v>
      </c>
      <c r="I87" s="52">
        <v>36055</v>
      </c>
      <c r="J87" s="51">
        <v>1</v>
      </c>
      <c r="K87" s="54">
        <v>7000</v>
      </c>
      <c r="L87" s="51">
        <v>1</v>
      </c>
      <c r="M87" s="54">
        <v>50000</v>
      </c>
      <c r="N87" s="53">
        <f t="shared" si="2"/>
        <v>-43000</v>
      </c>
      <c r="O87" s="53">
        <f t="shared" si="3"/>
        <v>43000</v>
      </c>
    </row>
    <row r="88" spans="1:15" x14ac:dyDescent="0.2">
      <c r="A88" s="51" t="s">
        <v>3567</v>
      </c>
      <c r="B88" s="51" t="s">
        <v>3568</v>
      </c>
      <c r="C88" s="51" t="s">
        <v>81</v>
      </c>
      <c r="D88" s="51" t="s">
        <v>538</v>
      </c>
      <c r="E88" s="51" t="s">
        <v>537</v>
      </c>
      <c r="F88" s="52">
        <v>46.336632321802803</v>
      </c>
      <c r="G88" s="52">
        <v>0</v>
      </c>
      <c r="H88" s="52">
        <v>5000</v>
      </c>
      <c r="I88" s="52">
        <v>5000</v>
      </c>
      <c r="J88" s="51">
        <v>0</v>
      </c>
      <c r="K88" s="54">
        <v>0</v>
      </c>
      <c r="L88" s="51">
        <v>1</v>
      </c>
      <c r="M88" s="54">
        <v>5000</v>
      </c>
      <c r="N88" s="53">
        <f t="shared" si="2"/>
        <v>-5000</v>
      </c>
      <c r="O88" s="53">
        <f t="shared" si="3"/>
        <v>5000</v>
      </c>
    </row>
    <row r="89" spans="1:15" x14ac:dyDescent="0.2">
      <c r="A89" s="51" t="s">
        <v>3567</v>
      </c>
      <c r="B89" s="51" t="s">
        <v>3568</v>
      </c>
      <c r="C89" s="51" t="s">
        <v>3633</v>
      </c>
      <c r="D89" s="51" t="s">
        <v>3634</v>
      </c>
      <c r="E89" s="51" t="s">
        <v>3635</v>
      </c>
      <c r="F89" s="52">
        <v>0.65249999999999997</v>
      </c>
      <c r="G89" s="52">
        <v>0</v>
      </c>
      <c r="H89" s="52">
        <v>0</v>
      </c>
      <c r="I89" s="52">
        <v>0</v>
      </c>
      <c r="J89" s="51">
        <v>0</v>
      </c>
      <c r="K89" s="54">
        <v>0</v>
      </c>
      <c r="L89" s="51">
        <v>0</v>
      </c>
      <c r="M89" s="54">
        <v>0</v>
      </c>
      <c r="N89" s="53">
        <f t="shared" si="2"/>
        <v>0</v>
      </c>
      <c r="O89" s="53">
        <f t="shared" si="3"/>
        <v>0</v>
      </c>
    </row>
    <row r="90" spans="1:15" x14ac:dyDescent="0.2">
      <c r="A90" s="51" t="s">
        <v>3567</v>
      </c>
      <c r="B90" s="51" t="s">
        <v>3568</v>
      </c>
      <c r="C90" s="51" t="s">
        <v>3627</v>
      </c>
      <c r="D90" s="51" t="s">
        <v>3628</v>
      </c>
      <c r="E90" s="51" t="s">
        <v>3629</v>
      </c>
      <c r="F90" s="52">
        <v>25.860874223700002</v>
      </c>
      <c r="G90" s="52">
        <v>0</v>
      </c>
      <c r="H90" s="52">
        <v>0</v>
      </c>
      <c r="I90" s="52">
        <v>0</v>
      </c>
      <c r="J90" s="51">
        <v>0</v>
      </c>
      <c r="K90" s="54">
        <v>0</v>
      </c>
      <c r="L90" s="51">
        <v>0</v>
      </c>
      <c r="M90" s="54">
        <v>0</v>
      </c>
      <c r="N90" s="53">
        <f t="shared" si="2"/>
        <v>0</v>
      </c>
      <c r="O90" s="53">
        <f t="shared" si="3"/>
        <v>0</v>
      </c>
    </row>
    <row r="91" spans="1:15" x14ac:dyDescent="0.2">
      <c r="A91" s="51" t="s">
        <v>3567</v>
      </c>
      <c r="B91" s="51" t="s">
        <v>3568</v>
      </c>
      <c r="C91" s="51" t="s">
        <v>84</v>
      </c>
      <c r="D91" s="51" t="s">
        <v>2785</v>
      </c>
      <c r="E91" s="51" t="s">
        <v>2784</v>
      </c>
      <c r="F91" s="52">
        <v>5546.564316027353</v>
      </c>
      <c r="G91" s="52">
        <v>1500</v>
      </c>
      <c r="H91" s="52">
        <v>27614</v>
      </c>
      <c r="I91" s="52">
        <v>29114</v>
      </c>
      <c r="J91" s="51">
        <v>1</v>
      </c>
      <c r="K91" s="54">
        <v>5000</v>
      </c>
      <c r="L91" s="51">
        <v>1</v>
      </c>
      <c r="M91" s="54">
        <v>35000</v>
      </c>
      <c r="N91" s="53">
        <f t="shared" si="2"/>
        <v>-30000</v>
      </c>
      <c r="O91" s="53">
        <f t="shared" si="3"/>
        <v>30000</v>
      </c>
    </row>
    <row r="92" spans="1:15" x14ac:dyDescent="0.2">
      <c r="A92" s="51" t="s">
        <v>3567</v>
      </c>
      <c r="B92" s="51" t="s">
        <v>3568</v>
      </c>
      <c r="C92" s="51" t="s">
        <v>62</v>
      </c>
      <c r="D92" s="51" t="s">
        <v>1537</v>
      </c>
      <c r="E92" s="51" t="s">
        <v>1536</v>
      </c>
      <c r="F92" s="52">
        <v>3799.501106729213</v>
      </c>
      <c r="G92" s="52">
        <v>2600</v>
      </c>
      <c r="H92" s="52">
        <v>3305</v>
      </c>
      <c r="I92" s="52">
        <v>5905</v>
      </c>
      <c r="J92" s="51">
        <v>0</v>
      </c>
      <c r="K92" s="54">
        <v>0</v>
      </c>
      <c r="L92" s="51">
        <v>1</v>
      </c>
      <c r="M92" s="54">
        <v>7000</v>
      </c>
      <c r="N92" s="53">
        <f t="shared" si="2"/>
        <v>-7000</v>
      </c>
      <c r="O92" s="53">
        <f t="shared" si="3"/>
        <v>7000</v>
      </c>
    </row>
    <row r="93" spans="1:15" x14ac:dyDescent="0.2">
      <c r="A93" s="51" t="s">
        <v>3567</v>
      </c>
      <c r="B93" s="51" t="s">
        <v>3568</v>
      </c>
      <c r="C93" s="51" t="s">
        <v>3653</v>
      </c>
      <c r="D93" s="51" t="s">
        <v>3654</v>
      </c>
      <c r="E93" s="51" t="s">
        <v>3655</v>
      </c>
      <c r="F93" s="52">
        <v>5.7489715903157972</v>
      </c>
      <c r="G93" s="52">
        <v>0</v>
      </c>
      <c r="H93" s="52">
        <v>0</v>
      </c>
      <c r="I93" s="52">
        <v>0</v>
      </c>
      <c r="J93" s="51">
        <v>0</v>
      </c>
      <c r="K93" s="54">
        <v>0</v>
      </c>
      <c r="L93" s="51">
        <v>0</v>
      </c>
      <c r="M93" s="54">
        <v>0</v>
      </c>
      <c r="N93" s="53">
        <f t="shared" si="2"/>
        <v>0</v>
      </c>
      <c r="O93" s="53">
        <f t="shared" si="3"/>
        <v>0</v>
      </c>
    </row>
    <row r="94" spans="1:15" x14ac:dyDescent="0.2">
      <c r="A94" s="51" t="s">
        <v>3567</v>
      </c>
      <c r="B94" s="51" t="s">
        <v>3568</v>
      </c>
      <c r="C94" s="51" t="s">
        <v>3577</v>
      </c>
      <c r="D94" s="51" t="s">
        <v>3658</v>
      </c>
      <c r="E94" s="51" t="s">
        <v>3659</v>
      </c>
      <c r="F94" s="52">
        <v>4.4660223774501038</v>
      </c>
      <c r="G94" s="52">
        <v>0</v>
      </c>
      <c r="H94" s="52">
        <v>0</v>
      </c>
      <c r="I94" s="52">
        <v>0</v>
      </c>
      <c r="J94" s="51">
        <v>0</v>
      </c>
      <c r="K94" s="54">
        <v>0</v>
      </c>
      <c r="L94" s="51">
        <v>0</v>
      </c>
      <c r="M94" s="54">
        <v>0</v>
      </c>
      <c r="N94" s="53">
        <f t="shared" si="2"/>
        <v>0</v>
      </c>
      <c r="O94" s="53">
        <f t="shared" si="3"/>
        <v>0</v>
      </c>
    </row>
    <row r="95" spans="1:15" x14ac:dyDescent="0.2">
      <c r="A95" s="51" t="s">
        <v>3567</v>
      </c>
      <c r="B95" s="51" t="s">
        <v>3568</v>
      </c>
      <c r="C95" s="51" t="s">
        <v>60</v>
      </c>
      <c r="D95" s="51" t="s">
        <v>2692</v>
      </c>
      <c r="E95" s="51" t="s">
        <v>2691</v>
      </c>
      <c r="F95" s="52">
        <v>6003.4790000000003</v>
      </c>
      <c r="G95" s="52">
        <v>0</v>
      </c>
      <c r="H95" s="52">
        <v>0</v>
      </c>
      <c r="I95" s="52">
        <v>0</v>
      </c>
      <c r="J95" s="51">
        <v>2</v>
      </c>
      <c r="K95" s="54">
        <v>6000</v>
      </c>
      <c r="L95" s="51">
        <v>0</v>
      </c>
      <c r="M95" s="54">
        <v>0</v>
      </c>
      <c r="N95" s="53">
        <f t="shared" si="2"/>
        <v>6000</v>
      </c>
      <c r="O95" s="53">
        <f t="shared" si="3"/>
        <v>-6000</v>
      </c>
    </row>
    <row r="96" spans="1:15" x14ac:dyDescent="0.2">
      <c r="A96" s="51" t="s">
        <v>3567</v>
      </c>
      <c r="B96" s="51" t="s">
        <v>3568</v>
      </c>
      <c r="C96" s="51" t="s">
        <v>93</v>
      </c>
      <c r="D96" s="51" t="s">
        <v>3461</v>
      </c>
      <c r="E96" s="51" t="s">
        <v>3460</v>
      </c>
      <c r="F96" s="52">
        <v>135.13929999999999</v>
      </c>
      <c r="G96" s="52">
        <v>9930</v>
      </c>
      <c r="H96" s="52">
        <v>0</v>
      </c>
      <c r="I96" s="52">
        <v>9930</v>
      </c>
      <c r="J96" s="51">
        <v>1</v>
      </c>
      <c r="K96" s="54">
        <v>10000</v>
      </c>
      <c r="L96" s="51">
        <v>0</v>
      </c>
      <c r="M96" s="54">
        <v>0</v>
      </c>
      <c r="N96" s="53">
        <f t="shared" si="2"/>
        <v>10000</v>
      </c>
      <c r="O96" s="53">
        <f t="shared" si="3"/>
        <v>-10000</v>
      </c>
    </row>
    <row r="97" spans="1:15" x14ac:dyDescent="0.2">
      <c r="A97" s="51" t="s">
        <v>3567</v>
      </c>
      <c r="B97" s="51" t="s">
        <v>3568</v>
      </c>
      <c r="C97" s="51" t="s">
        <v>82</v>
      </c>
      <c r="D97" s="51" t="s">
        <v>1244</v>
      </c>
      <c r="E97" s="51" t="s">
        <v>1243</v>
      </c>
      <c r="F97" s="52">
        <v>10029.814441957231</v>
      </c>
      <c r="G97" s="52">
        <v>2000</v>
      </c>
      <c r="H97" s="52">
        <v>0</v>
      </c>
      <c r="I97" s="52">
        <v>2000</v>
      </c>
      <c r="J97" s="51">
        <v>1</v>
      </c>
      <c r="K97" s="54">
        <v>6000</v>
      </c>
      <c r="L97" s="51">
        <v>0</v>
      </c>
      <c r="M97" s="54">
        <v>0</v>
      </c>
      <c r="N97" s="53">
        <f t="shared" si="2"/>
        <v>6000</v>
      </c>
      <c r="O97" s="53">
        <f t="shared" si="3"/>
        <v>-6000</v>
      </c>
    </row>
    <row r="98" spans="1:15" x14ac:dyDescent="0.2">
      <c r="A98" s="51" t="s">
        <v>3567</v>
      </c>
      <c r="B98" s="51" t="s">
        <v>3568</v>
      </c>
      <c r="C98" s="51" t="s">
        <v>87</v>
      </c>
      <c r="D98" s="51" t="s">
        <v>3354</v>
      </c>
      <c r="E98" s="51" t="s">
        <v>2069</v>
      </c>
      <c r="F98" s="52">
        <v>4893.3229915169004</v>
      </c>
      <c r="G98" s="52">
        <v>300</v>
      </c>
      <c r="H98" s="52">
        <v>4490</v>
      </c>
      <c r="I98" s="52">
        <v>4790</v>
      </c>
      <c r="J98" s="51">
        <v>0</v>
      </c>
      <c r="K98" s="54">
        <v>0</v>
      </c>
      <c r="L98" s="51">
        <v>1</v>
      </c>
      <c r="M98" s="54">
        <v>5000</v>
      </c>
      <c r="N98" s="53">
        <f t="shared" si="2"/>
        <v>-5000</v>
      </c>
      <c r="O98" s="53">
        <f t="shared" si="3"/>
        <v>5000</v>
      </c>
    </row>
    <row r="99" spans="1:15" x14ac:dyDescent="0.2">
      <c r="A99" s="51" t="s">
        <v>3567</v>
      </c>
      <c r="B99" s="51" t="s">
        <v>3568</v>
      </c>
      <c r="C99" s="51" t="s">
        <v>71</v>
      </c>
      <c r="D99" s="51" t="s">
        <v>708</v>
      </c>
      <c r="E99" s="51" t="s">
        <v>707</v>
      </c>
      <c r="F99" s="52">
        <v>49.298795383740533</v>
      </c>
      <c r="G99" s="52">
        <v>0</v>
      </c>
      <c r="H99" s="52">
        <v>0</v>
      </c>
      <c r="I99" s="52">
        <v>0</v>
      </c>
      <c r="J99" s="51">
        <v>0</v>
      </c>
      <c r="K99" s="54">
        <v>0</v>
      </c>
      <c r="L99" s="51">
        <v>0</v>
      </c>
      <c r="M99" s="54">
        <v>0</v>
      </c>
      <c r="N99" s="53">
        <f t="shared" si="2"/>
        <v>0</v>
      </c>
      <c r="O99" s="53">
        <f t="shared" si="3"/>
        <v>0</v>
      </c>
    </row>
    <row r="100" spans="1:15" x14ac:dyDescent="0.2">
      <c r="A100" s="51" t="s">
        <v>3567</v>
      </c>
      <c r="B100" s="51" t="s">
        <v>3568</v>
      </c>
      <c r="C100" s="51" t="s">
        <v>58</v>
      </c>
      <c r="D100" s="51" t="s">
        <v>1507</v>
      </c>
      <c r="E100" s="51" t="s">
        <v>1506</v>
      </c>
      <c r="F100" s="52">
        <v>11.68445</v>
      </c>
      <c r="G100" s="52">
        <v>0</v>
      </c>
      <c r="H100" s="52">
        <v>0</v>
      </c>
      <c r="I100" s="52">
        <v>0</v>
      </c>
      <c r="J100" s="51">
        <v>0</v>
      </c>
      <c r="K100" s="54">
        <v>0</v>
      </c>
      <c r="L100" s="51">
        <v>0</v>
      </c>
      <c r="M100" s="54">
        <v>0</v>
      </c>
      <c r="N100" s="53">
        <f t="shared" si="2"/>
        <v>0</v>
      </c>
      <c r="O100" s="53">
        <f t="shared" si="3"/>
        <v>0</v>
      </c>
    </row>
    <row r="101" spans="1:15" x14ac:dyDescent="0.2">
      <c r="A101" s="51" t="s">
        <v>3567</v>
      </c>
      <c r="B101" s="51" t="s">
        <v>3568</v>
      </c>
      <c r="C101" s="51" t="s">
        <v>59</v>
      </c>
      <c r="D101" s="51" t="s">
        <v>1908</v>
      </c>
      <c r="E101" s="51" t="s">
        <v>1907</v>
      </c>
      <c r="F101" s="52">
        <v>4222.0310707733934</v>
      </c>
      <c r="G101" s="52">
        <v>1010</v>
      </c>
      <c r="H101" s="52">
        <v>33440</v>
      </c>
      <c r="I101" s="52">
        <v>34450</v>
      </c>
      <c r="J101" s="51">
        <v>0</v>
      </c>
      <c r="K101" s="54">
        <v>0</v>
      </c>
      <c r="L101" s="51">
        <v>3</v>
      </c>
      <c r="M101" s="54">
        <v>40000</v>
      </c>
      <c r="N101" s="53">
        <f t="shared" si="2"/>
        <v>-40000</v>
      </c>
      <c r="O101" s="53">
        <f t="shared" si="3"/>
        <v>40000</v>
      </c>
    </row>
    <row r="102" spans="1:15" x14ac:dyDescent="0.2">
      <c r="A102" s="51" t="s">
        <v>3567</v>
      </c>
      <c r="B102" s="51" t="s">
        <v>3568</v>
      </c>
      <c r="C102" s="51" t="s">
        <v>70</v>
      </c>
      <c r="D102" s="51" t="s">
        <v>1481</v>
      </c>
      <c r="E102" s="51" t="s">
        <v>1480</v>
      </c>
      <c r="F102" s="52">
        <v>45148.840928028512</v>
      </c>
      <c r="G102" s="52">
        <v>22941</v>
      </c>
      <c r="H102" s="52">
        <v>39175</v>
      </c>
      <c r="I102" s="52">
        <v>62116</v>
      </c>
      <c r="J102" s="51">
        <v>1</v>
      </c>
      <c r="K102" s="54">
        <v>25000</v>
      </c>
      <c r="L102" s="51">
        <v>1</v>
      </c>
      <c r="M102" s="54">
        <v>20000</v>
      </c>
      <c r="N102" s="53">
        <f t="shared" si="2"/>
        <v>5000</v>
      </c>
      <c r="O102" s="53">
        <f t="shared" si="3"/>
        <v>-5000</v>
      </c>
    </row>
    <row r="103" spans="1:15" x14ac:dyDescent="0.2">
      <c r="A103" s="51" t="s">
        <v>3567</v>
      </c>
      <c r="B103" s="51" t="s">
        <v>3568</v>
      </c>
      <c r="C103" s="51" t="s">
        <v>53</v>
      </c>
      <c r="D103" s="51" t="s">
        <v>2769</v>
      </c>
      <c r="E103" s="51" t="s">
        <v>1155</v>
      </c>
      <c r="F103" s="52">
        <v>11842.38688839154</v>
      </c>
      <c r="G103" s="52">
        <v>1090</v>
      </c>
      <c r="H103" s="52">
        <v>18520</v>
      </c>
      <c r="I103" s="52">
        <v>19610</v>
      </c>
      <c r="J103" s="51">
        <v>0</v>
      </c>
      <c r="K103" s="54">
        <v>0</v>
      </c>
      <c r="L103" s="51">
        <v>1</v>
      </c>
      <c r="M103" s="54">
        <v>50000</v>
      </c>
      <c r="N103" s="53">
        <f t="shared" si="2"/>
        <v>-50000</v>
      </c>
      <c r="O103" s="53">
        <f t="shared" si="3"/>
        <v>50000</v>
      </c>
    </row>
    <row r="104" spans="1:15" x14ac:dyDescent="0.2">
      <c r="A104" s="51" t="s">
        <v>3567</v>
      </c>
      <c r="B104" s="51" t="s">
        <v>3568</v>
      </c>
      <c r="C104" s="51" t="s">
        <v>60</v>
      </c>
      <c r="D104" s="51" t="s">
        <v>3513</v>
      </c>
      <c r="E104" s="51" t="s">
        <v>3512</v>
      </c>
      <c r="F104" s="52">
        <v>48842.773099999999</v>
      </c>
      <c r="G104" s="52">
        <v>12410</v>
      </c>
      <c r="H104" s="52">
        <v>10350</v>
      </c>
      <c r="I104" s="52">
        <v>22760</v>
      </c>
      <c r="J104" s="51">
        <v>1</v>
      </c>
      <c r="K104" s="54">
        <v>10000</v>
      </c>
      <c r="L104" s="51">
        <v>0</v>
      </c>
      <c r="M104" s="54">
        <v>0</v>
      </c>
      <c r="N104" s="53">
        <f t="shared" si="2"/>
        <v>10000</v>
      </c>
      <c r="O104" s="53">
        <f t="shared" si="3"/>
        <v>-10000</v>
      </c>
    </row>
    <row r="105" spans="1:15" x14ac:dyDescent="0.2">
      <c r="A105" s="51" t="s">
        <v>3567</v>
      </c>
      <c r="B105" s="51" t="s">
        <v>3568</v>
      </c>
      <c r="C105" s="51" t="s">
        <v>63</v>
      </c>
      <c r="D105" s="51" t="s">
        <v>1150</v>
      </c>
      <c r="E105" s="51" t="s">
        <v>1149</v>
      </c>
      <c r="F105" s="52">
        <v>3009.762823130558</v>
      </c>
      <c r="G105" s="52">
        <v>6240</v>
      </c>
      <c r="H105" s="52">
        <v>26950</v>
      </c>
      <c r="I105" s="52">
        <v>33190</v>
      </c>
      <c r="J105" s="51">
        <v>0</v>
      </c>
      <c r="K105" s="54">
        <v>0</v>
      </c>
      <c r="L105" s="51">
        <v>2</v>
      </c>
      <c r="M105" s="54">
        <v>40000</v>
      </c>
      <c r="N105" s="53">
        <f t="shared" si="2"/>
        <v>-40000</v>
      </c>
      <c r="O105" s="53">
        <f t="shared" si="3"/>
        <v>40000</v>
      </c>
    </row>
    <row r="106" spans="1:15" x14ac:dyDescent="0.2">
      <c r="A106" s="51" t="s">
        <v>3567</v>
      </c>
      <c r="B106" s="51" t="s">
        <v>3568</v>
      </c>
      <c r="C106" s="51" t="s">
        <v>83</v>
      </c>
      <c r="D106" s="51" t="s">
        <v>2022</v>
      </c>
      <c r="E106" s="51" t="s">
        <v>797</v>
      </c>
      <c r="F106" s="52">
        <v>2218.307946828189</v>
      </c>
      <c r="G106" s="52">
        <v>5600</v>
      </c>
      <c r="H106" s="52">
        <v>22380</v>
      </c>
      <c r="I106" s="52">
        <v>27980</v>
      </c>
      <c r="J106" s="51">
        <v>1</v>
      </c>
      <c r="K106" s="54">
        <v>5000</v>
      </c>
      <c r="L106" s="51">
        <v>2</v>
      </c>
      <c r="M106" s="54">
        <v>25000</v>
      </c>
      <c r="N106" s="53">
        <f t="shared" si="2"/>
        <v>-20000</v>
      </c>
      <c r="O106" s="53">
        <f t="shared" si="3"/>
        <v>20000</v>
      </c>
    </row>
    <row r="107" spans="1:15" x14ac:dyDescent="0.2">
      <c r="A107" s="51" t="s">
        <v>3567</v>
      </c>
      <c r="B107" s="51" t="s">
        <v>3568</v>
      </c>
      <c r="C107" s="51" t="s">
        <v>70</v>
      </c>
      <c r="D107" s="51" t="s">
        <v>1731</v>
      </c>
      <c r="E107" s="51" t="s">
        <v>1730</v>
      </c>
      <c r="F107" s="52">
        <v>17589.297299999998</v>
      </c>
      <c r="G107" s="52">
        <v>4415</v>
      </c>
      <c r="H107" s="52">
        <v>8440</v>
      </c>
      <c r="I107" s="52">
        <v>12855</v>
      </c>
      <c r="J107" s="51">
        <v>1</v>
      </c>
      <c r="K107" s="54">
        <v>10000</v>
      </c>
      <c r="L107" s="51">
        <v>1</v>
      </c>
      <c r="M107" s="54">
        <v>4000</v>
      </c>
      <c r="N107" s="53">
        <f t="shared" si="2"/>
        <v>6000</v>
      </c>
      <c r="O107" s="53">
        <f t="shared" si="3"/>
        <v>-6000</v>
      </c>
    </row>
    <row r="108" spans="1:15" x14ac:dyDescent="0.2">
      <c r="A108" s="51" t="s">
        <v>3567</v>
      </c>
      <c r="B108" s="51" t="s">
        <v>3568</v>
      </c>
      <c r="C108" s="51" t="s">
        <v>55</v>
      </c>
      <c r="D108" s="51" t="s">
        <v>575</v>
      </c>
      <c r="E108" s="51" t="s">
        <v>574</v>
      </c>
      <c r="F108" s="52">
        <v>37581.4094646167</v>
      </c>
      <c r="G108" s="52">
        <v>0</v>
      </c>
      <c r="H108" s="52">
        <v>4190</v>
      </c>
      <c r="I108" s="52">
        <v>4190</v>
      </c>
      <c r="J108" s="51">
        <v>1</v>
      </c>
      <c r="K108" s="54">
        <v>5000</v>
      </c>
      <c r="L108" s="51">
        <v>1</v>
      </c>
      <c r="M108" s="54">
        <v>10000</v>
      </c>
      <c r="N108" s="53">
        <f t="shared" si="2"/>
        <v>-5000</v>
      </c>
      <c r="O108" s="53">
        <f t="shared" si="3"/>
        <v>5000</v>
      </c>
    </row>
    <row r="109" spans="1:15" x14ac:dyDescent="0.2">
      <c r="A109" s="51" t="s">
        <v>3567</v>
      </c>
      <c r="B109" s="51" t="s">
        <v>3568</v>
      </c>
      <c r="C109" s="51" t="s">
        <v>66</v>
      </c>
      <c r="D109" s="51" t="s">
        <v>2762</v>
      </c>
      <c r="E109" s="51" t="s">
        <v>2761</v>
      </c>
      <c r="F109" s="52">
        <v>2893.231050990134</v>
      </c>
      <c r="G109" s="52">
        <v>2510</v>
      </c>
      <c r="H109" s="52">
        <v>23540</v>
      </c>
      <c r="I109" s="52">
        <v>26050</v>
      </c>
      <c r="J109" s="51">
        <v>0</v>
      </c>
      <c r="K109" s="54">
        <v>0</v>
      </c>
      <c r="L109" s="51">
        <v>2</v>
      </c>
      <c r="M109" s="54">
        <v>54000</v>
      </c>
      <c r="N109" s="53">
        <f t="shared" si="2"/>
        <v>-54000</v>
      </c>
      <c r="O109" s="53">
        <f t="shared" si="3"/>
        <v>54000</v>
      </c>
    </row>
    <row r="110" spans="1:15" x14ac:dyDescent="0.2">
      <c r="A110" s="51" t="s">
        <v>3567</v>
      </c>
      <c r="B110" s="51" t="s">
        <v>3568</v>
      </c>
      <c r="C110" s="51" t="s">
        <v>3574</v>
      </c>
      <c r="D110" s="51" t="s">
        <v>3624</v>
      </c>
      <c r="E110" s="51" t="s">
        <v>3625</v>
      </c>
      <c r="F110" s="52">
        <v>0.74034300040549028</v>
      </c>
      <c r="G110" s="52">
        <v>0</v>
      </c>
      <c r="H110" s="52">
        <v>0</v>
      </c>
      <c r="I110" s="52">
        <v>0</v>
      </c>
      <c r="J110" s="51">
        <v>0</v>
      </c>
      <c r="K110" s="54">
        <v>0</v>
      </c>
      <c r="L110" s="51">
        <v>0</v>
      </c>
      <c r="M110" s="54">
        <v>0</v>
      </c>
      <c r="N110" s="53">
        <f t="shared" si="2"/>
        <v>0</v>
      </c>
      <c r="O110" s="53">
        <f t="shared" si="3"/>
        <v>0</v>
      </c>
    </row>
    <row r="111" spans="1:15" x14ac:dyDescent="0.2">
      <c r="A111" s="51" t="s">
        <v>3567</v>
      </c>
      <c r="B111" s="51" t="s">
        <v>3568</v>
      </c>
      <c r="C111" s="51" t="s">
        <v>86</v>
      </c>
      <c r="D111" s="51" t="s">
        <v>1437</v>
      </c>
      <c r="E111" s="51" t="s">
        <v>1436</v>
      </c>
      <c r="F111" s="52">
        <v>6480.0503047825996</v>
      </c>
      <c r="G111" s="52">
        <v>5750</v>
      </c>
      <c r="H111" s="52">
        <v>37590</v>
      </c>
      <c r="I111" s="52">
        <v>43340</v>
      </c>
      <c r="J111" s="51">
        <v>1</v>
      </c>
      <c r="K111" s="54">
        <v>5000</v>
      </c>
      <c r="L111" s="51">
        <v>2</v>
      </c>
      <c r="M111" s="54">
        <v>45000</v>
      </c>
      <c r="N111" s="53">
        <f t="shared" si="2"/>
        <v>-40000</v>
      </c>
      <c r="O111" s="53">
        <f t="shared" si="3"/>
        <v>40000</v>
      </c>
    </row>
    <row r="112" spans="1:15" x14ac:dyDescent="0.2">
      <c r="A112" s="51" t="s">
        <v>3567</v>
      </c>
      <c r="B112" s="51" t="s">
        <v>3568</v>
      </c>
      <c r="C112" s="51" t="s">
        <v>58</v>
      </c>
      <c r="D112" s="51" t="s">
        <v>2042</v>
      </c>
      <c r="E112" s="51" t="s">
        <v>2041</v>
      </c>
      <c r="F112" s="52">
        <v>17513.895249881909</v>
      </c>
      <c r="G112" s="52">
        <v>14490</v>
      </c>
      <c r="H112" s="52">
        <v>19065</v>
      </c>
      <c r="I112" s="52">
        <v>33555</v>
      </c>
      <c r="J112" s="51">
        <v>1</v>
      </c>
      <c r="K112" s="54">
        <v>5000</v>
      </c>
      <c r="L112" s="51">
        <v>1</v>
      </c>
      <c r="M112" s="54">
        <v>15000</v>
      </c>
      <c r="N112" s="53">
        <f t="shared" si="2"/>
        <v>-10000</v>
      </c>
      <c r="O112" s="53">
        <f t="shared" si="3"/>
        <v>10000</v>
      </c>
    </row>
    <row r="113" spans="1:15" x14ac:dyDescent="0.2">
      <c r="A113" s="51" t="s">
        <v>3567</v>
      </c>
      <c r="B113" s="51" t="s">
        <v>3568</v>
      </c>
      <c r="C113" s="51" t="s">
        <v>75</v>
      </c>
      <c r="D113" s="51" t="s">
        <v>3135</v>
      </c>
      <c r="E113" s="51" t="s">
        <v>3134</v>
      </c>
      <c r="F113" s="52">
        <v>9322.5513236036149</v>
      </c>
      <c r="G113" s="52">
        <v>3790</v>
      </c>
      <c r="H113" s="52">
        <v>31000</v>
      </c>
      <c r="I113" s="52">
        <v>34790</v>
      </c>
      <c r="J113" s="51">
        <v>0</v>
      </c>
      <c r="K113" s="54">
        <v>0</v>
      </c>
      <c r="L113" s="51">
        <v>1</v>
      </c>
      <c r="M113" s="54">
        <v>30000</v>
      </c>
      <c r="N113" s="53">
        <f t="shared" si="2"/>
        <v>-30000</v>
      </c>
      <c r="O113" s="53">
        <f t="shared" si="3"/>
        <v>30000</v>
      </c>
    </row>
    <row r="114" spans="1:15" x14ac:dyDescent="0.2">
      <c r="A114" s="51" t="s">
        <v>3567</v>
      </c>
      <c r="B114" s="51" t="s">
        <v>3568</v>
      </c>
      <c r="C114" s="51" t="s">
        <v>58</v>
      </c>
      <c r="D114" s="51" t="s">
        <v>1711</v>
      </c>
      <c r="E114" s="51" t="s">
        <v>1710</v>
      </c>
      <c r="F114" s="52">
        <v>10003.0072</v>
      </c>
      <c r="G114" s="52">
        <v>5910</v>
      </c>
      <c r="H114" s="52">
        <v>4760</v>
      </c>
      <c r="I114" s="52">
        <v>10670</v>
      </c>
      <c r="J114" s="51">
        <v>0</v>
      </c>
      <c r="K114" s="54">
        <v>0</v>
      </c>
      <c r="L114" s="51">
        <v>1</v>
      </c>
      <c r="M114" s="54">
        <v>5000</v>
      </c>
      <c r="N114" s="53">
        <f t="shared" si="2"/>
        <v>-5000</v>
      </c>
      <c r="O114" s="53">
        <f t="shared" si="3"/>
        <v>5000</v>
      </c>
    </row>
    <row r="115" spans="1:15" x14ac:dyDescent="0.2">
      <c r="A115" s="51" t="s">
        <v>3567</v>
      </c>
      <c r="B115" s="51" t="s">
        <v>3568</v>
      </c>
      <c r="C115" s="51" t="s">
        <v>63</v>
      </c>
      <c r="D115" s="51" t="s">
        <v>1014</v>
      </c>
      <c r="E115" s="51" t="s">
        <v>1013</v>
      </c>
      <c r="F115" s="52">
        <v>4299.2582689569999</v>
      </c>
      <c r="G115" s="52">
        <v>17450</v>
      </c>
      <c r="H115" s="52">
        <v>13000</v>
      </c>
      <c r="I115" s="52">
        <v>30450</v>
      </c>
      <c r="J115" s="51">
        <v>1</v>
      </c>
      <c r="K115" s="54">
        <v>10000</v>
      </c>
      <c r="L115" s="51">
        <v>0</v>
      </c>
      <c r="M115" s="54">
        <v>0</v>
      </c>
      <c r="N115" s="53">
        <f t="shared" si="2"/>
        <v>10000</v>
      </c>
      <c r="O115" s="53">
        <f t="shared" si="3"/>
        <v>-10000</v>
      </c>
    </row>
    <row r="116" spans="1:15" x14ac:dyDescent="0.2">
      <c r="A116" s="51" t="s">
        <v>3567</v>
      </c>
      <c r="B116" s="51" t="s">
        <v>3568</v>
      </c>
      <c r="C116" s="51" t="s">
        <v>82</v>
      </c>
      <c r="D116" s="51" t="s">
        <v>3192</v>
      </c>
      <c r="E116" s="51" t="s">
        <v>3191</v>
      </c>
      <c r="F116" s="52">
        <v>260.0573</v>
      </c>
      <c r="G116" s="52">
        <v>10200</v>
      </c>
      <c r="H116" s="52">
        <v>10100</v>
      </c>
      <c r="I116" s="52">
        <v>20300</v>
      </c>
      <c r="J116" s="51">
        <v>1</v>
      </c>
      <c r="K116" s="54">
        <v>5000</v>
      </c>
      <c r="L116" s="51">
        <v>1</v>
      </c>
      <c r="M116" s="54">
        <v>5000</v>
      </c>
      <c r="N116" s="53">
        <f t="shared" si="2"/>
        <v>0</v>
      </c>
      <c r="O116" s="53">
        <f t="shared" si="3"/>
        <v>0</v>
      </c>
    </row>
    <row r="117" spans="1:15" x14ac:dyDescent="0.2">
      <c r="A117" s="51" t="s">
        <v>3567</v>
      </c>
      <c r="B117" s="51" t="s">
        <v>3568</v>
      </c>
      <c r="C117" s="51" t="s">
        <v>78</v>
      </c>
      <c r="D117" s="51" t="s">
        <v>253</v>
      </c>
      <c r="E117" s="51" t="s">
        <v>252</v>
      </c>
      <c r="F117" s="52">
        <v>20.726099999999999</v>
      </c>
      <c r="G117" s="52">
        <v>0</v>
      </c>
      <c r="H117" s="52">
        <v>0</v>
      </c>
      <c r="I117" s="52">
        <v>0</v>
      </c>
      <c r="J117" s="51">
        <v>0</v>
      </c>
      <c r="K117" s="54">
        <v>0</v>
      </c>
      <c r="L117" s="51">
        <v>0</v>
      </c>
      <c r="M117" s="54">
        <v>0</v>
      </c>
      <c r="N117" s="53">
        <f t="shared" si="2"/>
        <v>0</v>
      </c>
      <c r="O117" s="53">
        <f t="shared" si="3"/>
        <v>0</v>
      </c>
    </row>
    <row r="118" spans="1:15" x14ac:dyDescent="0.2">
      <c r="A118" s="51" t="s">
        <v>3567</v>
      </c>
      <c r="B118" s="51" t="s">
        <v>3568</v>
      </c>
      <c r="C118" s="51" t="s">
        <v>71</v>
      </c>
      <c r="D118" s="51" t="s">
        <v>3536</v>
      </c>
      <c r="E118" s="51" t="s">
        <v>3512</v>
      </c>
      <c r="F118" s="52">
        <v>14.164</v>
      </c>
      <c r="G118" s="52">
        <v>5510</v>
      </c>
      <c r="H118" s="52">
        <v>3213</v>
      </c>
      <c r="I118" s="52">
        <v>8723</v>
      </c>
      <c r="J118" s="51">
        <v>0</v>
      </c>
      <c r="K118" s="54">
        <v>0</v>
      </c>
      <c r="L118" s="51">
        <v>1</v>
      </c>
      <c r="M118" s="54">
        <v>5000</v>
      </c>
      <c r="N118" s="53">
        <f t="shared" si="2"/>
        <v>-5000</v>
      </c>
      <c r="O118" s="53">
        <f t="shared" si="3"/>
        <v>5000</v>
      </c>
    </row>
    <row r="119" spans="1:15" x14ac:dyDescent="0.2">
      <c r="A119" s="51" t="s">
        <v>3567</v>
      </c>
      <c r="B119" s="51" t="s">
        <v>3568</v>
      </c>
      <c r="C119" s="51" t="s">
        <v>92</v>
      </c>
      <c r="D119" s="51" t="s">
        <v>1529</v>
      </c>
      <c r="E119" s="51" t="s">
        <v>1528</v>
      </c>
      <c r="F119" s="52">
        <v>5382.2593999999999</v>
      </c>
      <c r="G119" s="52">
        <v>2670</v>
      </c>
      <c r="H119" s="52">
        <v>27920</v>
      </c>
      <c r="I119" s="52">
        <v>30590</v>
      </c>
      <c r="J119" s="51">
        <v>1</v>
      </c>
      <c r="K119" s="54">
        <v>5000</v>
      </c>
      <c r="L119" s="51">
        <v>3</v>
      </c>
      <c r="M119" s="54">
        <v>25000</v>
      </c>
      <c r="N119" s="53">
        <f t="shared" si="2"/>
        <v>-20000</v>
      </c>
      <c r="O119" s="53">
        <f t="shared" si="3"/>
        <v>20000</v>
      </c>
    </row>
    <row r="120" spans="1:15" x14ac:dyDescent="0.2">
      <c r="A120" s="51" t="s">
        <v>3567</v>
      </c>
      <c r="B120" s="51" t="s">
        <v>3568</v>
      </c>
      <c r="C120" s="51" t="s">
        <v>60</v>
      </c>
      <c r="D120" s="51" t="s">
        <v>2132</v>
      </c>
      <c r="E120" s="51" t="s">
        <v>2131</v>
      </c>
      <c r="F120" s="52">
        <v>7402.7555182800861</v>
      </c>
      <c r="G120" s="52">
        <v>11100</v>
      </c>
      <c r="H120" s="52">
        <v>500</v>
      </c>
      <c r="I120" s="52">
        <v>11600</v>
      </c>
      <c r="J120" s="51">
        <v>1</v>
      </c>
      <c r="K120" s="54">
        <v>6000</v>
      </c>
      <c r="L120" s="51">
        <v>0</v>
      </c>
      <c r="M120" s="54">
        <v>0</v>
      </c>
      <c r="N120" s="53">
        <f t="shared" si="2"/>
        <v>6000</v>
      </c>
      <c r="O120" s="53">
        <f t="shared" si="3"/>
        <v>-6000</v>
      </c>
    </row>
    <row r="121" spans="1:15" x14ac:dyDescent="0.2">
      <c r="A121" s="51" t="s">
        <v>3567</v>
      </c>
      <c r="B121" s="51" t="s">
        <v>3568</v>
      </c>
      <c r="C121" s="51" t="s">
        <v>76</v>
      </c>
      <c r="D121" s="51" t="s">
        <v>3601</v>
      </c>
      <c r="E121" s="51" t="s">
        <v>3602</v>
      </c>
      <c r="F121" s="52">
        <v>2.522010177015336</v>
      </c>
      <c r="G121" s="52">
        <v>0</v>
      </c>
      <c r="H121" s="52">
        <v>0</v>
      </c>
      <c r="I121" s="52">
        <v>0</v>
      </c>
      <c r="J121" s="51">
        <v>0</v>
      </c>
      <c r="K121" s="54">
        <v>0</v>
      </c>
      <c r="L121" s="51">
        <v>0</v>
      </c>
      <c r="M121" s="54">
        <v>0</v>
      </c>
      <c r="N121" s="53">
        <f t="shared" si="2"/>
        <v>0</v>
      </c>
      <c r="O121" s="53">
        <f t="shared" si="3"/>
        <v>0</v>
      </c>
    </row>
    <row r="122" spans="1:15" x14ac:dyDescent="0.2">
      <c r="A122" s="51" t="s">
        <v>3567</v>
      </c>
      <c r="B122" s="51" t="s">
        <v>3568</v>
      </c>
      <c r="C122" s="51" t="s">
        <v>81</v>
      </c>
      <c r="D122" s="51" t="s">
        <v>652</v>
      </c>
      <c r="E122" s="51" t="s">
        <v>651</v>
      </c>
      <c r="F122" s="52">
        <v>1007.945099959258</v>
      </c>
      <c r="G122" s="52">
        <v>0</v>
      </c>
      <c r="H122" s="52">
        <v>1000</v>
      </c>
      <c r="I122" s="52">
        <v>1000</v>
      </c>
      <c r="J122" s="51">
        <v>0</v>
      </c>
      <c r="K122" s="54">
        <v>0</v>
      </c>
      <c r="L122" s="51">
        <v>0</v>
      </c>
      <c r="M122" s="54">
        <v>0</v>
      </c>
      <c r="N122" s="53">
        <f t="shared" si="2"/>
        <v>0</v>
      </c>
      <c r="O122" s="53">
        <f t="shared" si="3"/>
        <v>0</v>
      </c>
    </row>
    <row r="123" spans="1:15" x14ac:dyDescent="0.2">
      <c r="A123" s="51" t="s">
        <v>3567</v>
      </c>
      <c r="B123" s="51" t="s">
        <v>3568</v>
      </c>
      <c r="C123" s="51" t="s">
        <v>57</v>
      </c>
      <c r="D123" s="51" t="s">
        <v>1892</v>
      </c>
      <c r="E123" s="51" t="s">
        <v>1891</v>
      </c>
      <c r="F123" s="52">
        <v>2979.046576207691</v>
      </c>
      <c r="G123" s="52">
        <v>20630</v>
      </c>
      <c r="H123" s="52">
        <v>11265</v>
      </c>
      <c r="I123" s="52">
        <v>31895</v>
      </c>
      <c r="J123" s="51">
        <v>0</v>
      </c>
      <c r="K123" s="54">
        <v>0</v>
      </c>
      <c r="L123" s="51">
        <v>0</v>
      </c>
      <c r="M123" s="54">
        <v>0</v>
      </c>
      <c r="N123" s="53">
        <f t="shared" si="2"/>
        <v>0</v>
      </c>
      <c r="O123" s="53">
        <f t="shared" si="3"/>
        <v>0</v>
      </c>
    </row>
    <row r="124" spans="1:15" x14ac:dyDescent="0.2">
      <c r="A124" s="51" t="s">
        <v>3567</v>
      </c>
      <c r="B124" s="51" t="s">
        <v>3568</v>
      </c>
      <c r="C124" s="51" t="s">
        <v>52</v>
      </c>
      <c r="D124" s="51" t="s">
        <v>1848</v>
      </c>
      <c r="E124" s="51" t="s">
        <v>1847</v>
      </c>
      <c r="F124" s="52">
        <v>26059.089899460709</v>
      </c>
      <c r="G124" s="52">
        <v>5130</v>
      </c>
      <c r="H124" s="52">
        <v>23950</v>
      </c>
      <c r="I124" s="52">
        <v>29080</v>
      </c>
      <c r="J124" s="51">
        <v>0</v>
      </c>
      <c r="K124" s="54">
        <v>0</v>
      </c>
      <c r="L124" s="51">
        <v>1</v>
      </c>
      <c r="M124" s="54">
        <v>50000</v>
      </c>
      <c r="N124" s="53">
        <f t="shared" si="2"/>
        <v>-50000</v>
      </c>
      <c r="O124" s="53">
        <f t="shared" si="3"/>
        <v>50000</v>
      </c>
    </row>
    <row r="125" spans="1:15" x14ac:dyDescent="0.2">
      <c r="A125" s="51" t="s">
        <v>3567</v>
      </c>
      <c r="B125" s="51" t="s">
        <v>3568</v>
      </c>
      <c r="C125" s="51" t="s">
        <v>59</v>
      </c>
      <c r="D125" s="51" t="s">
        <v>1521</v>
      </c>
      <c r="E125" s="51" t="s">
        <v>1520</v>
      </c>
      <c r="F125" s="52">
        <v>4.2897232645000001</v>
      </c>
      <c r="G125" s="52">
        <v>0</v>
      </c>
      <c r="H125" s="52">
        <v>0</v>
      </c>
      <c r="I125" s="52">
        <v>0</v>
      </c>
      <c r="J125" s="51">
        <v>0</v>
      </c>
      <c r="K125" s="54">
        <v>0</v>
      </c>
      <c r="L125" s="51">
        <v>0</v>
      </c>
      <c r="M125" s="54">
        <v>0</v>
      </c>
      <c r="N125" s="53">
        <f t="shared" si="2"/>
        <v>0</v>
      </c>
      <c r="O125" s="53">
        <f t="shared" si="3"/>
        <v>0</v>
      </c>
    </row>
    <row r="126" spans="1:15" x14ac:dyDescent="0.2">
      <c r="A126" s="51" t="s">
        <v>3567</v>
      </c>
      <c r="B126" s="51" t="s">
        <v>3568</v>
      </c>
      <c r="C126" s="51" t="s">
        <v>3614</v>
      </c>
      <c r="D126" s="51" t="s">
        <v>3615</v>
      </c>
      <c r="E126" s="51" t="s">
        <v>3616</v>
      </c>
      <c r="F126" s="52">
        <v>6.3414940172970846</v>
      </c>
      <c r="G126" s="52">
        <v>0</v>
      </c>
      <c r="H126" s="52">
        <v>0</v>
      </c>
      <c r="I126" s="52">
        <v>0</v>
      </c>
      <c r="J126" s="51">
        <v>0</v>
      </c>
      <c r="K126" s="54">
        <v>0</v>
      </c>
      <c r="L126" s="51">
        <v>0</v>
      </c>
      <c r="M126" s="54">
        <v>0</v>
      </c>
      <c r="N126" s="53">
        <f t="shared" si="2"/>
        <v>0</v>
      </c>
      <c r="O126" s="53">
        <f t="shared" si="3"/>
        <v>0</v>
      </c>
    </row>
    <row r="127" spans="1:15" x14ac:dyDescent="0.2">
      <c r="A127" s="51" t="s">
        <v>3567</v>
      </c>
      <c r="B127" s="51" t="s">
        <v>3568</v>
      </c>
      <c r="C127" s="51" t="s">
        <v>60</v>
      </c>
      <c r="D127" s="51" t="s">
        <v>3310</v>
      </c>
      <c r="E127" s="51" t="s">
        <v>3309</v>
      </c>
      <c r="F127" s="52">
        <v>1493.938698079688</v>
      </c>
      <c r="G127" s="52">
        <v>0</v>
      </c>
      <c r="H127" s="52">
        <v>0</v>
      </c>
      <c r="I127" s="52">
        <v>0</v>
      </c>
      <c r="J127" s="51">
        <v>0</v>
      </c>
      <c r="K127" s="54">
        <v>0</v>
      </c>
      <c r="L127" s="51">
        <v>0</v>
      </c>
      <c r="M127" s="54">
        <v>0</v>
      </c>
      <c r="N127" s="53">
        <f t="shared" si="2"/>
        <v>0</v>
      </c>
      <c r="O127" s="53">
        <f t="shared" si="3"/>
        <v>0</v>
      </c>
    </row>
    <row r="128" spans="1:15" x14ac:dyDescent="0.2">
      <c r="A128" s="51" t="s">
        <v>3567</v>
      </c>
      <c r="B128" s="51" t="s">
        <v>3568</v>
      </c>
      <c r="C128" s="51" t="s">
        <v>87</v>
      </c>
      <c r="D128" s="51" t="s">
        <v>4818</v>
      </c>
      <c r="E128" s="51" t="s">
        <v>2732</v>
      </c>
      <c r="F128" s="52">
        <v>114.3965</v>
      </c>
      <c r="G128" s="52">
        <v>0</v>
      </c>
      <c r="H128" s="52">
        <v>0</v>
      </c>
      <c r="I128" s="52">
        <v>0</v>
      </c>
      <c r="J128" s="51">
        <v>0</v>
      </c>
      <c r="K128" s="54">
        <v>0</v>
      </c>
      <c r="L128" s="51">
        <v>0</v>
      </c>
      <c r="M128" s="54">
        <v>0</v>
      </c>
      <c r="N128" s="53">
        <f t="shared" si="2"/>
        <v>0</v>
      </c>
      <c r="O128" s="53">
        <f t="shared" si="3"/>
        <v>0</v>
      </c>
    </row>
    <row r="129" spans="1:15" x14ac:dyDescent="0.2">
      <c r="A129" s="51" t="s">
        <v>3567</v>
      </c>
      <c r="B129" s="51" t="s">
        <v>3568</v>
      </c>
      <c r="C129" s="51" t="s">
        <v>55</v>
      </c>
      <c r="D129" s="51" t="s">
        <v>180</v>
      </c>
      <c r="E129" s="51" t="s">
        <v>179</v>
      </c>
      <c r="F129" s="52">
        <v>14888.789750211119</v>
      </c>
      <c r="G129" s="52">
        <v>4830</v>
      </c>
      <c r="H129" s="52">
        <v>11500</v>
      </c>
      <c r="I129" s="52">
        <v>16330</v>
      </c>
      <c r="J129" s="51">
        <v>1</v>
      </c>
      <c r="K129" s="54">
        <v>10000</v>
      </c>
      <c r="L129" s="51">
        <v>1</v>
      </c>
      <c r="M129" s="54">
        <v>50000</v>
      </c>
      <c r="N129" s="53">
        <f t="shared" si="2"/>
        <v>-40000</v>
      </c>
      <c r="O129" s="53">
        <f t="shared" si="3"/>
        <v>40000</v>
      </c>
    </row>
    <row r="130" spans="1:15" x14ac:dyDescent="0.2">
      <c r="A130" s="51" t="s">
        <v>3567</v>
      </c>
      <c r="B130" s="51" t="s">
        <v>3568</v>
      </c>
      <c r="C130" s="51" t="s">
        <v>83</v>
      </c>
      <c r="D130" s="51" t="s">
        <v>1140</v>
      </c>
      <c r="E130" s="51" t="s">
        <v>1139</v>
      </c>
      <c r="F130" s="52">
        <v>9462.7250195810611</v>
      </c>
      <c r="G130" s="52">
        <v>0</v>
      </c>
      <c r="H130" s="52">
        <v>0</v>
      </c>
      <c r="I130" s="52">
        <v>0</v>
      </c>
      <c r="J130" s="51">
        <v>2</v>
      </c>
      <c r="K130" s="54">
        <v>6000</v>
      </c>
      <c r="L130" s="51">
        <v>0</v>
      </c>
      <c r="M130" s="54">
        <v>0</v>
      </c>
      <c r="N130" s="53">
        <f t="shared" si="2"/>
        <v>6000</v>
      </c>
      <c r="O130" s="53">
        <f t="shared" si="3"/>
        <v>-6000</v>
      </c>
    </row>
    <row r="131" spans="1:15" x14ac:dyDescent="0.2">
      <c r="A131" s="51" t="s">
        <v>3567</v>
      </c>
      <c r="B131" s="51" t="s">
        <v>3568</v>
      </c>
      <c r="C131" s="51" t="s">
        <v>79</v>
      </c>
      <c r="D131" s="51" t="s">
        <v>1517</v>
      </c>
      <c r="E131" s="51" t="s">
        <v>1516</v>
      </c>
      <c r="F131" s="52">
        <v>1401.0907793225231</v>
      </c>
      <c r="G131" s="52">
        <v>15600</v>
      </c>
      <c r="H131" s="52">
        <v>11000</v>
      </c>
      <c r="I131" s="52">
        <v>26600</v>
      </c>
      <c r="J131" s="51">
        <v>0</v>
      </c>
      <c r="K131" s="54">
        <v>0</v>
      </c>
      <c r="L131" s="51">
        <v>1</v>
      </c>
      <c r="M131" s="54">
        <v>40000</v>
      </c>
      <c r="N131" s="53">
        <f t="shared" ref="N131:N194" si="4">K131-M131</f>
        <v>-40000</v>
      </c>
      <c r="O131" s="53">
        <f t="shared" ref="O131:O194" si="5">M131-K131</f>
        <v>40000</v>
      </c>
    </row>
    <row r="132" spans="1:15" x14ac:dyDescent="0.2">
      <c r="A132" s="51" t="s">
        <v>3567</v>
      </c>
      <c r="B132" s="51" t="s">
        <v>3568</v>
      </c>
      <c r="C132" s="51" t="s">
        <v>57</v>
      </c>
      <c r="D132" s="51" t="s">
        <v>908</v>
      </c>
      <c r="E132" s="51" t="s">
        <v>907</v>
      </c>
      <c r="F132" s="52">
        <v>2461.5676797432202</v>
      </c>
      <c r="G132" s="52">
        <v>0</v>
      </c>
      <c r="H132" s="52">
        <v>2000</v>
      </c>
      <c r="I132" s="52">
        <v>2000</v>
      </c>
      <c r="J132" s="51">
        <v>0</v>
      </c>
      <c r="K132" s="54">
        <v>0</v>
      </c>
      <c r="L132" s="51">
        <v>1</v>
      </c>
      <c r="M132" s="54">
        <v>20000</v>
      </c>
      <c r="N132" s="53">
        <f t="shared" si="4"/>
        <v>-20000</v>
      </c>
      <c r="O132" s="53">
        <f t="shared" si="5"/>
        <v>20000</v>
      </c>
    </row>
    <row r="133" spans="1:15" x14ac:dyDescent="0.2">
      <c r="A133" s="51" t="s">
        <v>3567</v>
      </c>
      <c r="B133" s="51" t="s">
        <v>3568</v>
      </c>
      <c r="C133" s="51" t="s">
        <v>71</v>
      </c>
      <c r="D133" s="51" t="s">
        <v>1219</v>
      </c>
      <c r="E133" s="51" t="s">
        <v>1218</v>
      </c>
      <c r="F133" s="52">
        <v>58.547685000000001</v>
      </c>
      <c r="G133" s="52">
        <v>0</v>
      </c>
      <c r="H133" s="52">
        <v>6022</v>
      </c>
      <c r="I133" s="52">
        <v>6022</v>
      </c>
      <c r="J133" s="51">
        <v>0</v>
      </c>
      <c r="K133" s="54">
        <v>0</v>
      </c>
      <c r="L133" s="51">
        <v>2</v>
      </c>
      <c r="M133" s="54">
        <v>10000</v>
      </c>
      <c r="N133" s="53">
        <f t="shared" si="4"/>
        <v>-10000</v>
      </c>
      <c r="O133" s="53">
        <f t="shared" si="5"/>
        <v>10000</v>
      </c>
    </row>
    <row r="134" spans="1:15" x14ac:dyDescent="0.2">
      <c r="A134" s="51" t="s">
        <v>3567</v>
      </c>
      <c r="B134" s="51" t="s">
        <v>3568</v>
      </c>
      <c r="C134" s="51" t="s">
        <v>56</v>
      </c>
      <c r="D134" s="51" t="s">
        <v>760</v>
      </c>
      <c r="E134" s="51" t="s">
        <v>759</v>
      </c>
      <c r="F134" s="52">
        <v>118.2002</v>
      </c>
      <c r="G134" s="52">
        <v>2375</v>
      </c>
      <c r="H134" s="52">
        <v>0</v>
      </c>
      <c r="I134" s="52">
        <v>2375</v>
      </c>
      <c r="J134" s="51">
        <v>0</v>
      </c>
      <c r="K134" s="54">
        <v>0</v>
      </c>
      <c r="L134" s="51">
        <v>1</v>
      </c>
      <c r="M134" s="54">
        <v>5000</v>
      </c>
      <c r="N134" s="53">
        <f t="shared" si="4"/>
        <v>-5000</v>
      </c>
      <c r="O134" s="53">
        <f t="shared" si="5"/>
        <v>5000</v>
      </c>
    </row>
    <row r="135" spans="1:15" x14ac:dyDescent="0.2">
      <c r="A135" s="51" t="s">
        <v>3567</v>
      </c>
      <c r="B135" s="51" t="s">
        <v>3568</v>
      </c>
      <c r="C135" s="51" t="s">
        <v>85</v>
      </c>
      <c r="D135" s="51" t="s">
        <v>1076</v>
      </c>
      <c r="E135" s="51" t="s">
        <v>1075</v>
      </c>
      <c r="F135" s="52">
        <v>157.94142299099991</v>
      </c>
      <c r="G135" s="52">
        <v>0</v>
      </c>
      <c r="H135" s="52">
        <v>2700</v>
      </c>
      <c r="I135" s="52">
        <v>2700</v>
      </c>
      <c r="J135" s="51">
        <v>0</v>
      </c>
      <c r="K135" s="54">
        <v>0</v>
      </c>
      <c r="L135" s="51">
        <v>1</v>
      </c>
      <c r="M135" s="54">
        <v>17000</v>
      </c>
      <c r="N135" s="53">
        <f t="shared" si="4"/>
        <v>-17000</v>
      </c>
      <c r="O135" s="53">
        <f t="shared" si="5"/>
        <v>17000</v>
      </c>
    </row>
    <row r="136" spans="1:15" x14ac:dyDescent="0.2">
      <c r="A136" s="51" t="s">
        <v>3567</v>
      </c>
      <c r="B136" s="51" t="s">
        <v>3568</v>
      </c>
      <c r="C136" s="51" t="s">
        <v>81</v>
      </c>
      <c r="D136" s="51" t="s">
        <v>1791</v>
      </c>
      <c r="E136" s="51" t="s">
        <v>1790</v>
      </c>
      <c r="F136" s="52">
        <v>11378.27797985305</v>
      </c>
      <c r="G136" s="52">
        <v>1000</v>
      </c>
      <c r="H136" s="52">
        <v>38260</v>
      </c>
      <c r="I136" s="52">
        <v>39260</v>
      </c>
      <c r="J136" s="51">
        <v>1</v>
      </c>
      <c r="K136" s="54">
        <v>5000</v>
      </c>
      <c r="L136" s="51">
        <v>1</v>
      </c>
      <c r="M136" s="54">
        <v>40000</v>
      </c>
      <c r="N136" s="53">
        <f t="shared" si="4"/>
        <v>-35000</v>
      </c>
      <c r="O136" s="53">
        <f t="shared" si="5"/>
        <v>35000</v>
      </c>
    </row>
    <row r="137" spans="1:15" x14ac:dyDescent="0.2">
      <c r="A137" s="51" t="s">
        <v>3567</v>
      </c>
      <c r="B137" s="51" t="s">
        <v>3568</v>
      </c>
      <c r="C137" s="51" t="s">
        <v>80</v>
      </c>
      <c r="D137" s="51" t="s">
        <v>2163</v>
      </c>
      <c r="E137" s="51" t="s">
        <v>2162</v>
      </c>
      <c r="F137" s="52">
        <v>8183.1999329512701</v>
      </c>
      <c r="G137" s="52">
        <v>11460</v>
      </c>
      <c r="H137" s="52">
        <v>46230</v>
      </c>
      <c r="I137" s="52">
        <v>57690</v>
      </c>
      <c r="J137" s="51">
        <v>0</v>
      </c>
      <c r="K137" s="54">
        <v>0</v>
      </c>
      <c r="L137" s="51">
        <v>2</v>
      </c>
      <c r="M137" s="54">
        <v>30000</v>
      </c>
      <c r="N137" s="53">
        <f t="shared" si="4"/>
        <v>-30000</v>
      </c>
      <c r="O137" s="53">
        <f t="shared" si="5"/>
        <v>30000</v>
      </c>
    </row>
    <row r="138" spans="1:15" x14ac:dyDescent="0.2">
      <c r="A138" s="51" t="s">
        <v>3567</v>
      </c>
      <c r="B138" s="51" t="s">
        <v>3568</v>
      </c>
      <c r="C138" s="51" t="s">
        <v>3571</v>
      </c>
      <c r="D138" s="51" t="s">
        <v>3656</v>
      </c>
      <c r="E138" s="51" t="s">
        <v>3657</v>
      </c>
      <c r="F138" s="52">
        <v>0.35621406529999999</v>
      </c>
      <c r="G138" s="52">
        <v>0</v>
      </c>
      <c r="H138" s="52">
        <v>0</v>
      </c>
      <c r="I138" s="52">
        <v>0</v>
      </c>
      <c r="J138" s="51">
        <v>0</v>
      </c>
      <c r="K138" s="54">
        <v>0</v>
      </c>
      <c r="L138" s="51">
        <v>0</v>
      </c>
      <c r="M138" s="54">
        <v>0</v>
      </c>
      <c r="N138" s="53">
        <f t="shared" si="4"/>
        <v>0</v>
      </c>
      <c r="O138" s="53">
        <f t="shared" si="5"/>
        <v>0</v>
      </c>
    </row>
    <row r="139" spans="1:15" x14ac:dyDescent="0.2">
      <c r="A139" s="51" t="s">
        <v>3567</v>
      </c>
      <c r="B139" s="51" t="s">
        <v>3568</v>
      </c>
      <c r="C139" s="51" t="s">
        <v>82</v>
      </c>
      <c r="D139" s="51" t="s">
        <v>495</v>
      </c>
      <c r="E139" s="51" t="s">
        <v>494</v>
      </c>
      <c r="F139" s="52">
        <v>19572.345529433631</v>
      </c>
      <c r="G139" s="52">
        <v>1310</v>
      </c>
      <c r="H139" s="52">
        <v>16500</v>
      </c>
      <c r="I139" s="52">
        <v>17810</v>
      </c>
      <c r="J139" s="51">
        <v>0</v>
      </c>
      <c r="K139" s="54">
        <v>0</v>
      </c>
      <c r="L139" s="51">
        <v>1</v>
      </c>
      <c r="M139" s="54">
        <v>5000</v>
      </c>
      <c r="N139" s="53">
        <f t="shared" si="4"/>
        <v>-5000</v>
      </c>
      <c r="O139" s="53">
        <f t="shared" si="5"/>
        <v>5000</v>
      </c>
    </row>
    <row r="140" spans="1:15" x14ac:dyDescent="0.2">
      <c r="A140" s="51" t="s">
        <v>3567</v>
      </c>
      <c r="B140" s="51" t="s">
        <v>3568</v>
      </c>
      <c r="C140" s="51" t="s">
        <v>3610</v>
      </c>
      <c r="D140" s="51" t="s">
        <v>3643</v>
      </c>
      <c r="E140" s="51" t="s">
        <v>3644</v>
      </c>
      <c r="F140" s="52">
        <v>19.579814176118258</v>
      </c>
      <c r="G140" s="52">
        <v>0</v>
      </c>
      <c r="H140" s="52">
        <v>0</v>
      </c>
      <c r="I140" s="52">
        <v>0</v>
      </c>
      <c r="J140" s="51">
        <v>0</v>
      </c>
      <c r="K140" s="54">
        <v>0</v>
      </c>
      <c r="L140" s="51">
        <v>0</v>
      </c>
      <c r="M140" s="54">
        <v>0</v>
      </c>
      <c r="N140" s="53">
        <f t="shared" si="4"/>
        <v>0</v>
      </c>
      <c r="O140" s="53">
        <f t="shared" si="5"/>
        <v>0</v>
      </c>
    </row>
    <row r="141" spans="1:15" x14ac:dyDescent="0.2">
      <c r="A141" s="51" t="s">
        <v>3567</v>
      </c>
      <c r="B141" s="51" t="s">
        <v>3568</v>
      </c>
      <c r="C141" s="51" t="s">
        <v>72</v>
      </c>
      <c r="D141" s="51" t="s">
        <v>1967</v>
      </c>
      <c r="E141" s="51" t="s">
        <v>1966</v>
      </c>
      <c r="F141" s="52">
        <v>6350.7733799999996</v>
      </c>
      <c r="G141" s="52">
        <v>0</v>
      </c>
      <c r="H141" s="52">
        <v>0</v>
      </c>
      <c r="I141" s="52">
        <v>0</v>
      </c>
      <c r="J141" s="51">
        <v>1</v>
      </c>
      <c r="K141" s="54">
        <v>5000</v>
      </c>
      <c r="L141" s="51">
        <v>0</v>
      </c>
      <c r="M141" s="54">
        <v>0</v>
      </c>
      <c r="N141" s="53">
        <f t="shared" si="4"/>
        <v>5000</v>
      </c>
      <c r="O141" s="53">
        <f t="shared" si="5"/>
        <v>-5000</v>
      </c>
    </row>
    <row r="142" spans="1:15" x14ac:dyDescent="0.2">
      <c r="A142" s="51" t="s">
        <v>3567</v>
      </c>
      <c r="B142" s="51" t="s">
        <v>3568</v>
      </c>
      <c r="C142" s="51" t="s">
        <v>84</v>
      </c>
      <c r="D142" s="51" t="s">
        <v>2595</v>
      </c>
      <c r="E142" s="51" t="s">
        <v>2594</v>
      </c>
      <c r="F142" s="52">
        <v>1878.104322149931</v>
      </c>
      <c r="G142" s="52">
        <v>6000</v>
      </c>
      <c r="H142" s="52">
        <v>16210</v>
      </c>
      <c r="I142" s="52">
        <v>22210</v>
      </c>
      <c r="J142" s="51">
        <v>1</v>
      </c>
      <c r="K142" s="54">
        <v>5000</v>
      </c>
      <c r="L142" s="51">
        <v>1</v>
      </c>
      <c r="M142" s="54">
        <v>28000</v>
      </c>
      <c r="N142" s="53">
        <f t="shared" si="4"/>
        <v>-23000</v>
      </c>
      <c r="O142" s="53">
        <f t="shared" si="5"/>
        <v>23000</v>
      </c>
    </row>
    <row r="143" spans="1:15" x14ac:dyDescent="0.2">
      <c r="A143" s="51" t="s">
        <v>3567</v>
      </c>
      <c r="B143" s="51" t="s">
        <v>3568</v>
      </c>
      <c r="C143" s="51" t="s">
        <v>3674</v>
      </c>
      <c r="D143" s="51" t="s">
        <v>3675</v>
      </c>
      <c r="E143" s="51" t="s">
        <v>3676</v>
      </c>
      <c r="F143" s="52">
        <v>28.276838105999978</v>
      </c>
      <c r="G143" s="52">
        <v>0</v>
      </c>
      <c r="H143" s="52">
        <v>0</v>
      </c>
      <c r="I143" s="52">
        <v>0</v>
      </c>
      <c r="J143" s="51">
        <v>0</v>
      </c>
      <c r="K143" s="54">
        <v>0</v>
      </c>
      <c r="L143" s="51">
        <v>0</v>
      </c>
      <c r="M143" s="54">
        <v>0</v>
      </c>
      <c r="N143" s="53">
        <f t="shared" si="4"/>
        <v>0</v>
      </c>
      <c r="O143" s="53">
        <f t="shared" si="5"/>
        <v>0</v>
      </c>
    </row>
    <row r="144" spans="1:15" x14ac:dyDescent="0.2">
      <c r="A144" s="51" t="s">
        <v>3567</v>
      </c>
      <c r="B144" s="51" t="s">
        <v>3568</v>
      </c>
      <c r="C144" s="51" t="s">
        <v>87</v>
      </c>
      <c r="D144" s="51" t="s">
        <v>3677</v>
      </c>
      <c r="E144" s="51" t="s">
        <v>3678</v>
      </c>
      <c r="F144" s="52">
        <v>17.393243929314291</v>
      </c>
      <c r="G144" s="52">
        <v>0</v>
      </c>
      <c r="H144" s="52">
        <v>0</v>
      </c>
      <c r="I144" s="52">
        <v>0</v>
      </c>
      <c r="J144" s="51">
        <v>0</v>
      </c>
      <c r="K144" s="54">
        <v>0</v>
      </c>
      <c r="L144" s="51">
        <v>0</v>
      </c>
      <c r="M144" s="54">
        <v>0</v>
      </c>
      <c r="N144" s="53">
        <f t="shared" si="4"/>
        <v>0</v>
      </c>
      <c r="O144" s="53">
        <f t="shared" si="5"/>
        <v>0</v>
      </c>
    </row>
    <row r="145" spans="1:15" x14ac:dyDescent="0.2">
      <c r="A145" s="51" t="s">
        <v>3567</v>
      </c>
      <c r="B145" s="51" t="s">
        <v>3568</v>
      </c>
      <c r="C145" s="51" t="s">
        <v>71</v>
      </c>
      <c r="D145" s="51" t="s">
        <v>2686</v>
      </c>
      <c r="E145" s="51" t="s">
        <v>2685</v>
      </c>
      <c r="F145" s="52">
        <v>459.96969999999999</v>
      </c>
      <c r="G145" s="52">
        <v>1300</v>
      </c>
      <c r="H145" s="52">
        <v>16600</v>
      </c>
      <c r="I145" s="52">
        <v>17900</v>
      </c>
      <c r="J145" s="51">
        <v>1</v>
      </c>
      <c r="K145" s="54">
        <v>5000</v>
      </c>
      <c r="L145" s="51">
        <v>1</v>
      </c>
      <c r="M145" s="54">
        <v>20000</v>
      </c>
      <c r="N145" s="53">
        <f t="shared" si="4"/>
        <v>-15000</v>
      </c>
      <c r="O145" s="53">
        <f t="shared" si="5"/>
        <v>15000</v>
      </c>
    </row>
    <row r="146" spans="1:15" x14ac:dyDescent="0.2">
      <c r="A146" s="51" t="s">
        <v>3567</v>
      </c>
      <c r="B146" s="51" t="s">
        <v>3568</v>
      </c>
      <c r="C146" s="51" t="s">
        <v>66</v>
      </c>
      <c r="D146" s="51" t="s">
        <v>428</v>
      </c>
      <c r="E146" s="51" t="s">
        <v>427</v>
      </c>
      <c r="F146" s="52">
        <v>149.8614</v>
      </c>
      <c r="G146" s="52">
        <v>0</v>
      </c>
      <c r="H146" s="52">
        <v>0</v>
      </c>
      <c r="I146" s="52">
        <v>0</v>
      </c>
      <c r="J146" s="51">
        <v>0</v>
      </c>
      <c r="K146" s="54">
        <v>0</v>
      </c>
      <c r="L146" s="51">
        <v>1</v>
      </c>
      <c r="M146" s="54">
        <v>14500</v>
      </c>
      <c r="N146" s="53">
        <f t="shared" si="4"/>
        <v>-14500</v>
      </c>
      <c r="O146" s="53">
        <f t="shared" si="5"/>
        <v>14500</v>
      </c>
    </row>
    <row r="147" spans="1:15" x14ac:dyDescent="0.2">
      <c r="A147" s="51" t="s">
        <v>3567</v>
      </c>
      <c r="B147" s="51" t="s">
        <v>3568</v>
      </c>
      <c r="C147" s="51" t="s">
        <v>3580</v>
      </c>
      <c r="D147" s="51" t="s">
        <v>3681</v>
      </c>
      <c r="E147" s="51" t="s">
        <v>3682</v>
      </c>
      <c r="F147" s="52">
        <v>0.3762349987743635</v>
      </c>
      <c r="G147" s="52">
        <v>0</v>
      </c>
      <c r="H147" s="52">
        <v>0</v>
      </c>
      <c r="I147" s="52">
        <v>0</v>
      </c>
      <c r="J147" s="51">
        <v>0</v>
      </c>
      <c r="K147" s="54">
        <v>0</v>
      </c>
      <c r="L147" s="51">
        <v>0</v>
      </c>
      <c r="M147" s="54">
        <v>0</v>
      </c>
      <c r="N147" s="53">
        <f t="shared" si="4"/>
        <v>0</v>
      </c>
      <c r="O147" s="53">
        <f t="shared" si="5"/>
        <v>0</v>
      </c>
    </row>
    <row r="148" spans="1:15" x14ac:dyDescent="0.2">
      <c r="A148" s="51" t="s">
        <v>3567</v>
      </c>
      <c r="B148" s="51" t="s">
        <v>3568</v>
      </c>
      <c r="C148" s="51" t="s">
        <v>57</v>
      </c>
      <c r="D148" s="51" t="s">
        <v>936</v>
      </c>
      <c r="E148" s="51" t="s">
        <v>935</v>
      </c>
      <c r="F148" s="52">
        <v>558.57183499999996</v>
      </c>
      <c r="G148" s="52">
        <v>20530</v>
      </c>
      <c r="H148" s="52">
        <v>7175</v>
      </c>
      <c r="I148" s="52">
        <v>27705</v>
      </c>
      <c r="J148" s="51">
        <v>1</v>
      </c>
      <c r="K148" s="54">
        <v>20000</v>
      </c>
      <c r="L148" s="51">
        <v>1</v>
      </c>
      <c r="M148" s="54">
        <v>30000</v>
      </c>
      <c r="N148" s="53">
        <f t="shared" si="4"/>
        <v>-10000</v>
      </c>
      <c r="O148" s="53">
        <f t="shared" si="5"/>
        <v>10000</v>
      </c>
    </row>
    <row r="149" spans="1:15" x14ac:dyDescent="0.2">
      <c r="A149" s="51" t="s">
        <v>3567</v>
      </c>
      <c r="B149" s="51" t="s">
        <v>3568</v>
      </c>
      <c r="C149" s="51" t="s">
        <v>69</v>
      </c>
      <c r="D149" s="51" t="s">
        <v>1969</v>
      </c>
      <c r="E149" s="51" t="s">
        <v>1968</v>
      </c>
      <c r="F149" s="52">
        <v>7.8778023251089238</v>
      </c>
      <c r="G149" s="52">
        <v>1415</v>
      </c>
      <c r="H149" s="52">
        <v>0</v>
      </c>
      <c r="I149" s="52">
        <v>1415</v>
      </c>
      <c r="J149" s="51">
        <v>1</v>
      </c>
      <c r="K149" s="54">
        <v>5000</v>
      </c>
      <c r="L149" s="51">
        <v>0</v>
      </c>
      <c r="M149" s="54">
        <v>0</v>
      </c>
      <c r="N149" s="53">
        <f t="shared" si="4"/>
        <v>5000</v>
      </c>
      <c r="O149" s="53">
        <f t="shared" si="5"/>
        <v>-5000</v>
      </c>
    </row>
    <row r="150" spans="1:15" x14ac:dyDescent="0.2">
      <c r="A150" s="51" t="s">
        <v>3567</v>
      </c>
      <c r="B150" s="51" t="s">
        <v>3568</v>
      </c>
      <c r="C150" s="51" t="s">
        <v>78</v>
      </c>
      <c r="D150" s="51" t="s">
        <v>1879</v>
      </c>
      <c r="E150" s="51" t="s">
        <v>1878</v>
      </c>
      <c r="F150" s="52">
        <v>1980.661626790029</v>
      </c>
      <c r="G150" s="52">
        <v>0</v>
      </c>
      <c r="H150" s="52">
        <v>8490</v>
      </c>
      <c r="I150" s="52">
        <v>8490</v>
      </c>
      <c r="J150" s="51">
        <v>0</v>
      </c>
      <c r="K150" s="54">
        <v>0</v>
      </c>
      <c r="L150" s="51">
        <v>1</v>
      </c>
      <c r="M150" s="54">
        <v>10000</v>
      </c>
      <c r="N150" s="53">
        <f t="shared" si="4"/>
        <v>-10000</v>
      </c>
      <c r="O150" s="53">
        <f t="shared" si="5"/>
        <v>10000</v>
      </c>
    </row>
    <row r="151" spans="1:15" x14ac:dyDescent="0.2">
      <c r="A151" s="51" t="s">
        <v>3567</v>
      </c>
      <c r="B151" s="51" t="s">
        <v>3568</v>
      </c>
      <c r="C151" s="51" t="s">
        <v>3580</v>
      </c>
      <c r="D151" s="51" t="s">
        <v>3617</v>
      </c>
      <c r="E151" s="51" t="s">
        <v>3618</v>
      </c>
      <c r="F151" s="52">
        <v>5.2095805797954959</v>
      </c>
      <c r="G151" s="52">
        <v>0</v>
      </c>
      <c r="H151" s="52">
        <v>0</v>
      </c>
      <c r="I151" s="52">
        <v>0</v>
      </c>
      <c r="J151" s="51">
        <v>0</v>
      </c>
      <c r="K151" s="54">
        <v>0</v>
      </c>
      <c r="L151" s="51">
        <v>0</v>
      </c>
      <c r="M151" s="54">
        <v>0</v>
      </c>
      <c r="N151" s="53">
        <f t="shared" si="4"/>
        <v>0</v>
      </c>
      <c r="O151" s="53">
        <f t="shared" si="5"/>
        <v>0</v>
      </c>
    </row>
    <row r="152" spans="1:15" x14ac:dyDescent="0.2">
      <c r="A152" s="51" t="s">
        <v>3567</v>
      </c>
      <c r="B152" s="51" t="s">
        <v>3568</v>
      </c>
      <c r="C152" s="51" t="s">
        <v>73</v>
      </c>
      <c r="D152" s="51" t="s">
        <v>1134</v>
      </c>
      <c r="E152" s="51" t="s">
        <v>1133</v>
      </c>
      <c r="F152" s="52">
        <v>9474.2684410257243</v>
      </c>
      <c r="G152" s="52">
        <v>200</v>
      </c>
      <c r="H152" s="52">
        <v>1000</v>
      </c>
      <c r="I152" s="52">
        <v>1200</v>
      </c>
      <c r="J152" s="51">
        <v>1</v>
      </c>
      <c r="K152" s="54">
        <v>6000</v>
      </c>
      <c r="L152" s="51">
        <v>0</v>
      </c>
      <c r="M152" s="54">
        <v>0</v>
      </c>
      <c r="N152" s="53">
        <f t="shared" si="4"/>
        <v>6000</v>
      </c>
      <c r="O152" s="53">
        <f t="shared" si="5"/>
        <v>-6000</v>
      </c>
    </row>
    <row r="153" spans="1:15" x14ac:dyDescent="0.2">
      <c r="A153" s="51" t="s">
        <v>3567</v>
      </c>
      <c r="B153" s="51" t="s">
        <v>3568</v>
      </c>
      <c r="C153" s="51" t="s">
        <v>52</v>
      </c>
      <c r="D153" s="51" t="s">
        <v>1345</v>
      </c>
      <c r="E153" s="51" t="s">
        <v>1344</v>
      </c>
      <c r="F153" s="52">
        <v>8987.2011000000002</v>
      </c>
      <c r="G153" s="52">
        <v>5500</v>
      </c>
      <c r="H153" s="52">
        <v>5650</v>
      </c>
      <c r="I153" s="52">
        <v>11150</v>
      </c>
      <c r="J153" s="51">
        <v>1</v>
      </c>
      <c r="K153" s="54">
        <v>5000</v>
      </c>
      <c r="L153" s="51">
        <v>0</v>
      </c>
      <c r="M153" s="54">
        <v>0</v>
      </c>
      <c r="N153" s="53">
        <f t="shared" si="4"/>
        <v>5000</v>
      </c>
      <c r="O153" s="53">
        <f t="shared" si="5"/>
        <v>-5000</v>
      </c>
    </row>
    <row r="154" spans="1:15" x14ac:dyDescent="0.2">
      <c r="A154" s="51" t="s">
        <v>3567</v>
      </c>
      <c r="B154" s="51" t="s">
        <v>3568</v>
      </c>
      <c r="C154" s="51" t="s">
        <v>63</v>
      </c>
      <c r="D154" s="51" t="s">
        <v>704</v>
      </c>
      <c r="E154" s="51" t="s">
        <v>703</v>
      </c>
      <c r="F154" s="52">
        <v>217.6007654312678</v>
      </c>
      <c r="G154" s="52">
        <v>2530</v>
      </c>
      <c r="H154" s="52">
        <v>9450</v>
      </c>
      <c r="I154" s="52">
        <v>11980</v>
      </c>
      <c r="J154" s="51">
        <v>2</v>
      </c>
      <c r="K154" s="54">
        <v>6000</v>
      </c>
      <c r="L154" s="51">
        <v>1</v>
      </c>
      <c r="M154" s="54">
        <v>26000</v>
      </c>
      <c r="N154" s="53">
        <f t="shared" si="4"/>
        <v>-20000</v>
      </c>
      <c r="O154" s="53">
        <f t="shared" si="5"/>
        <v>20000</v>
      </c>
    </row>
    <row r="155" spans="1:15" x14ac:dyDescent="0.2">
      <c r="A155" s="51" t="s">
        <v>3567</v>
      </c>
      <c r="B155" s="51" t="s">
        <v>3568</v>
      </c>
      <c r="C155" s="51" t="s">
        <v>68</v>
      </c>
      <c r="D155" s="51" t="s">
        <v>1482</v>
      </c>
      <c r="E155" s="51" t="s">
        <v>509</v>
      </c>
      <c r="F155" s="52">
        <v>19199.212617000001</v>
      </c>
      <c r="G155" s="52">
        <v>6225</v>
      </c>
      <c r="H155" s="52">
        <v>30650</v>
      </c>
      <c r="I155" s="52">
        <v>36875</v>
      </c>
      <c r="J155" s="51">
        <v>1</v>
      </c>
      <c r="K155" s="54">
        <v>5000</v>
      </c>
      <c r="L155" s="51">
        <v>1</v>
      </c>
      <c r="M155" s="54">
        <v>30000</v>
      </c>
      <c r="N155" s="53">
        <f t="shared" si="4"/>
        <v>-25000</v>
      </c>
      <c r="O155" s="53">
        <f t="shared" si="5"/>
        <v>25000</v>
      </c>
    </row>
    <row r="156" spans="1:15" x14ac:dyDescent="0.2">
      <c r="A156" s="51" t="s">
        <v>3567</v>
      </c>
      <c r="B156" s="51" t="s">
        <v>3568</v>
      </c>
      <c r="C156" s="51" t="s">
        <v>80</v>
      </c>
      <c r="D156" s="51" t="s">
        <v>3660</v>
      </c>
      <c r="E156" s="51" t="s">
        <v>3661</v>
      </c>
      <c r="F156" s="52">
        <v>6.6425999999999998</v>
      </c>
      <c r="G156" s="52">
        <v>0</v>
      </c>
      <c r="H156" s="52">
        <v>0</v>
      </c>
      <c r="I156" s="52">
        <v>0</v>
      </c>
      <c r="J156" s="51">
        <v>0</v>
      </c>
      <c r="K156" s="54">
        <v>0</v>
      </c>
      <c r="L156" s="51">
        <v>0</v>
      </c>
      <c r="M156" s="54">
        <v>0</v>
      </c>
      <c r="N156" s="53">
        <f t="shared" si="4"/>
        <v>0</v>
      </c>
      <c r="O156" s="53">
        <f t="shared" si="5"/>
        <v>0</v>
      </c>
    </row>
    <row r="157" spans="1:15" x14ac:dyDescent="0.2">
      <c r="A157" s="51" t="s">
        <v>3567</v>
      </c>
      <c r="B157" s="51" t="s">
        <v>3568</v>
      </c>
      <c r="C157" s="51" t="s">
        <v>61</v>
      </c>
      <c r="D157" s="51" t="s">
        <v>2169</v>
      </c>
      <c r="E157" s="51" t="s">
        <v>2168</v>
      </c>
      <c r="F157" s="52">
        <v>1422.9373306501941</v>
      </c>
      <c r="G157" s="52">
        <v>53450</v>
      </c>
      <c r="H157" s="52">
        <v>20190</v>
      </c>
      <c r="I157" s="52">
        <v>73640</v>
      </c>
      <c r="J157" s="51">
        <v>1</v>
      </c>
      <c r="K157" s="54">
        <v>20000</v>
      </c>
      <c r="L157" s="51">
        <v>0</v>
      </c>
      <c r="M157" s="54">
        <v>0</v>
      </c>
      <c r="N157" s="53">
        <f t="shared" si="4"/>
        <v>20000</v>
      </c>
      <c r="O157" s="53">
        <f t="shared" si="5"/>
        <v>-20000</v>
      </c>
    </row>
    <row r="158" spans="1:15" x14ac:dyDescent="0.2">
      <c r="A158" s="51" t="s">
        <v>3567</v>
      </c>
      <c r="B158" s="51" t="s">
        <v>3568</v>
      </c>
      <c r="C158" s="51" t="s">
        <v>78</v>
      </c>
      <c r="D158" s="51" t="s">
        <v>2374</v>
      </c>
      <c r="E158" s="51" t="s">
        <v>2373</v>
      </c>
      <c r="F158" s="52">
        <v>5388.9076500000001</v>
      </c>
      <c r="G158" s="52">
        <v>0</v>
      </c>
      <c r="H158" s="52">
        <v>0</v>
      </c>
      <c r="I158" s="52">
        <v>0</v>
      </c>
      <c r="J158" s="51">
        <v>1</v>
      </c>
      <c r="K158" s="54">
        <v>5000</v>
      </c>
      <c r="L158" s="51">
        <v>0</v>
      </c>
      <c r="M158" s="54">
        <v>0</v>
      </c>
      <c r="N158" s="53">
        <f t="shared" si="4"/>
        <v>5000</v>
      </c>
      <c r="O158" s="53">
        <f t="shared" si="5"/>
        <v>-5000</v>
      </c>
    </row>
    <row r="159" spans="1:15" x14ac:dyDescent="0.2">
      <c r="A159" s="51" t="s">
        <v>3567</v>
      </c>
      <c r="B159" s="51" t="s">
        <v>3568</v>
      </c>
      <c r="C159" s="51" t="s">
        <v>3650</v>
      </c>
      <c r="D159" s="51" t="s">
        <v>3651</v>
      </c>
      <c r="E159" s="51" t="s">
        <v>3652</v>
      </c>
      <c r="F159" s="52">
        <v>10.403369413995559</v>
      </c>
      <c r="G159" s="52">
        <v>0</v>
      </c>
      <c r="H159" s="52">
        <v>0</v>
      </c>
      <c r="I159" s="52">
        <v>0</v>
      </c>
      <c r="J159" s="51">
        <v>0</v>
      </c>
      <c r="K159" s="54">
        <v>0</v>
      </c>
      <c r="L159" s="51">
        <v>0</v>
      </c>
      <c r="M159" s="54">
        <v>0</v>
      </c>
      <c r="N159" s="53">
        <f t="shared" si="4"/>
        <v>0</v>
      </c>
      <c r="O159" s="53">
        <f t="shared" si="5"/>
        <v>0</v>
      </c>
    </row>
    <row r="160" spans="1:15" x14ac:dyDescent="0.2">
      <c r="A160" s="51" t="s">
        <v>3567</v>
      </c>
      <c r="B160" s="51" t="s">
        <v>3568</v>
      </c>
      <c r="C160" s="51" t="s">
        <v>72</v>
      </c>
      <c r="D160" s="51" t="s">
        <v>506</v>
      </c>
      <c r="E160" s="51" t="s">
        <v>147</v>
      </c>
      <c r="F160" s="52">
        <v>14541.327636</v>
      </c>
      <c r="G160" s="52">
        <v>1000</v>
      </c>
      <c r="H160" s="52">
        <v>58000</v>
      </c>
      <c r="I160" s="52">
        <v>59000</v>
      </c>
      <c r="J160" s="51">
        <v>0</v>
      </c>
      <c r="K160" s="54">
        <v>0</v>
      </c>
      <c r="L160" s="51">
        <v>1</v>
      </c>
      <c r="M160" s="54">
        <v>121000</v>
      </c>
      <c r="N160" s="53">
        <f t="shared" si="4"/>
        <v>-121000</v>
      </c>
      <c r="O160" s="53">
        <f t="shared" si="5"/>
        <v>121000</v>
      </c>
    </row>
    <row r="161" spans="1:15" x14ac:dyDescent="0.2">
      <c r="A161" s="51" t="s">
        <v>3567</v>
      </c>
      <c r="B161" s="51" t="s">
        <v>3568</v>
      </c>
      <c r="C161" s="51" t="s">
        <v>61</v>
      </c>
      <c r="D161" s="51" t="s">
        <v>271</v>
      </c>
      <c r="E161" s="51" t="s">
        <v>270</v>
      </c>
      <c r="F161" s="52">
        <v>17303.129173347799</v>
      </c>
      <c r="G161" s="52">
        <v>3160</v>
      </c>
      <c r="H161" s="52">
        <v>9190</v>
      </c>
      <c r="I161" s="52">
        <v>12350</v>
      </c>
      <c r="J161" s="51">
        <v>1</v>
      </c>
      <c r="K161" s="54">
        <v>5000</v>
      </c>
      <c r="L161" s="51">
        <v>1</v>
      </c>
      <c r="M161" s="54">
        <v>25000</v>
      </c>
      <c r="N161" s="53">
        <f t="shared" si="4"/>
        <v>-20000</v>
      </c>
      <c r="O161" s="53">
        <f t="shared" si="5"/>
        <v>20000</v>
      </c>
    </row>
    <row r="162" spans="1:15" x14ac:dyDescent="0.2">
      <c r="A162" s="51" t="s">
        <v>3567</v>
      </c>
      <c r="B162" s="51" t="s">
        <v>3568</v>
      </c>
      <c r="C162" s="51" t="s">
        <v>52</v>
      </c>
      <c r="D162" s="51" t="s">
        <v>2643</v>
      </c>
      <c r="E162" s="51" t="s">
        <v>2642</v>
      </c>
      <c r="F162" s="52">
        <v>6371.6727000000001</v>
      </c>
      <c r="G162" s="52">
        <v>1000</v>
      </c>
      <c r="H162" s="52">
        <v>1885</v>
      </c>
      <c r="I162" s="52">
        <v>2885</v>
      </c>
      <c r="J162" s="51">
        <v>0</v>
      </c>
      <c r="K162" s="54">
        <v>0</v>
      </c>
      <c r="L162" s="51">
        <v>1</v>
      </c>
      <c r="M162" s="54">
        <v>6000</v>
      </c>
      <c r="N162" s="53">
        <f t="shared" si="4"/>
        <v>-6000</v>
      </c>
      <c r="O162" s="53">
        <f t="shared" si="5"/>
        <v>6000</v>
      </c>
    </row>
    <row r="163" spans="1:15" x14ac:dyDescent="0.2">
      <c r="A163" s="51" t="s">
        <v>3567</v>
      </c>
      <c r="B163" s="51" t="s">
        <v>3568</v>
      </c>
      <c r="C163" s="51" t="s">
        <v>74</v>
      </c>
      <c r="D163" s="51" t="s">
        <v>3626</v>
      </c>
      <c r="E163" s="51" t="s">
        <v>2624</v>
      </c>
      <c r="F163" s="52">
        <v>54.302999999999997</v>
      </c>
      <c r="G163" s="52">
        <v>0</v>
      </c>
      <c r="H163" s="52">
        <v>0</v>
      </c>
      <c r="I163" s="52">
        <v>0</v>
      </c>
      <c r="J163" s="51">
        <v>0</v>
      </c>
      <c r="K163" s="54">
        <v>0</v>
      </c>
      <c r="L163" s="51">
        <v>0</v>
      </c>
      <c r="M163" s="54">
        <v>0</v>
      </c>
      <c r="N163" s="53">
        <f t="shared" si="4"/>
        <v>0</v>
      </c>
      <c r="O163" s="53">
        <f t="shared" si="5"/>
        <v>0</v>
      </c>
    </row>
    <row r="164" spans="1:15" x14ac:dyDescent="0.2">
      <c r="A164" s="51" t="s">
        <v>3567</v>
      </c>
      <c r="B164" s="51" t="s">
        <v>3568</v>
      </c>
      <c r="C164" s="51" t="s">
        <v>67</v>
      </c>
      <c r="D164" s="51" t="s">
        <v>1584</v>
      </c>
      <c r="E164" s="51" t="s">
        <v>239</v>
      </c>
      <c r="F164" s="52">
        <v>3075.0081</v>
      </c>
      <c r="G164" s="52">
        <v>820</v>
      </c>
      <c r="H164" s="52">
        <v>11320</v>
      </c>
      <c r="I164" s="52">
        <v>12140</v>
      </c>
      <c r="J164" s="51">
        <v>1</v>
      </c>
      <c r="K164" s="54">
        <v>5000</v>
      </c>
      <c r="L164" s="51">
        <v>1</v>
      </c>
      <c r="M164" s="54">
        <v>45000</v>
      </c>
      <c r="N164" s="53">
        <f t="shared" si="4"/>
        <v>-40000</v>
      </c>
      <c r="O164" s="53">
        <f t="shared" si="5"/>
        <v>40000</v>
      </c>
    </row>
    <row r="165" spans="1:15" x14ac:dyDescent="0.2">
      <c r="A165" s="51" t="s">
        <v>3567</v>
      </c>
      <c r="B165" s="51" t="s">
        <v>3568</v>
      </c>
      <c r="C165" s="51" t="s">
        <v>78</v>
      </c>
      <c r="D165" s="51" t="s">
        <v>347</v>
      </c>
      <c r="E165" s="51" t="s">
        <v>346</v>
      </c>
      <c r="F165" s="52">
        <v>151.46320237500561</v>
      </c>
      <c r="G165" s="52">
        <v>565</v>
      </c>
      <c r="H165" s="52">
        <v>4700</v>
      </c>
      <c r="I165" s="52">
        <v>5265</v>
      </c>
      <c r="J165" s="51">
        <v>0</v>
      </c>
      <c r="K165" s="54">
        <v>0</v>
      </c>
      <c r="L165" s="51">
        <v>1</v>
      </c>
      <c r="M165" s="54">
        <v>5000</v>
      </c>
      <c r="N165" s="53">
        <f t="shared" si="4"/>
        <v>-5000</v>
      </c>
      <c r="O165" s="53">
        <f t="shared" si="5"/>
        <v>5000</v>
      </c>
    </row>
    <row r="166" spans="1:15" x14ac:dyDescent="0.2">
      <c r="A166" s="51" t="s">
        <v>3567</v>
      </c>
      <c r="B166" s="51" t="s">
        <v>3568</v>
      </c>
      <c r="C166" s="51" t="s">
        <v>62</v>
      </c>
      <c r="D166" s="51" t="s">
        <v>3394</v>
      </c>
      <c r="E166" s="51" t="s">
        <v>3393</v>
      </c>
      <c r="F166" s="52">
        <v>6384.5424117105104</v>
      </c>
      <c r="G166" s="52">
        <v>0</v>
      </c>
      <c r="H166" s="52">
        <v>0</v>
      </c>
      <c r="I166" s="52">
        <v>0</v>
      </c>
      <c r="J166" s="51">
        <v>0</v>
      </c>
      <c r="K166" s="54">
        <v>0</v>
      </c>
      <c r="L166" s="51">
        <v>1</v>
      </c>
      <c r="M166" s="54">
        <v>8000</v>
      </c>
      <c r="N166" s="53">
        <f t="shared" si="4"/>
        <v>-8000</v>
      </c>
      <c r="O166" s="53">
        <f t="shared" si="5"/>
        <v>8000</v>
      </c>
    </row>
    <row r="167" spans="1:15" x14ac:dyDescent="0.2">
      <c r="A167" s="51" t="s">
        <v>3567</v>
      </c>
      <c r="B167" s="51" t="s">
        <v>3568</v>
      </c>
      <c r="C167" s="51" t="s">
        <v>86</v>
      </c>
      <c r="D167" s="51" t="s">
        <v>2725</v>
      </c>
      <c r="E167" s="51" t="s">
        <v>2724</v>
      </c>
      <c r="F167" s="52">
        <v>31427.665193126941</v>
      </c>
      <c r="G167" s="52">
        <v>4860</v>
      </c>
      <c r="H167" s="52">
        <v>35910</v>
      </c>
      <c r="I167" s="52">
        <v>40770</v>
      </c>
      <c r="J167" s="51">
        <v>0</v>
      </c>
      <c r="K167" s="54">
        <v>0</v>
      </c>
      <c r="L167" s="51">
        <v>1</v>
      </c>
      <c r="M167" s="54">
        <v>55000</v>
      </c>
      <c r="N167" s="53">
        <f t="shared" si="4"/>
        <v>-55000</v>
      </c>
      <c r="O167" s="53">
        <f t="shared" si="5"/>
        <v>55000</v>
      </c>
    </row>
    <row r="168" spans="1:15" x14ac:dyDescent="0.2">
      <c r="A168" s="51" t="s">
        <v>3567</v>
      </c>
      <c r="B168" s="51" t="s">
        <v>3568</v>
      </c>
      <c r="C168" s="51" t="s">
        <v>74</v>
      </c>
      <c r="D168" s="51" t="s">
        <v>896</v>
      </c>
      <c r="E168" s="51" t="s">
        <v>895</v>
      </c>
      <c r="F168" s="52">
        <v>4746.5135</v>
      </c>
      <c r="G168" s="52">
        <v>11900</v>
      </c>
      <c r="H168" s="52">
        <v>7900</v>
      </c>
      <c r="I168" s="52">
        <v>19800</v>
      </c>
      <c r="J168" s="51">
        <v>0</v>
      </c>
      <c r="K168" s="54">
        <v>0</v>
      </c>
      <c r="L168" s="51">
        <v>1</v>
      </c>
      <c r="M168" s="54">
        <v>10000</v>
      </c>
      <c r="N168" s="53">
        <f t="shared" si="4"/>
        <v>-10000</v>
      </c>
      <c r="O168" s="53">
        <f t="shared" si="5"/>
        <v>10000</v>
      </c>
    </row>
    <row r="169" spans="1:15" x14ac:dyDescent="0.2">
      <c r="A169" s="51" t="s">
        <v>3567</v>
      </c>
      <c r="B169" s="51" t="s">
        <v>3568</v>
      </c>
      <c r="C169" s="51" t="s">
        <v>54</v>
      </c>
      <c r="D169" s="51" t="s">
        <v>2126</v>
      </c>
      <c r="E169" s="51" t="s">
        <v>2125</v>
      </c>
      <c r="F169" s="52">
        <v>13168.982450910629</v>
      </c>
      <c r="G169" s="52">
        <v>16160</v>
      </c>
      <c r="H169" s="52">
        <v>10150</v>
      </c>
      <c r="I169" s="52">
        <v>26310</v>
      </c>
      <c r="J169" s="51">
        <v>2</v>
      </c>
      <c r="K169" s="54">
        <v>13000</v>
      </c>
      <c r="L169" s="51">
        <v>0</v>
      </c>
      <c r="M169" s="54">
        <v>0</v>
      </c>
      <c r="N169" s="53">
        <f t="shared" si="4"/>
        <v>13000</v>
      </c>
      <c r="O169" s="53">
        <f t="shared" si="5"/>
        <v>-13000</v>
      </c>
    </row>
    <row r="170" spans="1:15" x14ac:dyDescent="0.2">
      <c r="A170" s="51" t="s">
        <v>3567</v>
      </c>
      <c r="B170" s="51" t="s">
        <v>3568</v>
      </c>
      <c r="C170" s="51" t="s">
        <v>58</v>
      </c>
      <c r="D170" s="51" t="s">
        <v>388</v>
      </c>
      <c r="E170" s="51" t="s">
        <v>387</v>
      </c>
      <c r="F170" s="52">
        <v>99280.527365852817</v>
      </c>
      <c r="G170" s="52">
        <v>4150</v>
      </c>
      <c r="H170" s="52">
        <v>22800</v>
      </c>
      <c r="I170" s="52">
        <v>26950</v>
      </c>
      <c r="J170" s="51">
        <v>0</v>
      </c>
      <c r="K170" s="54">
        <v>0</v>
      </c>
      <c r="L170" s="51">
        <v>1</v>
      </c>
      <c r="M170" s="54">
        <v>15000</v>
      </c>
      <c r="N170" s="53">
        <f t="shared" si="4"/>
        <v>-15000</v>
      </c>
      <c r="O170" s="53">
        <f t="shared" si="5"/>
        <v>15000</v>
      </c>
    </row>
    <row r="171" spans="1:15" x14ac:dyDescent="0.2">
      <c r="A171" s="51" t="s">
        <v>3567</v>
      </c>
      <c r="B171" s="51" t="s">
        <v>3568</v>
      </c>
      <c r="C171" s="51" t="s">
        <v>60</v>
      </c>
      <c r="D171" s="51" t="s">
        <v>3222</v>
      </c>
      <c r="E171" s="51" t="s">
        <v>3221</v>
      </c>
      <c r="F171" s="52">
        <v>254.54400000000001</v>
      </c>
      <c r="G171" s="52">
        <v>0</v>
      </c>
      <c r="H171" s="52">
        <v>7600</v>
      </c>
      <c r="I171" s="52">
        <v>7600</v>
      </c>
      <c r="J171" s="51">
        <v>0</v>
      </c>
      <c r="K171" s="54">
        <v>0</v>
      </c>
      <c r="L171" s="51">
        <v>2</v>
      </c>
      <c r="M171" s="54">
        <v>10000</v>
      </c>
      <c r="N171" s="53">
        <f t="shared" si="4"/>
        <v>-10000</v>
      </c>
      <c r="O171" s="53">
        <f t="shared" si="5"/>
        <v>10000</v>
      </c>
    </row>
    <row r="172" spans="1:15" x14ac:dyDescent="0.2">
      <c r="A172" s="51" t="s">
        <v>3567</v>
      </c>
      <c r="B172" s="51" t="s">
        <v>3568</v>
      </c>
      <c r="C172" s="51" t="s">
        <v>73</v>
      </c>
      <c r="D172" s="51" t="s">
        <v>1286</v>
      </c>
      <c r="E172" s="51" t="s">
        <v>1285</v>
      </c>
      <c r="F172" s="52">
        <v>7842.8167999999996</v>
      </c>
      <c r="G172" s="52">
        <v>0</v>
      </c>
      <c r="H172" s="52">
        <v>2000</v>
      </c>
      <c r="I172" s="52">
        <v>2000</v>
      </c>
      <c r="J172" s="51">
        <v>1</v>
      </c>
      <c r="K172" s="54">
        <v>5000</v>
      </c>
      <c r="L172" s="51">
        <v>0</v>
      </c>
      <c r="M172" s="54">
        <v>0</v>
      </c>
      <c r="N172" s="53">
        <f t="shared" si="4"/>
        <v>5000</v>
      </c>
      <c r="O172" s="53">
        <f t="shared" si="5"/>
        <v>-5000</v>
      </c>
    </row>
    <row r="173" spans="1:15" x14ac:dyDescent="0.2">
      <c r="A173" s="51" t="s">
        <v>3567</v>
      </c>
      <c r="B173" s="51" t="s">
        <v>3568</v>
      </c>
      <c r="C173" s="51" t="s">
        <v>92</v>
      </c>
      <c r="D173" s="51" t="s">
        <v>796</v>
      </c>
      <c r="E173" s="51" t="s">
        <v>795</v>
      </c>
      <c r="F173" s="52">
        <v>8799.0724980816231</v>
      </c>
      <c r="G173" s="52">
        <v>1250</v>
      </c>
      <c r="H173" s="52">
        <v>7600</v>
      </c>
      <c r="I173" s="52">
        <v>8850</v>
      </c>
      <c r="J173" s="51">
        <v>0</v>
      </c>
      <c r="K173" s="54">
        <v>0</v>
      </c>
      <c r="L173" s="51">
        <v>1</v>
      </c>
      <c r="M173" s="54">
        <v>5000</v>
      </c>
      <c r="N173" s="53">
        <f t="shared" si="4"/>
        <v>-5000</v>
      </c>
      <c r="O173" s="53">
        <f t="shared" si="5"/>
        <v>5000</v>
      </c>
    </row>
    <row r="174" spans="1:15" x14ac:dyDescent="0.2">
      <c r="A174" s="51" t="s">
        <v>3567</v>
      </c>
      <c r="B174" s="51" t="s">
        <v>3568</v>
      </c>
      <c r="C174" s="51" t="s">
        <v>53</v>
      </c>
      <c r="D174" s="51" t="s">
        <v>379</v>
      </c>
      <c r="E174" s="51" t="s">
        <v>378</v>
      </c>
      <c r="F174" s="52">
        <v>15041.818499999999</v>
      </c>
      <c r="G174" s="52">
        <v>40905</v>
      </c>
      <c r="H174" s="52">
        <v>3000</v>
      </c>
      <c r="I174" s="52">
        <v>43905</v>
      </c>
      <c r="J174" s="51">
        <v>3</v>
      </c>
      <c r="K174" s="54">
        <v>50000</v>
      </c>
      <c r="L174" s="51">
        <v>1</v>
      </c>
      <c r="M174" s="54">
        <v>5000</v>
      </c>
      <c r="N174" s="53">
        <f t="shared" si="4"/>
        <v>45000</v>
      </c>
      <c r="O174" s="53">
        <f t="shared" si="5"/>
        <v>-45000</v>
      </c>
    </row>
    <row r="175" spans="1:15" x14ac:dyDescent="0.2">
      <c r="A175" s="51" t="s">
        <v>3567</v>
      </c>
      <c r="B175" s="51" t="s">
        <v>3568</v>
      </c>
      <c r="C175" s="51" t="s">
        <v>64</v>
      </c>
      <c r="D175" s="51" t="s">
        <v>1559</v>
      </c>
      <c r="E175" s="51" t="s">
        <v>1558</v>
      </c>
      <c r="F175" s="52">
        <v>44694.127976349388</v>
      </c>
      <c r="G175" s="52">
        <v>64257</v>
      </c>
      <c r="H175" s="52">
        <v>1190</v>
      </c>
      <c r="I175" s="52">
        <v>65447</v>
      </c>
      <c r="J175" s="51">
        <v>4</v>
      </c>
      <c r="K175" s="54">
        <v>75000</v>
      </c>
      <c r="L175" s="51">
        <v>0</v>
      </c>
      <c r="M175" s="54">
        <v>0</v>
      </c>
      <c r="N175" s="53">
        <f t="shared" si="4"/>
        <v>75000</v>
      </c>
      <c r="O175" s="53">
        <f t="shared" si="5"/>
        <v>-75000</v>
      </c>
    </row>
    <row r="176" spans="1:15" x14ac:dyDescent="0.2">
      <c r="A176" s="51" t="s">
        <v>3567</v>
      </c>
      <c r="B176" s="51" t="s">
        <v>3568</v>
      </c>
      <c r="C176" s="51" t="s">
        <v>81</v>
      </c>
      <c r="D176" s="51" t="s">
        <v>148</v>
      </c>
      <c r="E176" s="51" t="s">
        <v>147</v>
      </c>
      <c r="F176" s="52">
        <v>13675.432355999999</v>
      </c>
      <c r="G176" s="52">
        <v>5605</v>
      </c>
      <c r="H176" s="52">
        <v>14620</v>
      </c>
      <c r="I176" s="52">
        <v>20225</v>
      </c>
      <c r="J176" s="51">
        <v>0</v>
      </c>
      <c r="K176" s="54">
        <v>0</v>
      </c>
      <c r="L176" s="51">
        <v>1</v>
      </c>
      <c r="M176" s="54">
        <v>6000</v>
      </c>
      <c r="N176" s="53">
        <f t="shared" si="4"/>
        <v>-6000</v>
      </c>
      <c r="O176" s="53">
        <f t="shared" si="5"/>
        <v>6000</v>
      </c>
    </row>
    <row r="177" spans="1:15" x14ac:dyDescent="0.2">
      <c r="A177" s="51" t="s">
        <v>3567</v>
      </c>
      <c r="B177" s="51" t="s">
        <v>3568</v>
      </c>
      <c r="C177" s="51" t="s">
        <v>3674</v>
      </c>
      <c r="D177" s="51" t="s">
        <v>3705</v>
      </c>
      <c r="E177" s="51" t="s">
        <v>3706</v>
      </c>
      <c r="F177" s="52">
        <v>1.252046448748517</v>
      </c>
      <c r="G177" s="52">
        <v>0</v>
      </c>
      <c r="H177" s="52">
        <v>0</v>
      </c>
      <c r="I177" s="52">
        <v>0</v>
      </c>
      <c r="J177" s="51">
        <v>0</v>
      </c>
      <c r="K177" s="54">
        <v>0</v>
      </c>
      <c r="L177" s="51">
        <v>0</v>
      </c>
      <c r="M177" s="54">
        <v>0</v>
      </c>
      <c r="N177" s="53">
        <f t="shared" si="4"/>
        <v>0</v>
      </c>
      <c r="O177" s="53">
        <f t="shared" si="5"/>
        <v>0</v>
      </c>
    </row>
    <row r="178" spans="1:15" x14ac:dyDescent="0.2">
      <c r="A178" s="51" t="s">
        <v>3567</v>
      </c>
      <c r="B178" s="51" t="s">
        <v>3568</v>
      </c>
      <c r="C178" s="51" t="s">
        <v>3647</v>
      </c>
      <c r="D178" s="51" t="s">
        <v>3648</v>
      </c>
      <c r="E178" s="51" t="s">
        <v>3649</v>
      </c>
      <c r="F178" s="52">
        <v>43.866772456296118</v>
      </c>
      <c r="G178" s="52">
        <v>0</v>
      </c>
      <c r="H178" s="52">
        <v>0</v>
      </c>
      <c r="I178" s="52">
        <v>0</v>
      </c>
      <c r="J178" s="51">
        <v>0</v>
      </c>
      <c r="K178" s="54">
        <v>0</v>
      </c>
      <c r="L178" s="51">
        <v>0</v>
      </c>
      <c r="M178" s="54">
        <v>0</v>
      </c>
      <c r="N178" s="53">
        <f t="shared" si="4"/>
        <v>0</v>
      </c>
      <c r="O178" s="53">
        <f t="shared" si="5"/>
        <v>0</v>
      </c>
    </row>
    <row r="179" spans="1:15" x14ac:dyDescent="0.2">
      <c r="A179" s="51" t="s">
        <v>3567</v>
      </c>
      <c r="B179" s="51" t="s">
        <v>3568</v>
      </c>
      <c r="C179" s="51" t="s">
        <v>3583</v>
      </c>
      <c r="D179" s="51" t="s">
        <v>3639</v>
      </c>
      <c r="E179" s="51" t="s">
        <v>3640</v>
      </c>
      <c r="F179" s="52">
        <v>10.21599757472857</v>
      </c>
      <c r="G179" s="52">
        <v>0</v>
      </c>
      <c r="H179" s="52">
        <v>0</v>
      </c>
      <c r="I179" s="52">
        <v>0</v>
      </c>
      <c r="J179" s="51">
        <v>0</v>
      </c>
      <c r="K179" s="54">
        <v>0</v>
      </c>
      <c r="L179" s="51">
        <v>0</v>
      </c>
      <c r="M179" s="54">
        <v>0</v>
      </c>
      <c r="N179" s="53">
        <f t="shared" si="4"/>
        <v>0</v>
      </c>
      <c r="O179" s="53">
        <f t="shared" si="5"/>
        <v>0</v>
      </c>
    </row>
    <row r="180" spans="1:15" x14ac:dyDescent="0.2">
      <c r="A180" s="51" t="s">
        <v>3567</v>
      </c>
      <c r="B180" s="51" t="s">
        <v>3568</v>
      </c>
      <c r="C180" s="51" t="s">
        <v>72</v>
      </c>
      <c r="D180" s="51" t="s">
        <v>2812</v>
      </c>
      <c r="E180" s="51" t="s">
        <v>368</v>
      </c>
      <c r="F180" s="52">
        <v>10417.48451290732</v>
      </c>
      <c r="G180" s="52">
        <v>1210</v>
      </c>
      <c r="H180" s="52">
        <v>3085</v>
      </c>
      <c r="I180" s="52">
        <v>4295</v>
      </c>
      <c r="J180" s="51">
        <v>0</v>
      </c>
      <c r="K180" s="54">
        <v>0</v>
      </c>
      <c r="L180" s="51">
        <v>1</v>
      </c>
      <c r="M180" s="54">
        <v>35000</v>
      </c>
      <c r="N180" s="53">
        <f t="shared" si="4"/>
        <v>-35000</v>
      </c>
      <c r="O180" s="53">
        <f t="shared" si="5"/>
        <v>35000</v>
      </c>
    </row>
    <row r="181" spans="1:15" x14ac:dyDescent="0.2">
      <c r="A181" s="51" t="s">
        <v>3567</v>
      </c>
      <c r="B181" s="51" t="s">
        <v>3568</v>
      </c>
      <c r="C181" s="51" t="s">
        <v>62</v>
      </c>
      <c r="D181" s="51" t="s">
        <v>2968</v>
      </c>
      <c r="E181" s="51" t="s">
        <v>2967</v>
      </c>
      <c r="F181" s="52">
        <v>5499.3559491130027</v>
      </c>
      <c r="G181" s="52">
        <v>0</v>
      </c>
      <c r="H181" s="52">
        <v>1980</v>
      </c>
      <c r="I181" s="52">
        <v>1980</v>
      </c>
      <c r="J181" s="51">
        <v>0</v>
      </c>
      <c r="K181" s="54">
        <v>0</v>
      </c>
      <c r="L181" s="51">
        <v>1</v>
      </c>
      <c r="M181" s="54">
        <v>10000</v>
      </c>
      <c r="N181" s="53">
        <f t="shared" si="4"/>
        <v>-10000</v>
      </c>
      <c r="O181" s="53">
        <f t="shared" si="5"/>
        <v>10000</v>
      </c>
    </row>
    <row r="182" spans="1:15" x14ac:dyDescent="0.2">
      <c r="A182" s="51" t="s">
        <v>3567</v>
      </c>
      <c r="B182" s="51" t="s">
        <v>3568</v>
      </c>
      <c r="C182" s="51" t="s">
        <v>57</v>
      </c>
      <c r="D182" s="51" t="s">
        <v>3370</v>
      </c>
      <c r="E182" s="51" t="s">
        <v>3369</v>
      </c>
      <c r="F182" s="52">
        <v>6122.6825652145499</v>
      </c>
      <c r="G182" s="52">
        <v>0</v>
      </c>
      <c r="H182" s="52">
        <v>65150</v>
      </c>
      <c r="I182" s="52">
        <v>65150</v>
      </c>
      <c r="J182" s="51">
        <v>0</v>
      </c>
      <c r="K182" s="54">
        <v>0</v>
      </c>
      <c r="L182" s="51">
        <v>3</v>
      </c>
      <c r="M182" s="54">
        <v>154000</v>
      </c>
      <c r="N182" s="53">
        <f t="shared" si="4"/>
        <v>-154000</v>
      </c>
      <c r="O182" s="53">
        <f t="shared" si="5"/>
        <v>154000</v>
      </c>
    </row>
    <row r="183" spans="1:15" x14ac:dyDescent="0.2">
      <c r="A183" s="51" t="s">
        <v>3567</v>
      </c>
      <c r="B183" s="51" t="s">
        <v>3568</v>
      </c>
      <c r="C183" s="51" t="s">
        <v>75</v>
      </c>
      <c r="D183" s="51" t="s">
        <v>2406</v>
      </c>
      <c r="E183" s="51" t="s">
        <v>2405</v>
      </c>
      <c r="F183" s="52">
        <v>12815.9584</v>
      </c>
      <c r="G183" s="52">
        <v>0</v>
      </c>
      <c r="H183" s="52">
        <v>0</v>
      </c>
      <c r="I183" s="52">
        <v>0</v>
      </c>
      <c r="J183" s="51">
        <v>0</v>
      </c>
      <c r="K183" s="54">
        <v>0</v>
      </c>
      <c r="L183" s="51">
        <v>1</v>
      </c>
      <c r="M183" s="54">
        <v>6000</v>
      </c>
      <c r="N183" s="53">
        <f t="shared" si="4"/>
        <v>-6000</v>
      </c>
      <c r="O183" s="53">
        <f t="shared" si="5"/>
        <v>6000</v>
      </c>
    </row>
    <row r="184" spans="1:15" x14ac:dyDescent="0.2">
      <c r="A184" s="51" t="s">
        <v>3567</v>
      </c>
      <c r="B184" s="51" t="s">
        <v>3568</v>
      </c>
      <c r="C184" s="51" t="s">
        <v>61</v>
      </c>
      <c r="D184" s="51" t="s">
        <v>1331</v>
      </c>
      <c r="E184" s="51" t="s">
        <v>1330</v>
      </c>
      <c r="F184" s="52">
        <v>10025.85338826423</v>
      </c>
      <c r="G184" s="52">
        <v>10075</v>
      </c>
      <c r="H184" s="52">
        <v>20495</v>
      </c>
      <c r="I184" s="52">
        <v>30570</v>
      </c>
      <c r="J184" s="51">
        <v>0</v>
      </c>
      <c r="K184" s="54">
        <v>0</v>
      </c>
      <c r="L184" s="51">
        <v>2</v>
      </c>
      <c r="M184" s="54">
        <v>35000</v>
      </c>
      <c r="N184" s="53">
        <f t="shared" si="4"/>
        <v>-35000</v>
      </c>
      <c r="O184" s="53">
        <f t="shared" si="5"/>
        <v>35000</v>
      </c>
    </row>
    <row r="185" spans="1:15" x14ac:dyDescent="0.2">
      <c r="A185" s="51" t="s">
        <v>3567</v>
      </c>
      <c r="B185" s="51" t="s">
        <v>3568</v>
      </c>
      <c r="C185" s="51" t="s">
        <v>77</v>
      </c>
      <c r="D185" s="51" t="s">
        <v>414</v>
      </c>
      <c r="E185" s="51" t="s">
        <v>413</v>
      </c>
      <c r="F185" s="52">
        <v>3757.9192602355938</v>
      </c>
      <c r="G185" s="52">
        <v>21100</v>
      </c>
      <c r="H185" s="52">
        <v>6540</v>
      </c>
      <c r="I185" s="52">
        <v>27640</v>
      </c>
      <c r="J185" s="51">
        <v>0</v>
      </c>
      <c r="K185" s="54">
        <v>0</v>
      </c>
      <c r="L185" s="51">
        <v>1</v>
      </c>
      <c r="M185" s="54">
        <v>40000</v>
      </c>
      <c r="N185" s="53">
        <f t="shared" si="4"/>
        <v>-40000</v>
      </c>
      <c r="O185" s="53">
        <f t="shared" si="5"/>
        <v>40000</v>
      </c>
    </row>
    <row r="186" spans="1:15" x14ac:dyDescent="0.2">
      <c r="A186" s="51" t="s">
        <v>3567</v>
      </c>
      <c r="B186" s="51" t="s">
        <v>3568</v>
      </c>
      <c r="C186" s="51" t="s">
        <v>65</v>
      </c>
      <c r="D186" s="51" t="s">
        <v>2678</v>
      </c>
      <c r="E186" s="51" t="s">
        <v>2677</v>
      </c>
      <c r="F186" s="52">
        <v>1191.5702000000001</v>
      </c>
      <c r="G186" s="52">
        <v>6500</v>
      </c>
      <c r="H186" s="52">
        <v>0</v>
      </c>
      <c r="I186" s="52">
        <v>6500</v>
      </c>
      <c r="J186" s="51">
        <v>1</v>
      </c>
      <c r="K186" s="54">
        <v>5000</v>
      </c>
      <c r="L186" s="51">
        <v>0</v>
      </c>
      <c r="M186" s="54">
        <v>0</v>
      </c>
      <c r="N186" s="53">
        <f t="shared" si="4"/>
        <v>5000</v>
      </c>
      <c r="O186" s="53">
        <f t="shared" si="5"/>
        <v>-5000</v>
      </c>
    </row>
    <row r="187" spans="1:15" x14ac:dyDescent="0.2">
      <c r="A187" s="51" t="s">
        <v>3567</v>
      </c>
      <c r="B187" s="51" t="s">
        <v>3568</v>
      </c>
      <c r="C187" s="51" t="s">
        <v>71</v>
      </c>
      <c r="D187" s="51" t="s">
        <v>3076</v>
      </c>
      <c r="E187" s="51" t="s">
        <v>2798</v>
      </c>
      <c r="F187" s="52">
        <v>7.1261999999999999</v>
      </c>
      <c r="G187" s="52">
        <v>0</v>
      </c>
      <c r="H187" s="52">
        <v>0</v>
      </c>
      <c r="I187" s="52">
        <v>0</v>
      </c>
      <c r="J187" s="51">
        <v>0</v>
      </c>
      <c r="K187" s="54">
        <v>0</v>
      </c>
      <c r="L187" s="51">
        <v>0</v>
      </c>
      <c r="M187" s="54">
        <v>0</v>
      </c>
      <c r="N187" s="53">
        <f t="shared" si="4"/>
        <v>0</v>
      </c>
      <c r="O187" s="53">
        <f t="shared" si="5"/>
        <v>0</v>
      </c>
    </row>
    <row r="188" spans="1:15" x14ac:dyDescent="0.2">
      <c r="A188" s="51" t="s">
        <v>3567</v>
      </c>
      <c r="B188" s="51" t="s">
        <v>3568</v>
      </c>
      <c r="C188" s="51" t="s">
        <v>61</v>
      </c>
      <c r="D188" s="51" t="s">
        <v>3372</v>
      </c>
      <c r="E188" s="51" t="s">
        <v>3371</v>
      </c>
      <c r="F188" s="52">
        <v>26691.596870000001</v>
      </c>
      <c r="G188" s="52">
        <v>355</v>
      </c>
      <c r="H188" s="52">
        <v>10750</v>
      </c>
      <c r="I188" s="52">
        <v>11105</v>
      </c>
      <c r="J188" s="51">
        <v>1</v>
      </c>
      <c r="K188" s="54">
        <v>10000</v>
      </c>
      <c r="L188" s="51">
        <v>0</v>
      </c>
      <c r="M188" s="54">
        <v>0</v>
      </c>
      <c r="N188" s="53">
        <f t="shared" si="4"/>
        <v>10000</v>
      </c>
      <c r="O188" s="53">
        <f t="shared" si="5"/>
        <v>-10000</v>
      </c>
    </row>
    <row r="189" spans="1:15" x14ac:dyDescent="0.2">
      <c r="A189" s="51" t="s">
        <v>3567</v>
      </c>
      <c r="B189" s="51" t="s">
        <v>3568</v>
      </c>
      <c r="C189" s="51" t="s">
        <v>64</v>
      </c>
      <c r="D189" s="51" t="s">
        <v>2583</v>
      </c>
      <c r="E189" s="51" t="s">
        <v>2582</v>
      </c>
      <c r="F189" s="52">
        <v>11880.870692385901</v>
      </c>
      <c r="G189" s="52">
        <v>1260</v>
      </c>
      <c r="H189" s="52">
        <v>0</v>
      </c>
      <c r="I189" s="52">
        <v>1260</v>
      </c>
      <c r="J189" s="51">
        <v>1</v>
      </c>
      <c r="K189" s="54">
        <v>5000</v>
      </c>
      <c r="L189" s="51">
        <v>0</v>
      </c>
      <c r="M189" s="54">
        <v>0</v>
      </c>
      <c r="N189" s="53">
        <f t="shared" si="4"/>
        <v>5000</v>
      </c>
      <c r="O189" s="53">
        <f t="shared" si="5"/>
        <v>-5000</v>
      </c>
    </row>
    <row r="190" spans="1:15" x14ac:dyDescent="0.2">
      <c r="A190" s="51" t="s">
        <v>3567</v>
      </c>
      <c r="B190" s="51" t="s">
        <v>3568</v>
      </c>
      <c r="C190" s="51" t="s">
        <v>70</v>
      </c>
      <c r="D190" s="51" t="s">
        <v>2048</v>
      </c>
      <c r="E190" s="51" t="s">
        <v>2047</v>
      </c>
      <c r="F190" s="52">
        <v>30370.7693</v>
      </c>
      <c r="G190" s="52">
        <v>12890</v>
      </c>
      <c r="H190" s="52">
        <v>3340</v>
      </c>
      <c r="I190" s="52">
        <v>16230</v>
      </c>
      <c r="J190" s="51">
        <v>1</v>
      </c>
      <c r="K190" s="54">
        <v>5000</v>
      </c>
      <c r="L190" s="51">
        <v>0</v>
      </c>
      <c r="M190" s="54">
        <v>0</v>
      </c>
      <c r="N190" s="53">
        <f t="shared" si="4"/>
        <v>5000</v>
      </c>
      <c r="O190" s="53">
        <f t="shared" si="5"/>
        <v>-5000</v>
      </c>
    </row>
    <row r="191" spans="1:15" x14ac:dyDescent="0.2">
      <c r="A191" s="51" t="s">
        <v>3567</v>
      </c>
      <c r="B191" s="51" t="s">
        <v>3568</v>
      </c>
      <c r="C191" s="51" t="s">
        <v>64</v>
      </c>
      <c r="D191" s="51" t="s">
        <v>1973</v>
      </c>
      <c r="E191" s="51" t="s">
        <v>1972</v>
      </c>
      <c r="F191" s="52">
        <v>979.03443534358075</v>
      </c>
      <c r="G191" s="52">
        <v>4065</v>
      </c>
      <c r="H191" s="52">
        <v>0</v>
      </c>
      <c r="I191" s="52">
        <v>4065</v>
      </c>
      <c r="J191" s="51">
        <v>1</v>
      </c>
      <c r="K191" s="54">
        <v>5000</v>
      </c>
      <c r="L191" s="51">
        <v>0</v>
      </c>
      <c r="M191" s="54">
        <v>0</v>
      </c>
      <c r="N191" s="53">
        <f t="shared" si="4"/>
        <v>5000</v>
      </c>
      <c r="O191" s="53">
        <f t="shared" si="5"/>
        <v>-5000</v>
      </c>
    </row>
    <row r="192" spans="1:15" x14ac:dyDescent="0.2">
      <c r="A192" s="51" t="s">
        <v>3567</v>
      </c>
      <c r="B192" s="51" t="s">
        <v>3568</v>
      </c>
      <c r="C192" s="51" t="s">
        <v>84</v>
      </c>
      <c r="D192" s="51" t="s">
        <v>2114</v>
      </c>
      <c r="E192" s="51" t="s">
        <v>2113</v>
      </c>
      <c r="F192" s="52">
        <v>2511.0676837969472</v>
      </c>
      <c r="G192" s="52">
        <v>0</v>
      </c>
      <c r="H192" s="52">
        <v>100</v>
      </c>
      <c r="I192" s="52">
        <v>100</v>
      </c>
      <c r="J192" s="51">
        <v>0</v>
      </c>
      <c r="K192" s="54">
        <v>0</v>
      </c>
      <c r="L192" s="51">
        <v>1</v>
      </c>
      <c r="M192" s="54">
        <v>5000</v>
      </c>
      <c r="N192" s="53">
        <f t="shared" si="4"/>
        <v>-5000</v>
      </c>
      <c r="O192" s="53">
        <f t="shared" si="5"/>
        <v>5000</v>
      </c>
    </row>
    <row r="193" spans="1:15" x14ac:dyDescent="0.2">
      <c r="A193" s="51" t="s">
        <v>3567</v>
      </c>
      <c r="B193" s="51" t="s">
        <v>3568</v>
      </c>
      <c r="C193" s="51" t="s">
        <v>59</v>
      </c>
      <c r="D193" s="51" t="s">
        <v>1183</v>
      </c>
      <c r="E193" s="51" t="s">
        <v>1182</v>
      </c>
      <c r="F193" s="52">
        <v>1846.546</v>
      </c>
      <c r="G193" s="52">
        <v>16950</v>
      </c>
      <c r="H193" s="52">
        <v>12160</v>
      </c>
      <c r="I193" s="52">
        <v>29110</v>
      </c>
      <c r="J193" s="51">
        <v>1</v>
      </c>
      <c r="K193" s="54">
        <v>15000</v>
      </c>
      <c r="L193" s="51">
        <v>2</v>
      </c>
      <c r="M193" s="54">
        <v>33000</v>
      </c>
      <c r="N193" s="53">
        <f t="shared" si="4"/>
        <v>-18000</v>
      </c>
      <c r="O193" s="53">
        <f t="shared" si="5"/>
        <v>18000</v>
      </c>
    </row>
    <row r="194" spans="1:15" x14ac:dyDescent="0.2">
      <c r="A194" s="51" t="s">
        <v>3567</v>
      </c>
      <c r="B194" s="51" t="s">
        <v>3568</v>
      </c>
      <c r="C194" s="51" t="s">
        <v>78</v>
      </c>
      <c r="D194" s="51" t="s">
        <v>2364</v>
      </c>
      <c r="E194" s="51" t="s">
        <v>2363</v>
      </c>
      <c r="F194" s="52">
        <v>200.64952730528171</v>
      </c>
      <c r="G194" s="52">
        <v>7041</v>
      </c>
      <c r="H194" s="52">
        <v>0</v>
      </c>
      <c r="I194" s="52">
        <v>7041</v>
      </c>
      <c r="J194" s="51">
        <v>2</v>
      </c>
      <c r="K194" s="54">
        <v>5000</v>
      </c>
      <c r="L194" s="51">
        <v>1</v>
      </c>
      <c r="M194" s="54">
        <v>5000</v>
      </c>
      <c r="N194" s="53">
        <f t="shared" si="4"/>
        <v>0</v>
      </c>
      <c r="O194" s="53">
        <f t="shared" si="5"/>
        <v>0</v>
      </c>
    </row>
    <row r="195" spans="1:15" x14ac:dyDescent="0.2">
      <c r="A195" s="51" t="s">
        <v>3567</v>
      </c>
      <c r="B195" s="51" t="s">
        <v>3568</v>
      </c>
      <c r="C195" s="51" t="s">
        <v>79</v>
      </c>
      <c r="D195" s="51" t="s">
        <v>236</v>
      </c>
      <c r="E195" s="51" t="s">
        <v>235</v>
      </c>
      <c r="F195" s="52">
        <v>2.5983999999999998</v>
      </c>
      <c r="G195" s="52">
        <v>0</v>
      </c>
      <c r="H195" s="52">
        <v>0</v>
      </c>
      <c r="I195" s="52">
        <v>0</v>
      </c>
      <c r="J195" s="51">
        <v>0</v>
      </c>
      <c r="K195" s="54">
        <v>0</v>
      </c>
      <c r="L195" s="51">
        <v>0</v>
      </c>
      <c r="M195" s="54">
        <v>0</v>
      </c>
      <c r="N195" s="53">
        <f t="shared" ref="N195:N258" si="6">K195-M195</f>
        <v>0</v>
      </c>
      <c r="O195" s="53">
        <f t="shared" ref="O195:O258" si="7">M195-K195</f>
        <v>0</v>
      </c>
    </row>
    <row r="196" spans="1:15" x14ac:dyDescent="0.2">
      <c r="A196" s="51" t="s">
        <v>3567</v>
      </c>
      <c r="B196" s="51" t="s">
        <v>3568</v>
      </c>
      <c r="C196" s="51" t="s">
        <v>56</v>
      </c>
      <c r="D196" s="51" t="s">
        <v>565</v>
      </c>
      <c r="E196" s="51" t="s">
        <v>564</v>
      </c>
      <c r="F196" s="52">
        <v>57.518022181583277</v>
      </c>
      <c r="G196" s="52">
        <v>700</v>
      </c>
      <c r="H196" s="52">
        <v>1800</v>
      </c>
      <c r="I196" s="52">
        <v>2500</v>
      </c>
      <c r="J196" s="51">
        <v>0</v>
      </c>
      <c r="K196" s="54">
        <v>0</v>
      </c>
      <c r="L196" s="51">
        <v>2</v>
      </c>
      <c r="M196" s="54">
        <v>20000</v>
      </c>
      <c r="N196" s="53">
        <f t="shared" si="6"/>
        <v>-20000</v>
      </c>
      <c r="O196" s="53">
        <f t="shared" si="7"/>
        <v>20000</v>
      </c>
    </row>
    <row r="197" spans="1:15" x14ac:dyDescent="0.2">
      <c r="A197" s="51" t="s">
        <v>3567</v>
      </c>
      <c r="B197" s="51" t="s">
        <v>3568</v>
      </c>
      <c r="C197" s="51" t="s">
        <v>56</v>
      </c>
      <c r="D197" s="51" t="s">
        <v>1761</v>
      </c>
      <c r="E197" s="51" t="s">
        <v>1760</v>
      </c>
      <c r="F197" s="52">
        <v>15689.118761665321</v>
      </c>
      <c r="G197" s="52">
        <v>2070</v>
      </c>
      <c r="H197" s="52">
        <v>8460</v>
      </c>
      <c r="I197" s="52">
        <v>10530</v>
      </c>
      <c r="J197" s="51">
        <v>1</v>
      </c>
      <c r="K197" s="54">
        <v>5000</v>
      </c>
      <c r="L197" s="51">
        <v>0</v>
      </c>
      <c r="M197" s="54">
        <v>0</v>
      </c>
      <c r="N197" s="53">
        <f t="shared" si="6"/>
        <v>5000</v>
      </c>
      <c r="O197" s="53">
        <f t="shared" si="7"/>
        <v>-5000</v>
      </c>
    </row>
    <row r="198" spans="1:15" x14ac:dyDescent="0.2">
      <c r="A198" s="51" t="s">
        <v>3567</v>
      </c>
      <c r="B198" s="51" t="s">
        <v>3568</v>
      </c>
      <c r="C198" s="51" t="s">
        <v>71</v>
      </c>
      <c r="D198" s="51" t="s">
        <v>1498</v>
      </c>
      <c r="E198" s="51" t="s">
        <v>1497</v>
      </c>
      <c r="F198" s="52">
        <v>4649.1729500000001</v>
      </c>
      <c r="G198" s="52">
        <v>6100</v>
      </c>
      <c r="H198" s="52">
        <v>0</v>
      </c>
      <c r="I198" s="52">
        <v>6100</v>
      </c>
      <c r="J198" s="51">
        <v>1</v>
      </c>
      <c r="K198" s="54">
        <v>6000</v>
      </c>
      <c r="L198" s="51">
        <v>0</v>
      </c>
      <c r="M198" s="54">
        <v>0</v>
      </c>
      <c r="N198" s="53">
        <f t="shared" si="6"/>
        <v>6000</v>
      </c>
      <c r="O198" s="53">
        <f t="shared" si="7"/>
        <v>-6000</v>
      </c>
    </row>
    <row r="199" spans="1:15" x14ac:dyDescent="0.2">
      <c r="A199" s="51" t="s">
        <v>3567</v>
      </c>
      <c r="B199" s="51" t="s">
        <v>3568</v>
      </c>
      <c r="C199" s="51" t="s">
        <v>59</v>
      </c>
      <c r="D199" s="51" t="s">
        <v>3712</v>
      </c>
      <c r="E199" s="51" t="s">
        <v>3713</v>
      </c>
      <c r="F199" s="52">
        <v>3.8855769718332351</v>
      </c>
      <c r="G199" s="52">
        <v>0</v>
      </c>
      <c r="H199" s="52">
        <v>0</v>
      </c>
      <c r="I199" s="52">
        <v>0</v>
      </c>
      <c r="J199" s="51">
        <v>0</v>
      </c>
      <c r="K199" s="54">
        <v>0</v>
      </c>
      <c r="L199" s="51">
        <v>0</v>
      </c>
      <c r="M199" s="54">
        <v>0</v>
      </c>
      <c r="N199" s="53">
        <f t="shared" si="6"/>
        <v>0</v>
      </c>
      <c r="O199" s="53">
        <f t="shared" si="7"/>
        <v>0</v>
      </c>
    </row>
    <row r="200" spans="1:15" x14ac:dyDescent="0.2">
      <c r="A200" s="51" t="s">
        <v>3567</v>
      </c>
      <c r="B200" s="51" t="s">
        <v>3568</v>
      </c>
      <c r="C200" s="51" t="s">
        <v>59</v>
      </c>
      <c r="D200" s="51" t="s">
        <v>2015</v>
      </c>
      <c r="E200" s="51" t="s">
        <v>2014</v>
      </c>
      <c r="F200" s="52">
        <v>8597.2158999999992</v>
      </c>
      <c r="G200" s="52">
        <v>12300</v>
      </c>
      <c r="H200" s="52">
        <v>1500</v>
      </c>
      <c r="I200" s="52">
        <v>13800</v>
      </c>
      <c r="J200" s="51">
        <v>2</v>
      </c>
      <c r="K200" s="54">
        <v>18000</v>
      </c>
      <c r="L200" s="51">
        <v>0</v>
      </c>
      <c r="M200" s="54">
        <v>0</v>
      </c>
      <c r="N200" s="53">
        <f t="shared" si="6"/>
        <v>18000</v>
      </c>
      <c r="O200" s="53">
        <f t="shared" si="7"/>
        <v>-18000</v>
      </c>
    </row>
    <row r="201" spans="1:15" x14ac:dyDescent="0.2">
      <c r="A201" s="51" t="s">
        <v>3567</v>
      </c>
      <c r="B201" s="51" t="s">
        <v>3568</v>
      </c>
      <c r="C201" s="51" t="s">
        <v>75</v>
      </c>
      <c r="D201" s="51" t="s">
        <v>811</v>
      </c>
      <c r="E201" s="51" t="s">
        <v>810</v>
      </c>
      <c r="F201" s="52">
        <v>5736.1513999999997</v>
      </c>
      <c r="G201" s="52">
        <v>5710</v>
      </c>
      <c r="H201" s="52">
        <v>35140</v>
      </c>
      <c r="I201" s="52">
        <v>40850</v>
      </c>
      <c r="J201" s="51">
        <v>0</v>
      </c>
      <c r="K201" s="54">
        <v>0</v>
      </c>
      <c r="L201" s="51">
        <v>2</v>
      </c>
      <c r="M201" s="54">
        <v>80000</v>
      </c>
      <c r="N201" s="53">
        <f t="shared" si="6"/>
        <v>-80000</v>
      </c>
      <c r="O201" s="53">
        <f t="shared" si="7"/>
        <v>80000</v>
      </c>
    </row>
    <row r="202" spans="1:15" x14ac:dyDescent="0.2">
      <c r="A202" s="51" t="s">
        <v>3567</v>
      </c>
      <c r="B202" s="51" t="s">
        <v>3568</v>
      </c>
      <c r="C202" s="51" t="s">
        <v>74</v>
      </c>
      <c r="D202" s="51" t="s">
        <v>1138</v>
      </c>
      <c r="E202" s="51" t="s">
        <v>1137</v>
      </c>
      <c r="F202" s="52">
        <v>6677.6331</v>
      </c>
      <c r="G202" s="52">
        <v>100560</v>
      </c>
      <c r="H202" s="52">
        <v>6590</v>
      </c>
      <c r="I202" s="52">
        <v>107150</v>
      </c>
      <c r="J202" s="51">
        <v>2</v>
      </c>
      <c r="K202" s="54">
        <v>78000</v>
      </c>
      <c r="L202" s="51">
        <v>0</v>
      </c>
      <c r="M202" s="54">
        <v>0</v>
      </c>
      <c r="N202" s="53">
        <f t="shared" si="6"/>
        <v>78000</v>
      </c>
      <c r="O202" s="53">
        <f t="shared" si="7"/>
        <v>-78000</v>
      </c>
    </row>
    <row r="203" spans="1:15" x14ac:dyDescent="0.2">
      <c r="A203" s="51" t="s">
        <v>3567</v>
      </c>
      <c r="B203" s="51" t="s">
        <v>3568</v>
      </c>
      <c r="C203" s="51" t="s">
        <v>57</v>
      </c>
      <c r="D203" s="51" t="s">
        <v>970</v>
      </c>
      <c r="E203" s="51" t="s">
        <v>969</v>
      </c>
      <c r="F203" s="52">
        <v>3538.0767000000001</v>
      </c>
      <c r="G203" s="52">
        <v>5060</v>
      </c>
      <c r="H203" s="52">
        <v>5300</v>
      </c>
      <c r="I203" s="52">
        <v>10360</v>
      </c>
      <c r="J203" s="51">
        <v>0</v>
      </c>
      <c r="K203" s="54">
        <v>0</v>
      </c>
      <c r="L203" s="51">
        <v>2</v>
      </c>
      <c r="M203" s="54">
        <v>16000</v>
      </c>
      <c r="N203" s="53">
        <f t="shared" si="6"/>
        <v>-16000</v>
      </c>
      <c r="O203" s="53">
        <f t="shared" si="7"/>
        <v>16000</v>
      </c>
    </row>
    <row r="204" spans="1:15" x14ac:dyDescent="0.2">
      <c r="A204" s="51" t="s">
        <v>3567</v>
      </c>
      <c r="B204" s="51" t="s">
        <v>3568</v>
      </c>
      <c r="C204" s="51" t="s">
        <v>3630</v>
      </c>
      <c r="D204" s="51" t="s">
        <v>3737</v>
      </c>
      <c r="E204" s="51" t="s">
        <v>3738</v>
      </c>
      <c r="F204" s="52">
        <v>65.444150183900007</v>
      </c>
      <c r="G204" s="52">
        <v>0</v>
      </c>
      <c r="H204" s="52">
        <v>0</v>
      </c>
      <c r="I204" s="52">
        <v>0</v>
      </c>
      <c r="J204" s="51">
        <v>0</v>
      </c>
      <c r="K204" s="54">
        <v>0</v>
      </c>
      <c r="L204" s="51">
        <v>0</v>
      </c>
      <c r="M204" s="54">
        <v>0</v>
      </c>
      <c r="N204" s="53">
        <f t="shared" si="6"/>
        <v>0</v>
      </c>
      <c r="O204" s="53">
        <f t="shared" si="7"/>
        <v>0</v>
      </c>
    </row>
    <row r="205" spans="1:15" x14ac:dyDescent="0.2">
      <c r="A205" s="51" t="s">
        <v>3567</v>
      </c>
      <c r="B205" s="51" t="s">
        <v>3568</v>
      </c>
      <c r="C205" s="51" t="s">
        <v>74</v>
      </c>
      <c r="D205" s="51" t="s">
        <v>654</v>
      </c>
      <c r="E205" s="51" t="s">
        <v>653</v>
      </c>
      <c r="F205" s="52">
        <v>231.00227688877951</v>
      </c>
      <c r="G205" s="52">
        <v>4155</v>
      </c>
      <c r="H205" s="52">
        <v>0</v>
      </c>
      <c r="I205" s="52">
        <v>4155</v>
      </c>
      <c r="J205" s="51">
        <v>0</v>
      </c>
      <c r="K205" s="54">
        <v>0</v>
      </c>
      <c r="L205" s="51">
        <v>0</v>
      </c>
      <c r="M205" s="54">
        <v>0</v>
      </c>
      <c r="N205" s="53">
        <f t="shared" si="6"/>
        <v>0</v>
      </c>
      <c r="O205" s="53">
        <f t="shared" si="7"/>
        <v>0</v>
      </c>
    </row>
    <row r="206" spans="1:15" x14ac:dyDescent="0.2">
      <c r="A206" s="51" t="s">
        <v>3567</v>
      </c>
      <c r="B206" s="51" t="s">
        <v>3568</v>
      </c>
      <c r="C206" s="51" t="s">
        <v>75</v>
      </c>
      <c r="D206" s="51" t="s">
        <v>829</v>
      </c>
      <c r="E206" s="51" t="s">
        <v>828</v>
      </c>
      <c r="F206" s="52">
        <v>20595.5731642256</v>
      </c>
      <c r="G206" s="52">
        <v>3610</v>
      </c>
      <c r="H206" s="52">
        <v>11075</v>
      </c>
      <c r="I206" s="52">
        <v>14685</v>
      </c>
      <c r="J206" s="51">
        <v>1</v>
      </c>
      <c r="K206" s="54">
        <v>10000</v>
      </c>
      <c r="L206" s="51">
        <v>0</v>
      </c>
      <c r="M206" s="54">
        <v>0</v>
      </c>
      <c r="N206" s="53">
        <f t="shared" si="6"/>
        <v>10000</v>
      </c>
      <c r="O206" s="53">
        <f t="shared" si="7"/>
        <v>-10000</v>
      </c>
    </row>
    <row r="207" spans="1:15" x14ac:dyDescent="0.2">
      <c r="A207" s="51" t="s">
        <v>3567</v>
      </c>
      <c r="B207" s="51" t="s">
        <v>3568</v>
      </c>
      <c r="C207" s="51" t="s">
        <v>68</v>
      </c>
      <c r="D207" s="51" t="s">
        <v>3013</v>
      </c>
      <c r="E207" s="51" t="s">
        <v>3012</v>
      </c>
      <c r="F207" s="52">
        <v>834.16716202686291</v>
      </c>
      <c r="G207" s="52">
        <v>1750</v>
      </c>
      <c r="H207" s="52">
        <v>3885</v>
      </c>
      <c r="I207" s="52">
        <v>5635</v>
      </c>
      <c r="J207" s="51">
        <v>0</v>
      </c>
      <c r="K207" s="54">
        <v>0</v>
      </c>
      <c r="L207" s="51">
        <v>1</v>
      </c>
      <c r="M207" s="54">
        <v>5000</v>
      </c>
      <c r="N207" s="53">
        <f t="shared" si="6"/>
        <v>-5000</v>
      </c>
      <c r="O207" s="53">
        <f t="shared" si="7"/>
        <v>5000</v>
      </c>
    </row>
    <row r="208" spans="1:15" x14ac:dyDescent="0.2">
      <c r="A208" s="51" t="s">
        <v>3567</v>
      </c>
      <c r="B208" s="51" t="s">
        <v>3568</v>
      </c>
      <c r="C208" s="51" t="s">
        <v>70</v>
      </c>
      <c r="D208" s="51" t="s">
        <v>1858</v>
      </c>
      <c r="E208" s="51" t="s">
        <v>1857</v>
      </c>
      <c r="F208" s="52">
        <v>44796.148806914818</v>
      </c>
      <c r="G208" s="52">
        <v>168145</v>
      </c>
      <c r="H208" s="52">
        <v>20810</v>
      </c>
      <c r="I208" s="52">
        <v>188955</v>
      </c>
      <c r="J208" s="51">
        <v>3</v>
      </c>
      <c r="K208" s="54">
        <v>130000</v>
      </c>
      <c r="L208" s="51">
        <v>0</v>
      </c>
      <c r="M208" s="54">
        <v>0</v>
      </c>
      <c r="N208" s="53">
        <f t="shared" si="6"/>
        <v>130000</v>
      </c>
      <c r="O208" s="53">
        <f t="shared" si="7"/>
        <v>-130000</v>
      </c>
    </row>
    <row r="209" spans="1:15" x14ac:dyDescent="0.2">
      <c r="A209" s="51" t="s">
        <v>3567</v>
      </c>
      <c r="B209" s="51" t="s">
        <v>3568</v>
      </c>
      <c r="C209" s="51" t="s">
        <v>85</v>
      </c>
      <c r="D209" s="51" t="s">
        <v>325</v>
      </c>
      <c r="E209" s="51" t="s">
        <v>324</v>
      </c>
      <c r="F209" s="52">
        <v>11427.712299999999</v>
      </c>
      <c r="G209" s="52">
        <v>100</v>
      </c>
      <c r="H209" s="52">
        <v>31809</v>
      </c>
      <c r="I209" s="52">
        <v>31909</v>
      </c>
      <c r="J209" s="51">
        <v>0</v>
      </c>
      <c r="K209" s="54">
        <v>0</v>
      </c>
      <c r="L209" s="51">
        <v>3</v>
      </c>
      <c r="M209" s="54">
        <v>32000</v>
      </c>
      <c r="N209" s="53">
        <f t="shared" si="6"/>
        <v>-32000</v>
      </c>
      <c r="O209" s="53">
        <f t="shared" si="7"/>
        <v>32000</v>
      </c>
    </row>
    <row r="210" spans="1:15" x14ac:dyDescent="0.2">
      <c r="A210" s="51" t="s">
        <v>3567</v>
      </c>
      <c r="B210" s="51" t="s">
        <v>3568</v>
      </c>
      <c r="C210" s="51" t="s">
        <v>58</v>
      </c>
      <c r="D210" s="51" t="s">
        <v>2547</v>
      </c>
      <c r="E210" s="51" t="s">
        <v>2546</v>
      </c>
      <c r="F210" s="52">
        <v>76206.193585000001</v>
      </c>
      <c r="G210" s="52">
        <v>9340</v>
      </c>
      <c r="H210" s="52">
        <v>25570</v>
      </c>
      <c r="I210" s="52">
        <v>34910</v>
      </c>
      <c r="J210" s="51">
        <v>0</v>
      </c>
      <c r="K210" s="54">
        <v>0</v>
      </c>
      <c r="L210" s="51">
        <v>1</v>
      </c>
      <c r="M210" s="54">
        <v>5000</v>
      </c>
      <c r="N210" s="53">
        <f t="shared" si="6"/>
        <v>-5000</v>
      </c>
      <c r="O210" s="53">
        <f t="shared" si="7"/>
        <v>5000</v>
      </c>
    </row>
    <row r="211" spans="1:15" x14ac:dyDescent="0.2">
      <c r="A211" s="51" t="s">
        <v>3567</v>
      </c>
      <c r="B211" s="51" t="s">
        <v>3568</v>
      </c>
      <c r="C211" s="51" t="s">
        <v>3666</v>
      </c>
      <c r="D211" s="51" t="s">
        <v>3667</v>
      </c>
      <c r="E211" s="51" t="s">
        <v>3668</v>
      </c>
      <c r="F211" s="52">
        <v>49.2607696858989</v>
      </c>
      <c r="G211" s="52">
        <v>0</v>
      </c>
      <c r="H211" s="52">
        <v>0</v>
      </c>
      <c r="I211" s="52">
        <v>0</v>
      </c>
      <c r="J211" s="51">
        <v>0</v>
      </c>
      <c r="K211" s="54">
        <v>0</v>
      </c>
      <c r="L211" s="51">
        <v>0</v>
      </c>
      <c r="M211" s="54">
        <v>0</v>
      </c>
      <c r="N211" s="53">
        <f t="shared" si="6"/>
        <v>0</v>
      </c>
      <c r="O211" s="53">
        <f t="shared" si="7"/>
        <v>0</v>
      </c>
    </row>
    <row r="212" spans="1:15" x14ac:dyDescent="0.2">
      <c r="A212" s="51" t="s">
        <v>3567</v>
      </c>
      <c r="B212" s="51" t="s">
        <v>3568</v>
      </c>
      <c r="C212" s="51" t="s">
        <v>81</v>
      </c>
      <c r="D212" s="51" t="s">
        <v>138</v>
      </c>
      <c r="E212" s="51" t="s">
        <v>137</v>
      </c>
      <c r="F212" s="52">
        <v>12314.260840999999</v>
      </c>
      <c r="G212" s="52">
        <v>0</v>
      </c>
      <c r="H212" s="52">
        <v>7920</v>
      </c>
      <c r="I212" s="52">
        <v>7920</v>
      </c>
      <c r="J212" s="51">
        <v>0</v>
      </c>
      <c r="K212" s="54">
        <v>0</v>
      </c>
      <c r="L212" s="51">
        <v>1</v>
      </c>
      <c r="M212" s="54">
        <v>5000</v>
      </c>
      <c r="N212" s="53">
        <f t="shared" si="6"/>
        <v>-5000</v>
      </c>
      <c r="O212" s="53">
        <f t="shared" si="7"/>
        <v>5000</v>
      </c>
    </row>
    <row r="213" spans="1:15" x14ac:dyDescent="0.2">
      <c r="A213" s="51" t="s">
        <v>3567</v>
      </c>
      <c r="B213" s="51" t="s">
        <v>3568</v>
      </c>
      <c r="C213" s="51" t="s">
        <v>65</v>
      </c>
      <c r="D213" s="51" t="s">
        <v>160</v>
      </c>
      <c r="E213" s="51" t="s">
        <v>159</v>
      </c>
      <c r="F213" s="52">
        <v>29918.1927</v>
      </c>
      <c r="G213" s="52">
        <v>710</v>
      </c>
      <c r="H213" s="52">
        <v>4080</v>
      </c>
      <c r="I213" s="52">
        <v>4790</v>
      </c>
      <c r="J213" s="51">
        <v>1</v>
      </c>
      <c r="K213" s="54">
        <v>5000</v>
      </c>
      <c r="L213" s="51">
        <v>0</v>
      </c>
      <c r="M213" s="54">
        <v>0</v>
      </c>
      <c r="N213" s="53">
        <f t="shared" si="6"/>
        <v>5000</v>
      </c>
      <c r="O213" s="53">
        <f t="shared" si="7"/>
        <v>-5000</v>
      </c>
    </row>
    <row r="214" spans="1:15" x14ac:dyDescent="0.2">
      <c r="A214" s="51" t="s">
        <v>3567</v>
      </c>
      <c r="B214" s="51" t="s">
        <v>3568</v>
      </c>
      <c r="C214" s="51" t="s">
        <v>76</v>
      </c>
      <c r="D214" s="51" t="s">
        <v>768</v>
      </c>
      <c r="E214" s="51" t="s">
        <v>767</v>
      </c>
      <c r="F214" s="52">
        <v>13470.373100000001</v>
      </c>
      <c r="G214" s="52">
        <v>300</v>
      </c>
      <c r="H214" s="52">
        <v>0</v>
      </c>
      <c r="I214" s="52">
        <v>300</v>
      </c>
      <c r="J214" s="51">
        <v>1</v>
      </c>
      <c r="K214" s="54">
        <v>5000</v>
      </c>
      <c r="L214" s="51">
        <v>1</v>
      </c>
      <c r="M214" s="54">
        <v>10000</v>
      </c>
      <c r="N214" s="53">
        <f t="shared" si="6"/>
        <v>-5000</v>
      </c>
      <c r="O214" s="53">
        <f t="shared" si="7"/>
        <v>5000</v>
      </c>
    </row>
    <row r="215" spans="1:15" x14ac:dyDescent="0.2">
      <c r="A215" s="51" t="s">
        <v>3567</v>
      </c>
      <c r="B215" s="51" t="s">
        <v>3568</v>
      </c>
      <c r="C215" s="51" t="s">
        <v>3580</v>
      </c>
      <c r="D215" s="51" t="s">
        <v>3641</v>
      </c>
      <c r="E215" s="51" t="s">
        <v>3642</v>
      </c>
      <c r="F215" s="52">
        <v>4.0809252195396928</v>
      </c>
      <c r="G215" s="52">
        <v>0</v>
      </c>
      <c r="H215" s="52">
        <v>0</v>
      </c>
      <c r="I215" s="52">
        <v>0</v>
      </c>
      <c r="J215" s="51">
        <v>0</v>
      </c>
      <c r="K215" s="54">
        <v>0</v>
      </c>
      <c r="L215" s="51">
        <v>0</v>
      </c>
      <c r="M215" s="54">
        <v>0</v>
      </c>
      <c r="N215" s="53">
        <f t="shared" si="6"/>
        <v>0</v>
      </c>
      <c r="O215" s="53">
        <f t="shared" si="7"/>
        <v>0</v>
      </c>
    </row>
    <row r="216" spans="1:15" x14ac:dyDescent="0.2">
      <c r="A216" s="51" t="s">
        <v>3567</v>
      </c>
      <c r="B216" s="51" t="s">
        <v>3568</v>
      </c>
      <c r="C216" s="51" t="s">
        <v>93</v>
      </c>
      <c r="D216" s="51" t="s">
        <v>3115</v>
      </c>
      <c r="E216" s="51" t="s">
        <v>3114</v>
      </c>
      <c r="F216" s="52">
        <v>3209.714710573171</v>
      </c>
      <c r="G216" s="52">
        <v>11240</v>
      </c>
      <c r="H216" s="52">
        <v>3200</v>
      </c>
      <c r="I216" s="52">
        <v>14440</v>
      </c>
      <c r="J216" s="51">
        <v>0</v>
      </c>
      <c r="K216" s="54">
        <v>0</v>
      </c>
      <c r="L216" s="51">
        <v>1</v>
      </c>
      <c r="M216" s="54">
        <v>5000</v>
      </c>
      <c r="N216" s="53">
        <f t="shared" si="6"/>
        <v>-5000</v>
      </c>
      <c r="O216" s="53">
        <f t="shared" si="7"/>
        <v>5000</v>
      </c>
    </row>
    <row r="217" spans="1:15" x14ac:dyDescent="0.2">
      <c r="A217" s="51" t="s">
        <v>3567</v>
      </c>
      <c r="B217" s="51" t="s">
        <v>3568</v>
      </c>
      <c r="C217" s="51" t="s">
        <v>3684</v>
      </c>
      <c r="D217" s="51" t="s">
        <v>3685</v>
      </c>
      <c r="E217" s="51" t="s">
        <v>3686</v>
      </c>
      <c r="F217" s="52">
        <v>20.636900001499999</v>
      </c>
      <c r="G217" s="52">
        <v>0</v>
      </c>
      <c r="H217" s="52">
        <v>0</v>
      </c>
      <c r="I217" s="52">
        <v>0</v>
      </c>
      <c r="J217" s="51">
        <v>0</v>
      </c>
      <c r="K217" s="54">
        <v>0</v>
      </c>
      <c r="L217" s="51">
        <v>0</v>
      </c>
      <c r="M217" s="54">
        <v>0</v>
      </c>
      <c r="N217" s="53">
        <f t="shared" si="6"/>
        <v>0</v>
      </c>
      <c r="O217" s="53">
        <f t="shared" si="7"/>
        <v>0</v>
      </c>
    </row>
    <row r="218" spans="1:15" x14ac:dyDescent="0.2">
      <c r="A218" s="51" t="s">
        <v>3567</v>
      </c>
      <c r="B218" s="51" t="s">
        <v>3568</v>
      </c>
      <c r="C218" s="51" t="s">
        <v>76</v>
      </c>
      <c r="D218" s="51" t="s">
        <v>3402</v>
      </c>
      <c r="E218" s="51" t="s">
        <v>3401</v>
      </c>
      <c r="F218" s="52">
        <v>1915.205733975763</v>
      </c>
      <c r="G218" s="52">
        <v>500</v>
      </c>
      <c r="H218" s="52">
        <v>7820</v>
      </c>
      <c r="I218" s="52">
        <v>8320</v>
      </c>
      <c r="J218" s="51">
        <v>0</v>
      </c>
      <c r="K218" s="54">
        <v>0</v>
      </c>
      <c r="L218" s="51">
        <v>1</v>
      </c>
      <c r="M218" s="54">
        <v>15000</v>
      </c>
      <c r="N218" s="53">
        <f t="shared" si="6"/>
        <v>-15000</v>
      </c>
      <c r="O218" s="53">
        <f t="shared" si="7"/>
        <v>15000</v>
      </c>
    </row>
    <row r="219" spans="1:15" x14ac:dyDescent="0.2">
      <c r="A219" s="51" t="s">
        <v>3567</v>
      </c>
      <c r="B219" s="51" t="s">
        <v>3568</v>
      </c>
      <c r="C219" s="51" t="s">
        <v>70</v>
      </c>
      <c r="D219" s="51" t="s">
        <v>3664</v>
      </c>
      <c r="E219" s="51" t="s">
        <v>3665</v>
      </c>
      <c r="F219" s="52">
        <v>1.44295</v>
      </c>
      <c r="G219" s="52">
        <v>0</v>
      </c>
      <c r="H219" s="52">
        <v>0</v>
      </c>
      <c r="I219" s="52">
        <v>0</v>
      </c>
      <c r="J219" s="51">
        <v>0</v>
      </c>
      <c r="K219" s="54">
        <v>0</v>
      </c>
      <c r="L219" s="51">
        <v>0</v>
      </c>
      <c r="M219" s="54">
        <v>0</v>
      </c>
      <c r="N219" s="53">
        <f t="shared" si="6"/>
        <v>0</v>
      </c>
      <c r="O219" s="53">
        <f t="shared" si="7"/>
        <v>0</v>
      </c>
    </row>
    <row r="220" spans="1:15" x14ac:dyDescent="0.2">
      <c r="A220" s="51" t="s">
        <v>3567</v>
      </c>
      <c r="B220" s="51" t="s">
        <v>3568</v>
      </c>
      <c r="C220" s="51" t="s">
        <v>3619</v>
      </c>
      <c r="D220" s="51" t="s">
        <v>3691</v>
      </c>
      <c r="E220" s="51" t="s">
        <v>3692</v>
      </c>
      <c r="F220" s="52">
        <v>45.547256183000002</v>
      </c>
      <c r="G220" s="52">
        <v>0</v>
      </c>
      <c r="H220" s="52">
        <v>0</v>
      </c>
      <c r="I220" s="52">
        <v>0</v>
      </c>
      <c r="J220" s="51">
        <v>0</v>
      </c>
      <c r="K220" s="54">
        <v>0</v>
      </c>
      <c r="L220" s="51">
        <v>0</v>
      </c>
      <c r="M220" s="54">
        <v>0</v>
      </c>
      <c r="N220" s="53">
        <f t="shared" si="6"/>
        <v>0</v>
      </c>
      <c r="O220" s="53">
        <f t="shared" si="7"/>
        <v>0</v>
      </c>
    </row>
    <row r="221" spans="1:15" x14ac:dyDescent="0.2">
      <c r="A221" s="51" t="s">
        <v>3567</v>
      </c>
      <c r="B221" s="51" t="s">
        <v>3568</v>
      </c>
      <c r="C221" s="51" t="s">
        <v>67</v>
      </c>
      <c r="D221" s="51" t="s">
        <v>3687</v>
      </c>
      <c r="E221" s="51" t="s">
        <v>3688</v>
      </c>
      <c r="F221" s="52">
        <v>11.2827</v>
      </c>
      <c r="G221" s="52">
        <v>0</v>
      </c>
      <c r="H221" s="52">
        <v>0</v>
      </c>
      <c r="I221" s="52">
        <v>0</v>
      </c>
      <c r="J221" s="51">
        <v>0</v>
      </c>
      <c r="K221" s="54">
        <v>0</v>
      </c>
      <c r="L221" s="51">
        <v>0</v>
      </c>
      <c r="M221" s="54">
        <v>0</v>
      </c>
      <c r="N221" s="53">
        <f t="shared" si="6"/>
        <v>0</v>
      </c>
      <c r="O221" s="53">
        <f t="shared" si="7"/>
        <v>0</v>
      </c>
    </row>
    <row r="222" spans="1:15" x14ac:dyDescent="0.2">
      <c r="A222" s="51" t="s">
        <v>3567</v>
      </c>
      <c r="B222" s="51" t="s">
        <v>3568</v>
      </c>
      <c r="C222" s="51" t="s">
        <v>93</v>
      </c>
      <c r="D222" s="51" t="s">
        <v>849</v>
      </c>
      <c r="E222" s="51" t="s">
        <v>848</v>
      </c>
      <c r="F222" s="52">
        <v>25811.516685458431</v>
      </c>
      <c r="G222" s="52">
        <v>21290</v>
      </c>
      <c r="H222" s="52">
        <v>5130</v>
      </c>
      <c r="I222" s="52">
        <v>26420</v>
      </c>
      <c r="J222" s="51">
        <v>3</v>
      </c>
      <c r="K222" s="54">
        <v>40000</v>
      </c>
      <c r="L222" s="51">
        <v>0</v>
      </c>
      <c r="M222" s="54">
        <v>0</v>
      </c>
      <c r="N222" s="53">
        <f t="shared" si="6"/>
        <v>40000</v>
      </c>
      <c r="O222" s="53">
        <f t="shared" si="7"/>
        <v>-40000</v>
      </c>
    </row>
    <row r="223" spans="1:15" x14ac:dyDescent="0.2">
      <c r="A223" s="51" t="s">
        <v>3567</v>
      </c>
      <c r="B223" s="51" t="s">
        <v>3568</v>
      </c>
      <c r="C223" s="51" t="s">
        <v>87</v>
      </c>
      <c r="D223" s="51" t="s">
        <v>281</v>
      </c>
      <c r="E223" s="51" t="s">
        <v>280</v>
      </c>
      <c r="F223" s="52">
        <v>9956.4076000000005</v>
      </c>
      <c r="G223" s="52">
        <v>200</v>
      </c>
      <c r="H223" s="52">
        <v>39910</v>
      </c>
      <c r="I223" s="52">
        <v>40110</v>
      </c>
      <c r="J223" s="51">
        <v>0</v>
      </c>
      <c r="K223" s="54">
        <v>0</v>
      </c>
      <c r="L223" s="51">
        <v>1</v>
      </c>
      <c r="M223" s="54">
        <v>30000</v>
      </c>
      <c r="N223" s="53">
        <f t="shared" si="6"/>
        <v>-30000</v>
      </c>
      <c r="O223" s="53">
        <f t="shared" si="7"/>
        <v>30000</v>
      </c>
    </row>
    <row r="224" spans="1:15" x14ac:dyDescent="0.2">
      <c r="A224" s="51" t="s">
        <v>3567</v>
      </c>
      <c r="B224" s="51" t="s">
        <v>3568</v>
      </c>
      <c r="C224" s="51" t="s">
        <v>72</v>
      </c>
      <c r="D224" s="51" t="s">
        <v>994</v>
      </c>
      <c r="E224" s="51" t="s">
        <v>993</v>
      </c>
      <c r="F224" s="52">
        <v>2786.8141448034498</v>
      </c>
      <c r="G224" s="52">
        <v>0</v>
      </c>
      <c r="H224" s="52">
        <v>5358</v>
      </c>
      <c r="I224" s="52">
        <v>5358</v>
      </c>
      <c r="J224" s="51">
        <v>0</v>
      </c>
      <c r="K224" s="54">
        <v>0</v>
      </c>
      <c r="L224" s="51">
        <v>1</v>
      </c>
      <c r="M224" s="54">
        <v>5000</v>
      </c>
      <c r="N224" s="53">
        <f t="shared" si="6"/>
        <v>-5000</v>
      </c>
      <c r="O224" s="53">
        <f t="shared" si="7"/>
        <v>5000</v>
      </c>
    </row>
    <row r="225" spans="1:15" x14ac:dyDescent="0.2">
      <c r="A225" s="51" t="s">
        <v>3567</v>
      </c>
      <c r="B225" s="51" t="s">
        <v>3568</v>
      </c>
      <c r="C225" s="51" t="s">
        <v>66</v>
      </c>
      <c r="D225" s="51" t="s">
        <v>2282</v>
      </c>
      <c r="E225" s="51" t="s">
        <v>2281</v>
      </c>
      <c r="F225" s="52">
        <v>33257.606004388414</v>
      </c>
      <c r="G225" s="52">
        <v>19650</v>
      </c>
      <c r="H225" s="52">
        <v>38410</v>
      </c>
      <c r="I225" s="52">
        <v>58060</v>
      </c>
      <c r="J225" s="51">
        <v>2</v>
      </c>
      <c r="K225" s="54">
        <v>14000</v>
      </c>
      <c r="L225" s="51">
        <v>0</v>
      </c>
      <c r="M225" s="54">
        <v>0</v>
      </c>
      <c r="N225" s="53">
        <f t="shared" si="6"/>
        <v>14000</v>
      </c>
      <c r="O225" s="53">
        <f t="shared" si="7"/>
        <v>-14000</v>
      </c>
    </row>
    <row r="226" spans="1:15" x14ac:dyDescent="0.2">
      <c r="A226" s="51" t="s">
        <v>3567</v>
      </c>
      <c r="B226" s="51" t="s">
        <v>3568</v>
      </c>
      <c r="C226" s="51" t="s">
        <v>3607</v>
      </c>
      <c r="D226" s="51" t="s">
        <v>3731</v>
      </c>
      <c r="E226" s="51" t="s">
        <v>3732</v>
      </c>
      <c r="F226" s="52">
        <v>3.4112600562984552</v>
      </c>
      <c r="G226" s="52">
        <v>0</v>
      </c>
      <c r="H226" s="52">
        <v>0</v>
      </c>
      <c r="I226" s="52">
        <v>0</v>
      </c>
      <c r="J226" s="51">
        <v>0</v>
      </c>
      <c r="K226" s="54">
        <v>0</v>
      </c>
      <c r="L226" s="51">
        <v>0</v>
      </c>
      <c r="M226" s="54">
        <v>0</v>
      </c>
      <c r="N226" s="53">
        <f t="shared" si="6"/>
        <v>0</v>
      </c>
      <c r="O226" s="53">
        <f t="shared" si="7"/>
        <v>0</v>
      </c>
    </row>
    <row r="227" spans="1:15" x14ac:dyDescent="0.2">
      <c r="A227" s="51" t="s">
        <v>3567</v>
      </c>
      <c r="B227" s="51" t="s">
        <v>3568</v>
      </c>
      <c r="C227" s="51" t="s">
        <v>76</v>
      </c>
      <c r="D227" s="51" t="s">
        <v>1424</v>
      </c>
      <c r="E227" s="51" t="s">
        <v>1423</v>
      </c>
      <c r="F227" s="52">
        <v>39512.221553138457</v>
      </c>
      <c r="G227" s="52">
        <v>1410</v>
      </c>
      <c r="H227" s="52">
        <v>16050</v>
      </c>
      <c r="I227" s="52">
        <v>17460</v>
      </c>
      <c r="J227" s="51">
        <v>0</v>
      </c>
      <c r="K227" s="54">
        <v>0</v>
      </c>
      <c r="L227" s="51">
        <v>1</v>
      </c>
      <c r="M227" s="54">
        <v>40000</v>
      </c>
      <c r="N227" s="53">
        <f t="shared" si="6"/>
        <v>-40000</v>
      </c>
      <c r="O227" s="53">
        <f t="shared" si="7"/>
        <v>40000</v>
      </c>
    </row>
    <row r="228" spans="1:15" x14ac:dyDescent="0.2">
      <c r="A228" s="51" t="s">
        <v>3567</v>
      </c>
      <c r="B228" s="51" t="s">
        <v>3568</v>
      </c>
      <c r="C228" s="51" t="s">
        <v>3619</v>
      </c>
      <c r="D228" s="51" t="s">
        <v>3741</v>
      </c>
      <c r="E228" s="51" t="s">
        <v>3742</v>
      </c>
      <c r="F228" s="52">
        <v>18.836200000000002</v>
      </c>
      <c r="G228" s="52">
        <v>0</v>
      </c>
      <c r="H228" s="52">
        <v>0</v>
      </c>
      <c r="I228" s="52">
        <v>0</v>
      </c>
      <c r="J228" s="51">
        <v>0</v>
      </c>
      <c r="K228" s="54">
        <v>0</v>
      </c>
      <c r="L228" s="51">
        <v>0</v>
      </c>
      <c r="M228" s="54">
        <v>0</v>
      </c>
      <c r="N228" s="53">
        <f t="shared" si="6"/>
        <v>0</v>
      </c>
      <c r="O228" s="53">
        <f t="shared" si="7"/>
        <v>0</v>
      </c>
    </row>
    <row r="229" spans="1:15" x14ac:dyDescent="0.2">
      <c r="A229" s="51" t="s">
        <v>3567</v>
      </c>
      <c r="B229" s="51" t="s">
        <v>3568</v>
      </c>
      <c r="C229" s="51" t="s">
        <v>65</v>
      </c>
      <c r="D229" s="51" t="s">
        <v>204</v>
      </c>
      <c r="E229" s="51" t="s">
        <v>203</v>
      </c>
      <c r="F229" s="52">
        <v>1583.4702966254749</v>
      </c>
      <c r="G229" s="52">
        <v>6010</v>
      </c>
      <c r="H229" s="52">
        <v>1500</v>
      </c>
      <c r="I229" s="52">
        <v>7510</v>
      </c>
      <c r="J229" s="51">
        <v>1</v>
      </c>
      <c r="K229" s="54">
        <v>5000</v>
      </c>
      <c r="L229" s="51">
        <v>0</v>
      </c>
      <c r="M229" s="54">
        <v>0</v>
      </c>
      <c r="N229" s="53">
        <f t="shared" si="6"/>
        <v>5000</v>
      </c>
      <c r="O229" s="53">
        <f t="shared" si="7"/>
        <v>-5000</v>
      </c>
    </row>
    <row r="230" spans="1:15" x14ac:dyDescent="0.2">
      <c r="A230" s="51" t="s">
        <v>3567</v>
      </c>
      <c r="B230" s="51" t="s">
        <v>3568</v>
      </c>
      <c r="C230" s="51" t="s">
        <v>58</v>
      </c>
      <c r="D230" s="51" t="s">
        <v>406</v>
      </c>
      <c r="E230" s="51" t="s">
        <v>405</v>
      </c>
      <c r="F230" s="52">
        <v>4154.1369434783001</v>
      </c>
      <c r="G230" s="52">
        <v>7742</v>
      </c>
      <c r="H230" s="52">
        <v>35230</v>
      </c>
      <c r="I230" s="52">
        <v>42972</v>
      </c>
      <c r="J230" s="51">
        <v>0</v>
      </c>
      <c r="K230" s="54">
        <v>0</v>
      </c>
      <c r="L230" s="51">
        <v>3</v>
      </c>
      <c r="M230" s="54">
        <v>30000</v>
      </c>
      <c r="N230" s="53">
        <f t="shared" si="6"/>
        <v>-30000</v>
      </c>
      <c r="O230" s="53">
        <f t="shared" si="7"/>
        <v>30000</v>
      </c>
    </row>
    <row r="231" spans="1:15" x14ac:dyDescent="0.2">
      <c r="A231" s="51" t="s">
        <v>3567</v>
      </c>
      <c r="B231" s="51" t="s">
        <v>3568</v>
      </c>
      <c r="C231" s="51" t="s">
        <v>80</v>
      </c>
      <c r="D231" s="51" t="s">
        <v>1484</v>
      </c>
      <c r="E231" s="51" t="s">
        <v>1483</v>
      </c>
      <c r="F231" s="52">
        <v>579.9067</v>
      </c>
      <c r="G231" s="52">
        <v>7330</v>
      </c>
      <c r="H231" s="52">
        <v>4230</v>
      </c>
      <c r="I231" s="52">
        <v>11560</v>
      </c>
      <c r="J231" s="51">
        <v>0</v>
      </c>
      <c r="K231" s="54">
        <v>0</v>
      </c>
      <c r="L231" s="51">
        <v>1</v>
      </c>
      <c r="M231" s="54">
        <v>5000</v>
      </c>
      <c r="N231" s="53">
        <f t="shared" si="6"/>
        <v>-5000</v>
      </c>
      <c r="O231" s="53">
        <f t="shared" si="7"/>
        <v>5000</v>
      </c>
    </row>
    <row r="232" spans="1:15" x14ac:dyDescent="0.2">
      <c r="A232" s="51" t="s">
        <v>3567</v>
      </c>
      <c r="B232" s="51" t="s">
        <v>3568</v>
      </c>
      <c r="C232" s="51" t="s">
        <v>78</v>
      </c>
      <c r="D232" s="51" t="s">
        <v>992</v>
      </c>
      <c r="E232" s="51" t="s">
        <v>991</v>
      </c>
      <c r="F232" s="52">
        <v>52.372399999999999</v>
      </c>
      <c r="G232" s="52">
        <v>0</v>
      </c>
      <c r="H232" s="52">
        <v>0</v>
      </c>
      <c r="I232" s="52">
        <v>0</v>
      </c>
      <c r="J232" s="51">
        <v>0</v>
      </c>
      <c r="K232" s="54">
        <v>0</v>
      </c>
      <c r="L232" s="51">
        <v>2</v>
      </c>
      <c r="M232" s="54">
        <v>4000</v>
      </c>
      <c r="N232" s="53">
        <f t="shared" si="6"/>
        <v>-4000</v>
      </c>
      <c r="O232" s="53">
        <f t="shared" si="7"/>
        <v>4000</v>
      </c>
    </row>
    <row r="233" spans="1:15" x14ac:dyDescent="0.2">
      <c r="A233" s="51" t="s">
        <v>3567</v>
      </c>
      <c r="B233" s="51" t="s">
        <v>3568</v>
      </c>
      <c r="C233" s="51" t="s">
        <v>74</v>
      </c>
      <c r="D233" s="51" t="s">
        <v>444</v>
      </c>
      <c r="E233" s="51" t="s">
        <v>443</v>
      </c>
      <c r="F233" s="52">
        <v>17.582699999999999</v>
      </c>
      <c r="G233" s="52">
        <v>0</v>
      </c>
      <c r="H233" s="52">
        <v>0</v>
      </c>
      <c r="I233" s="52">
        <v>0</v>
      </c>
      <c r="J233" s="51">
        <v>0</v>
      </c>
      <c r="K233" s="54">
        <v>0</v>
      </c>
      <c r="L233" s="51">
        <v>0</v>
      </c>
      <c r="M233" s="54">
        <v>0</v>
      </c>
      <c r="N233" s="53">
        <f t="shared" si="6"/>
        <v>0</v>
      </c>
      <c r="O233" s="53">
        <f t="shared" si="7"/>
        <v>0</v>
      </c>
    </row>
    <row r="234" spans="1:15" x14ac:dyDescent="0.2">
      <c r="A234" s="51" t="s">
        <v>3567</v>
      </c>
      <c r="B234" s="51" t="s">
        <v>3568</v>
      </c>
      <c r="C234" s="51" t="s">
        <v>93</v>
      </c>
      <c r="D234" s="51" t="s">
        <v>2096</v>
      </c>
      <c r="E234" s="51" t="s">
        <v>2095</v>
      </c>
      <c r="F234" s="52">
        <v>11422.547508695699</v>
      </c>
      <c r="G234" s="52">
        <v>6910</v>
      </c>
      <c r="H234" s="52">
        <v>7970</v>
      </c>
      <c r="I234" s="52">
        <v>14880</v>
      </c>
      <c r="J234" s="51">
        <v>1</v>
      </c>
      <c r="K234" s="54">
        <v>6000</v>
      </c>
      <c r="L234" s="51">
        <v>0</v>
      </c>
      <c r="M234" s="54">
        <v>0</v>
      </c>
      <c r="N234" s="53">
        <f t="shared" si="6"/>
        <v>6000</v>
      </c>
      <c r="O234" s="53">
        <f t="shared" si="7"/>
        <v>-6000</v>
      </c>
    </row>
    <row r="235" spans="1:15" x14ac:dyDescent="0.2">
      <c r="A235" s="51" t="s">
        <v>3567</v>
      </c>
      <c r="B235" s="51" t="s">
        <v>3568</v>
      </c>
      <c r="C235" s="51" t="s">
        <v>3650</v>
      </c>
      <c r="D235" s="51" t="s">
        <v>3729</v>
      </c>
      <c r="E235" s="51" t="s">
        <v>3730</v>
      </c>
      <c r="F235" s="52">
        <v>0.80979999999999996</v>
      </c>
      <c r="G235" s="52">
        <v>0</v>
      </c>
      <c r="H235" s="52">
        <v>0</v>
      </c>
      <c r="I235" s="52">
        <v>0</v>
      </c>
      <c r="J235" s="51">
        <v>0</v>
      </c>
      <c r="K235" s="54">
        <v>0</v>
      </c>
      <c r="L235" s="51">
        <v>0</v>
      </c>
      <c r="M235" s="54">
        <v>0</v>
      </c>
      <c r="N235" s="53">
        <f t="shared" si="6"/>
        <v>0</v>
      </c>
      <c r="O235" s="53">
        <f t="shared" si="7"/>
        <v>0</v>
      </c>
    </row>
    <row r="236" spans="1:15" x14ac:dyDescent="0.2">
      <c r="A236" s="51" t="s">
        <v>3567</v>
      </c>
      <c r="B236" s="51" t="s">
        <v>3568</v>
      </c>
      <c r="C236" s="51" t="s">
        <v>67</v>
      </c>
      <c r="D236" s="51" t="s">
        <v>2244</v>
      </c>
      <c r="E236" s="51" t="s">
        <v>2243</v>
      </c>
      <c r="F236" s="52">
        <v>10822.17066005089</v>
      </c>
      <c r="G236" s="52">
        <v>0</v>
      </c>
      <c r="H236" s="52">
        <v>0</v>
      </c>
      <c r="I236" s="52">
        <v>0</v>
      </c>
      <c r="J236" s="51">
        <v>1</v>
      </c>
      <c r="K236" s="54">
        <v>5000</v>
      </c>
      <c r="L236" s="51">
        <v>0</v>
      </c>
      <c r="M236" s="54">
        <v>0</v>
      </c>
      <c r="N236" s="53">
        <f t="shared" si="6"/>
        <v>5000</v>
      </c>
      <c r="O236" s="53">
        <f t="shared" si="7"/>
        <v>-5000</v>
      </c>
    </row>
    <row r="237" spans="1:15" x14ac:dyDescent="0.2">
      <c r="A237" s="51" t="s">
        <v>3567</v>
      </c>
      <c r="B237" s="51" t="s">
        <v>3568</v>
      </c>
      <c r="C237" s="51" t="s">
        <v>59</v>
      </c>
      <c r="D237" s="51" t="s">
        <v>1887</v>
      </c>
      <c r="E237" s="51" t="s">
        <v>1886</v>
      </c>
      <c r="F237" s="52">
        <v>6437.1297596386057</v>
      </c>
      <c r="G237" s="52">
        <v>4250</v>
      </c>
      <c r="H237" s="52">
        <v>5400</v>
      </c>
      <c r="I237" s="52">
        <v>9650</v>
      </c>
      <c r="J237" s="51">
        <v>1</v>
      </c>
      <c r="K237" s="54">
        <v>5000</v>
      </c>
      <c r="L237" s="51">
        <v>0</v>
      </c>
      <c r="M237" s="54">
        <v>0</v>
      </c>
      <c r="N237" s="53">
        <f t="shared" si="6"/>
        <v>5000</v>
      </c>
      <c r="O237" s="53">
        <f t="shared" si="7"/>
        <v>-5000</v>
      </c>
    </row>
    <row r="238" spans="1:15" x14ac:dyDescent="0.2">
      <c r="A238" s="51" t="s">
        <v>3567</v>
      </c>
      <c r="B238" s="51" t="s">
        <v>3568</v>
      </c>
      <c r="C238" s="51" t="s">
        <v>68</v>
      </c>
      <c r="D238" s="51" t="s">
        <v>976</v>
      </c>
      <c r="E238" s="51" t="s">
        <v>975</v>
      </c>
      <c r="F238" s="52">
        <v>30.852119565300001</v>
      </c>
      <c r="G238" s="52">
        <v>7122</v>
      </c>
      <c r="H238" s="52">
        <v>3190</v>
      </c>
      <c r="I238" s="52">
        <v>10312</v>
      </c>
      <c r="J238" s="51">
        <v>1</v>
      </c>
      <c r="K238" s="54">
        <v>5000</v>
      </c>
      <c r="L238" s="51">
        <v>0</v>
      </c>
      <c r="M238" s="54">
        <v>0</v>
      </c>
      <c r="N238" s="53">
        <f t="shared" si="6"/>
        <v>5000</v>
      </c>
      <c r="O238" s="53">
        <f t="shared" si="7"/>
        <v>-5000</v>
      </c>
    </row>
    <row r="239" spans="1:15" x14ac:dyDescent="0.2">
      <c r="A239" s="51" t="s">
        <v>3567</v>
      </c>
      <c r="B239" s="51" t="s">
        <v>3568</v>
      </c>
      <c r="C239" s="51" t="s">
        <v>52</v>
      </c>
      <c r="D239" s="51" t="s">
        <v>458</v>
      </c>
      <c r="E239" s="51" t="s">
        <v>457</v>
      </c>
      <c r="F239" s="52">
        <v>25103.11881352626</v>
      </c>
      <c r="G239" s="52">
        <v>2955</v>
      </c>
      <c r="H239" s="52">
        <v>10740</v>
      </c>
      <c r="I239" s="52">
        <v>13695</v>
      </c>
      <c r="J239" s="51">
        <v>0</v>
      </c>
      <c r="K239" s="54">
        <v>0</v>
      </c>
      <c r="L239" s="51">
        <v>1</v>
      </c>
      <c r="M239" s="54">
        <v>25000</v>
      </c>
      <c r="N239" s="53">
        <f t="shared" si="6"/>
        <v>-25000</v>
      </c>
      <c r="O239" s="53">
        <f t="shared" si="7"/>
        <v>25000</v>
      </c>
    </row>
    <row r="240" spans="1:15" x14ac:dyDescent="0.2">
      <c r="A240" s="51" t="s">
        <v>3567</v>
      </c>
      <c r="B240" s="51" t="s">
        <v>3568</v>
      </c>
      <c r="C240" s="51" t="s">
        <v>3698</v>
      </c>
      <c r="D240" s="51" t="s">
        <v>3699</v>
      </c>
      <c r="E240" s="51" t="s">
        <v>3700</v>
      </c>
      <c r="F240" s="52">
        <v>51.333372972299998</v>
      </c>
      <c r="G240" s="52">
        <v>0</v>
      </c>
      <c r="H240" s="52">
        <v>0</v>
      </c>
      <c r="I240" s="52">
        <v>0</v>
      </c>
      <c r="J240" s="51">
        <v>0</v>
      </c>
      <c r="K240" s="54">
        <v>0</v>
      </c>
      <c r="L240" s="51">
        <v>0</v>
      </c>
      <c r="M240" s="54">
        <v>0</v>
      </c>
      <c r="N240" s="53">
        <f t="shared" si="6"/>
        <v>0</v>
      </c>
      <c r="O240" s="53">
        <f t="shared" si="7"/>
        <v>0</v>
      </c>
    </row>
    <row r="241" spans="1:15" x14ac:dyDescent="0.2">
      <c r="A241" s="51" t="s">
        <v>3567</v>
      </c>
      <c r="B241" s="51" t="s">
        <v>3568</v>
      </c>
      <c r="C241" s="51" t="s">
        <v>67</v>
      </c>
      <c r="D241" s="51" t="s">
        <v>646</v>
      </c>
      <c r="E241" s="51" t="s">
        <v>645</v>
      </c>
      <c r="F241" s="52">
        <v>10694.04031432818</v>
      </c>
      <c r="G241" s="52">
        <v>10480</v>
      </c>
      <c r="H241" s="52">
        <v>16125</v>
      </c>
      <c r="I241" s="52">
        <v>26605</v>
      </c>
      <c r="J241" s="51">
        <v>1</v>
      </c>
      <c r="K241" s="54">
        <v>5000</v>
      </c>
      <c r="L241" s="51">
        <v>0</v>
      </c>
      <c r="M241" s="54">
        <v>0</v>
      </c>
      <c r="N241" s="53">
        <f t="shared" si="6"/>
        <v>5000</v>
      </c>
      <c r="O241" s="53">
        <f t="shared" si="7"/>
        <v>-5000</v>
      </c>
    </row>
    <row r="242" spans="1:15" x14ac:dyDescent="0.2">
      <c r="A242" s="51" t="s">
        <v>3567</v>
      </c>
      <c r="B242" s="51" t="s">
        <v>3568</v>
      </c>
      <c r="C242" s="51" t="s">
        <v>55</v>
      </c>
      <c r="D242" s="51" t="s">
        <v>3673</v>
      </c>
      <c r="E242" s="51" t="s">
        <v>997</v>
      </c>
      <c r="F242" s="52">
        <v>24.342600000000001</v>
      </c>
      <c r="G242" s="52">
        <v>0</v>
      </c>
      <c r="H242" s="52">
        <v>0</v>
      </c>
      <c r="I242" s="52">
        <v>0</v>
      </c>
      <c r="J242" s="51">
        <v>0</v>
      </c>
      <c r="K242" s="54">
        <v>0</v>
      </c>
      <c r="L242" s="51">
        <v>0</v>
      </c>
      <c r="M242" s="54">
        <v>0</v>
      </c>
      <c r="N242" s="53">
        <f t="shared" si="6"/>
        <v>0</v>
      </c>
      <c r="O242" s="53">
        <f t="shared" si="7"/>
        <v>0</v>
      </c>
    </row>
    <row r="243" spans="1:15" x14ac:dyDescent="0.2">
      <c r="A243" s="51" t="s">
        <v>3567</v>
      </c>
      <c r="B243" s="51" t="s">
        <v>3568</v>
      </c>
      <c r="C243" s="51" t="s">
        <v>82</v>
      </c>
      <c r="D243" s="51" t="s">
        <v>2208</v>
      </c>
      <c r="E243" s="51" t="s">
        <v>2207</v>
      </c>
      <c r="F243" s="52">
        <v>7036.6044499999998</v>
      </c>
      <c r="G243" s="52">
        <v>2700</v>
      </c>
      <c r="H243" s="52">
        <v>3290</v>
      </c>
      <c r="I243" s="52">
        <v>5990</v>
      </c>
      <c r="J243" s="51">
        <v>1</v>
      </c>
      <c r="K243" s="54">
        <v>5000</v>
      </c>
      <c r="L243" s="51">
        <v>0</v>
      </c>
      <c r="M243" s="54">
        <v>0</v>
      </c>
      <c r="N243" s="53">
        <f t="shared" si="6"/>
        <v>5000</v>
      </c>
      <c r="O243" s="53">
        <f t="shared" si="7"/>
        <v>-5000</v>
      </c>
    </row>
    <row r="244" spans="1:15" x14ac:dyDescent="0.2">
      <c r="A244" s="51" t="s">
        <v>3567</v>
      </c>
      <c r="B244" s="51" t="s">
        <v>3568</v>
      </c>
      <c r="C244" s="51" t="s">
        <v>3571</v>
      </c>
      <c r="D244" s="51" t="s">
        <v>3739</v>
      </c>
      <c r="E244" s="51" t="s">
        <v>3740</v>
      </c>
      <c r="F244" s="52">
        <v>1.006871537159421</v>
      </c>
      <c r="G244" s="52">
        <v>0</v>
      </c>
      <c r="H244" s="52">
        <v>0</v>
      </c>
      <c r="I244" s="52">
        <v>0</v>
      </c>
      <c r="J244" s="51">
        <v>0</v>
      </c>
      <c r="K244" s="54">
        <v>0</v>
      </c>
      <c r="L244" s="51">
        <v>0</v>
      </c>
      <c r="M244" s="54">
        <v>0</v>
      </c>
      <c r="N244" s="53">
        <f t="shared" si="6"/>
        <v>0</v>
      </c>
      <c r="O244" s="53">
        <f t="shared" si="7"/>
        <v>0</v>
      </c>
    </row>
    <row r="245" spans="1:15" x14ac:dyDescent="0.2">
      <c r="A245" s="51" t="s">
        <v>3567</v>
      </c>
      <c r="B245" s="51" t="s">
        <v>3568</v>
      </c>
      <c r="C245" s="51" t="s">
        <v>3707</v>
      </c>
      <c r="D245" s="51" t="s">
        <v>3708</v>
      </c>
      <c r="E245" s="51" t="s">
        <v>3709</v>
      </c>
      <c r="F245" s="52">
        <v>39.511659585700002</v>
      </c>
      <c r="G245" s="52">
        <v>0</v>
      </c>
      <c r="H245" s="52">
        <v>0</v>
      </c>
      <c r="I245" s="52">
        <v>0</v>
      </c>
      <c r="J245" s="51">
        <v>0</v>
      </c>
      <c r="K245" s="54">
        <v>0</v>
      </c>
      <c r="L245" s="51">
        <v>0</v>
      </c>
      <c r="M245" s="54">
        <v>0</v>
      </c>
      <c r="N245" s="53">
        <f t="shared" si="6"/>
        <v>0</v>
      </c>
      <c r="O245" s="53">
        <f t="shared" si="7"/>
        <v>0</v>
      </c>
    </row>
    <row r="246" spans="1:15" x14ac:dyDescent="0.2">
      <c r="A246" s="51" t="s">
        <v>3567</v>
      </c>
      <c r="B246" s="51" t="s">
        <v>3568</v>
      </c>
      <c r="C246" s="51" t="s">
        <v>3577</v>
      </c>
      <c r="D246" s="51" t="s">
        <v>3683</v>
      </c>
      <c r="E246" s="51" t="s">
        <v>1373</v>
      </c>
      <c r="F246" s="52">
        <v>17.841799999999999</v>
      </c>
      <c r="G246" s="52">
        <v>0</v>
      </c>
      <c r="H246" s="52">
        <v>0</v>
      </c>
      <c r="I246" s="52">
        <v>0</v>
      </c>
      <c r="J246" s="51">
        <v>0</v>
      </c>
      <c r="K246" s="54">
        <v>0</v>
      </c>
      <c r="L246" s="51">
        <v>0</v>
      </c>
      <c r="M246" s="54">
        <v>0</v>
      </c>
      <c r="N246" s="53">
        <f t="shared" si="6"/>
        <v>0</v>
      </c>
      <c r="O246" s="53">
        <f t="shared" si="7"/>
        <v>0</v>
      </c>
    </row>
    <row r="247" spans="1:15" x14ac:dyDescent="0.2">
      <c r="A247" s="51" t="s">
        <v>3567</v>
      </c>
      <c r="B247" s="51" t="s">
        <v>3568</v>
      </c>
      <c r="C247" s="51" t="s">
        <v>55</v>
      </c>
      <c r="D247" s="51" t="s">
        <v>3679</v>
      </c>
      <c r="E247" s="51" t="s">
        <v>3680</v>
      </c>
      <c r="F247" s="52">
        <v>1013.029</v>
      </c>
      <c r="G247" s="52">
        <v>0</v>
      </c>
      <c r="H247" s="52">
        <v>0</v>
      </c>
      <c r="I247" s="52">
        <v>0</v>
      </c>
      <c r="J247" s="51">
        <v>0</v>
      </c>
      <c r="K247" s="54">
        <v>0</v>
      </c>
      <c r="L247" s="51">
        <v>0</v>
      </c>
      <c r="M247" s="54">
        <v>0</v>
      </c>
      <c r="N247" s="53">
        <f t="shared" si="6"/>
        <v>0</v>
      </c>
      <c r="O247" s="53">
        <f t="shared" si="7"/>
        <v>0</v>
      </c>
    </row>
    <row r="248" spans="1:15" x14ac:dyDescent="0.2">
      <c r="A248" s="51" t="s">
        <v>3567</v>
      </c>
      <c r="B248" s="51" t="s">
        <v>3568</v>
      </c>
      <c r="C248" s="51" t="s">
        <v>3650</v>
      </c>
      <c r="D248" s="51" t="s">
        <v>3689</v>
      </c>
      <c r="E248" s="51" t="s">
        <v>3690</v>
      </c>
      <c r="F248" s="52">
        <v>2.6191687002487249</v>
      </c>
      <c r="G248" s="52">
        <v>0</v>
      </c>
      <c r="H248" s="52">
        <v>0</v>
      </c>
      <c r="I248" s="52">
        <v>0</v>
      </c>
      <c r="J248" s="51">
        <v>0</v>
      </c>
      <c r="K248" s="54">
        <v>0</v>
      </c>
      <c r="L248" s="51">
        <v>0</v>
      </c>
      <c r="M248" s="54">
        <v>0</v>
      </c>
      <c r="N248" s="53">
        <f t="shared" si="6"/>
        <v>0</v>
      </c>
      <c r="O248" s="53">
        <f t="shared" si="7"/>
        <v>0</v>
      </c>
    </row>
    <row r="249" spans="1:15" x14ac:dyDescent="0.2">
      <c r="A249" s="51" t="s">
        <v>3567</v>
      </c>
      <c r="B249" s="51" t="s">
        <v>3568</v>
      </c>
      <c r="C249" s="51" t="s">
        <v>61</v>
      </c>
      <c r="D249" s="51" t="s">
        <v>3710</v>
      </c>
      <c r="E249" s="51" t="s">
        <v>3711</v>
      </c>
      <c r="F249" s="52">
        <v>20.160499999999999</v>
      </c>
      <c r="G249" s="52">
        <v>0</v>
      </c>
      <c r="H249" s="52">
        <v>0</v>
      </c>
      <c r="I249" s="52">
        <v>0</v>
      </c>
      <c r="J249" s="51">
        <v>0</v>
      </c>
      <c r="K249" s="54">
        <v>0</v>
      </c>
      <c r="L249" s="51">
        <v>0</v>
      </c>
      <c r="M249" s="54">
        <v>0</v>
      </c>
      <c r="N249" s="53">
        <f t="shared" si="6"/>
        <v>0</v>
      </c>
      <c r="O249" s="53">
        <f t="shared" si="7"/>
        <v>0</v>
      </c>
    </row>
    <row r="250" spans="1:15" x14ac:dyDescent="0.2">
      <c r="A250" s="51" t="s">
        <v>3567</v>
      </c>
      <c r="B250" s="51" t="s">
        <v>3568</v>
      </c>
      <c r="C250" s="51" t="s">
        <v>59</v>
      </c>
      <c r="D250" s="51" t="s">
        <v>3735</v>
      </c>
      <c r="E250" s="51" t="s">
        <v>3736</v>
      </c>
      <c r="F250" s="52">
        <v>9.5836173471000006</v>
      </c>
      <c r="G250" s="52">
        <v>0</v>
      </c>
      <c r="H250" s="52">
        <v>0</v>
      </c>
      <c r="I250" s="52">
        <v>0</v>
      </c>
      <c r="J250" s="51">
        <v>0</v>
      </c>
      <c r="K250" s="54">
        <v>0</v>
      </c>
      <c r="L250" s="51">
        <v>0</v>
      </c>
      <c r="M250" s="54">
        <v>0</v>
      </c>
      <c r="N250" s="53">
        <f t="shared" si="6"/>
        <v>0</v>
      </c>
      <c r="O250" s="53">
        <f t="shared" si="7"/>
        <v>0</v>
      </c>
    </row>
    <row r="251" spans="1:15" x14ac:dyDescent="0.2">
      <c r="A251" s="51" t="s">
        <v>3567</v>
      </c>
      <c r="B251" s="51" t="s">
        <v>3568</v>
      </c>
      <c r="C251" s="51" t="s">
        <v>3718</v>
      </c>
      <c r="D251" s="51" t="s">
        <v>3733</v>
      </c>
      <c r="E251" s="51" t="s">
        <v>3734</v>
      </c>
      <c r="F251" s="52">
        <v>11.53402792689422</v>
      </c>
      <c r="G251" s="52">
        <v>0</v>
      </c>
      <c r="H251" s="52">
        <v>0</v>
      </c>
      <c r="I251" s="52">
        <v>0</v>
      </c>
      <c r="J251" s="51">
        <v>0</v>
      </c>
      <c r="K251" s="54">
        <v>0</v>
      </c>
      <c r="L251" s="51">
        <v>0</v>
      </c>
      <c r="M251" s="54">
        <v>0</v>
      </c>
      <c r="N251" s="53">
        <f t="shared" si="6"/>
        <v>0</v>
      </c>
      <c r="O251" s="53">
        <f t="shared" si="7"/>
        <v>0</v>
      </c>
    </row>
    <row r="252" spans="1:15" x14ac:dyDescent="0.2">
      <c r="A252" s="51" t="s">
        <v>3567</v>
      </c>
      <c r="B252" s="51" t="s">
        <v>3568</v>
      </c>
      <c r="C252" s="51" t="s">
        <v>74</v>
      </c>
      <c r="D252" s="51" t="s">
        <v>3145</v>
      </c>
      <c r="E252" s="51" t="s">
        <v>3144</v>
      </c>
      <c r="F252" s="52">
        <v>7.0518326241910998</v>
      </c>
      <c r="G252" s="52">
        <v>0</v>
      </c>
      <c r="H252" s="52">
        <v>0</v>
      </c>
      <c r="I252" s="52">
        <v>0</v>
      </c>
      <c r="J252" s="51">
        <v>0</v>
      </c>
      <c r="K252" s="54">
        <v>0</v>
      </c>
      <c r="L252" s="51">
        <v>0</v>
      </c>
      <c r="M252" s="54">
        <v>0</v>
      </c>
      <c r="N252" s="53">
        <f t="shared" si="6"/>
        <v>0</v>
      </c>
      <c r="O252" s="53">
        <f t="shared" si="7"/>
        <v>0</v>
      </c>
    </row>
    <row r="253" spans="1:15" x14ac:dyDescent="0.2">
      <c r="A253" s="51" t="s">
        <v>3567</v>
      </c>
      <c r="B253" s="51" t="s">
        <v>3568</v>
      </c>
      <c r="C253" s="51" t="s">
        <v>61</v>
      </c>
      <c r="D253" s="51" t="s">
        <v>1719</v>
      </c>
      <c r="E253" s="51" t="s">
        <v>1718</v>
      </c>
      <c r="F253" s="52">
        <v>2767.2085372259498</v>
      </c>
      <c r="G253" s="52">
        <v>3900</v>
      </c>
      <c r="H253" s="52">
        <v>28200</v>
      </c>
      <c r="I253" s="52">
        <v>32100</v>
      </c>
      <c r="J253" s="51">
        <v>1</v>
      </c>
      <c r="K253" s="54">
        <v>5000</v>
      </c>
      <c r="L253" s="51">
        <v>1</v>
      </c>
      <c r="M253" s="54">
        <v>30000</v>
      </c>
      <c r="N253" s="53">
        <f t="shared" si="6"/>
        <v>-25000</v>
      </c>
      <c r="O253" s="53">
        <f t="shared" si="7"/>
        <v>25000</v>
      </c>
    </row>
    <row r="254" spans="1:15" x14ac:dyDescent="0.2">
      <c r="A254" s="51" t="s">
        <v>3567</v>
      </c>
      <c r="B254" s="51" t="s">
        <v>3568</v>
      </c>
      <c r="C254" s="51" t="s">
        <v>59</v>
      </c>
      <c r="D254" s="51" t="s">
        <v>3467</v>
      </c>
      <c r="E254" s="51" t="s">
        <v>3466</v>
      </c>
      <c r="F254" s="52">
        <v>46487.297239748659</v>
      </c>
      <c r="G254" s="52">
        <v>11640</v>
      </c>
      <c r="H254" s="52">
        <v>121675</v>
      </c>
      <c r="I254" s="52">
        <v>133315</v>
      </c>
      <c r="J254" s="51">
        <v>0</v>
      </c>
      <c r="K254" s="54">
        <v>0</v>
      </c>
      <c r="L254" s="51">
        <v>2</v>
      </c>
      <c r="M254" s="54">
        <v>85000</v>
      </c>
      <c r="N254" s="53">
        <f t="shared" si="6"/>
        <v>-85000</v>
      </c>
      <c r="O254" s="53">
        <f t="shared" si="7"/>
        <v>85000</v>
      </c>
    </row>
    <row r="255" spans="1:15" x14ac:dyDescent="0.2">
      <c r="A255" s="51" t="s">
        <v>3567</v>
      </c>
      <c r="B255" s="51" t="s">
        <v>3568</v>
      </c>
      <c r="C255" s="51" t="s">
        <v>87</v>
      </c>
      <c r="D255" s="51" t="s">
        <v>3645</v>
      </c>
      <c r="E255" s="51" t="s">
        <v>3646</v>
      </c>
      <c r="F255" s="52">
        <v>23.44933996944853</v>
      </c>
      <c r="G255" s="52">
        <v>0</v>
      </c>
      <c r="H255" s="52">
        <v>0</v>
      </c>
      <c r="I255" s="52">
        <v>0</v>
      </c>
      <c r="J255" s="51">
        <v>0</v>
      </c>
      <c r="K255" s="54">
        <v>0</v>
      </c>
      <c r="L255" s="51">
        <v>0</v>
      </c>
      <c r="M255" s="54">
        <v>0</v>
      </c>
      <c r="N255" s="53">
        <f t="shared" si="6"/>
        <v>0</v>
      </c>
      <c r="O255" s="53">
        <f t="shared" si="7"/>
        <v>0</v>
      </c>
    </row>
    <row r="256" spans="1:15" x14ac:dyDescent="0.2">
      <c r="A256" s="51" t="s">
        <v>3567</v>
      </c>
      <c r="B256" s="51" t="s">
        <v>3568</v>
      </c>
      <c r="C256" s="51" t="s">
        <v>59</v>
      </c>
      <c r="D256" s="51" t="s">
        <v>3374</v>
      </c>
      <c r="E256" s="51" t="s">
        <v>3373</v>
      </c>
      <c r="F256" s="52">
        <v>166.19805262827191</v>
      </c>
      <c r="G256" s="52">
        <v>8500</v>
      </c>
      <c r="H256" s="52">
        <v>37510</v>
      </c>
      <c r="I256" s="52">
        <v>46010</v>
      </c>
      <c r="J256" s="51">
        <v>0</v>
      </c>
      <c r="K256" s="54">
        <v>0</v>
      </c>
      <c r="L256" s="51">
        <v>1</v>
      </c>
      <c r="M256" s="54">
        <v>30000</v>
      </c>
      <c r="N256" s="53">
        <f t="shared" si="6"/>
        <v>-30000</v>
      </c>
      <c r="O256" s="53">
        <f t="shared" si="7"/>
        <v>30000</v>
      </c>
    </row>
    <row r="257" spans="1:15" x14ac:dyDescent="0.2">
      <c r="A257" s="51" t="s">
        <v>3567</v>
      </c>
      <c r="B257" s="51" t="s">
        <v>3568</v>
      </c>
      <c r="C257" s="51" t="s">
        <v>65</v>
      </c>
      <c r="D257" s="51" t="s">
        <v>116</v>
      </c>
      <c r="E257" s="51" t="s">
        <v>115</v>
      </c>
      <c r="F257" s="52">
        <v>9687.7184585286068</v>
      </c>
      <c r="G257" s="52">
        <v>1260</v>
      </c>
      <c r="H257" s="52">
        <v>26615</v>
      </c>
      <c r="I257" s="52">
        <v>27875</v>
      </c>
      <c r="J257" s="51">
        <v>1</v>
      </c>
      <c r="K257" s="54">
        <v>5000</v>
      </c>
      <c r="L257" s="51">
        <v>0</v>
      </c>
      <c r="M257" s="54">
        <v>0</v>
      </c>
      <c r="N257" s="53">
        <f t="shared" si="6"/>
        <v>5000</v>
      </c>
      <c r="O257" s="53">
        <f t="shared" si="7"/>
        <v>-5000</v>
      </c>
    </row>
    <row r="258" spans="1:15" x14ac:dyDescent="0.2">
      <c r="A258" s="51" t="s">
        <v>3567</v>
      </c>
      <c r="B258" s="51" t="s">
        <v>3568</v>
      </c>
      <c r="C258" s="51" t="s">
        <v>55</v>
      </c>
      <c r="D258" s="51" t="s">
        <v>212</v>
      </c>
      <c r="E258" s="51" t="s">
        <v>211</v>
      </c>
      <c r="F258" s="52">
        <v>23126.659546114719</v>
      </c>
      <c r="G258" s="52">
        <v>52100</v>
      </c>
      <c r="H258" s="52">
        <v>18660</v>
      </c>
      <c r="I258" s="52">
        <v>70760</v>
      </c>
      <c r="J258" s="51">
        <v>1</v>
      </c>
      <c r="K258" s="54">
        <v>40000</v>
      </c>
      <c r="L258" s="51">
        <v>1</v>
      </c>
      <c r="M258" s="54">
        <v>30000</v>
      </c>
      <c r="N258" s="53">
        <f t="shared" si="6"/>
        <v>10000</v>
      </c>
      <c r="O258" s="53">
        <f t="shared" si="7"/>
        <v>-10000</v>
      </c>
    </row>
    <row r="259" spans="1:15" x14ac:dyDescent="0.2">
      <c r="A259" s="51" t="s">
        <v>3567</v>
      </c>
      <c r="B259" s="51" t="s">
        <v>3568</v>
      </c>
      <c r="C259" s="51" t="s">
        <v>68</v>
      </c>
      <c r="D259" s="51" t="s">
        <v>3693</v>
      </c>
      <c r="E259" s="51" t="s">
        <v>2788</v>
      </c>
      <c r="F259" s="52">
        <v>18.547465714088489</v>
      </c>
      <c r="G259" s="52">
        <v>0</v>
      </c>
      <c r="H259" s="52">
        <v>0</v>
      </c>
      <c r="I259" s="52">
        <v>0</v>
      </c>
      <c r="J259" s="51">
        <v>0</v>
      </c>
      <c r="K259" s="54">
        <v>0</v>
      </c>
      <c r="L259" s="51">
        <v>0</v>
      </c>
      <c r="M259" s="54">
        <v>0</v>
      </c>
      <c r="N259" s="53">
        <f t="shared" ref="N259:N322" si="8">K259-M259</f>
        <v>0</v>
      </c>
      <c r="O259" s="53">
        <f t="shared" ref="O259:O322" si="9">M259-K259</f>
        <v>0</v>
      </c>
    </row>
    <row r="260" spans="1:15" x14ac:dyDescent="0.2">
      <c r="A260" s="51" t="s">
        <v>3567</v>
      </c>
      <c r="B260" s="51" t="s">
        <v>3568</v>
      </c>
      <c r="C260" s="51" t="s">
        <v>72</v>
      </c>
      <c r="D260" s="51" t="s">
        <v>2248</v>
      </c>
      <c r="E260" s="51" t="s">
        <v>2247</v>
      </c>
      <c r="F260" s="52">
        <v>9463.8091536554966</v>
      </c>
      <c r="G260" s="52">
        <v>200</v>
      </c>
      <c r="H260" s="52">
        <v>1000</v>
      </c>
      <c r="I260" s="52">
        <v>1200</v>
      </c>
      <c r="J260" s="51">
        <v>1</v>
      </c>
      <c r="K260" s="54">
        <v>5000</v>
      </c>
      <c r="L260" s="51">
        <v>0</v>
      </c>
      <c r="M260" s="54">
        <v>0</v>
      </c>
      <c r="N260" s="53">
        <f t="shared" si="8"/>
        <v>5000</v>
      </c>
      <c r="O260" s="53">
        <f t="shared" si="9"/>
        <v>-5000</v>
      </c>
    </row>
    <row r="261" spans="1:15" x14ac:dyDescent="0.2">
      <c r="A261" s="51" t="s">
        <v>3567</v>
      </c>
      <c r="B261" s="51" t="s">
        <v>3568</v>
      </c>
      <c r="C261" s="51" t="s">
        <v>57</v>
      </c>
      <c r="D261" s="51" t="s">
        <v>1789</v>
      </c>
      <c r="E261" s="51" t="s">
        <v>1788</v>
      </c>
      <c r="F261" s="52">
        <v>733.87812442705945</v>
      </c>
      <c r="G261" s="52">
        <v>0</v>
      </c>
      <c r="H261" s="52">
        <v>490</v>
      </c>
      <c r="I261" s="52">
        <v>490</v>
      </c>
      <c r="J261" s="51">
        <v>0</v>
      </c>
      <c r="K261" s="54">
        <v>0</v>
      </c>
      <c r="L261" s="51">
        <v>0</v>
      </c>
      <c r="M261" s="54">
        <v>0</v>
      </c>
      <c r="N261" s="53">
        <f t="shared" si="8"/>
        <v>0</v>
      </c>
      <c r="O261" s="53">
        <f t="shared" si="9"/>
        <v>0</v>
      </c>
    </row>
    <row r="262" spans="1:15" x14ac:dyDescent="0.2">
      <c r="A262" s="51" t="s">
        <v>3567</v>
      </c>
      <c r="B262" s="51" t="s">
        <v>3568</v>
      </c>
      <c r="C262" s="51" t="s">
        <v>53</v>
      </c>
      <c r="D262" s="51" t="s">
        <v>3701</v>
      </c>
      <c r="E262" s="51" t="s">
        <v>3702</v>
      </c>
      <c r="F262" s="52">
        <v>23.85106777699114</v>
      </c>
      <c r="G262" s="52">
        <v>0</v>
      </c>
      <c r="H262" s="52">
        <v>0</v>
      </c>
      <c r="I262" s="52">
        <v>0</v>
      </c>
      <c r="J262" s="51">
        <v>0</v>
      </c>
      <c r="K262" s="54">
        <v>0</v>
      </c>
      <c r="L262" s="51">
        <v>0</v>
      </c>
      <c r="M262" s="54">
        <v>0</v>
      </c>
      <c r="N262" s="53">
        <f t="shared" si="8"/>
        <v>0</v>
      </c>
      <c r="O262" s="53">
        <f t="shared" si="9"/>
        <v>0</v>
      </c>
    </row>
    <row r="263" spans="1:15" x14ac:dyDescent="0.2">
      <c r="A263" s="51" t="s">
        <v>3567</v>
      </c>
      <c r="B263" s="51" t="s">
        <v>3568</v>
      </c>
      <c r="C263" s="51" t="s">
        <v>68</v>
      </c>
      <c r="D263" s="51" t="s">
        <v>1064</v>
      </c>
      <c r="E263" s="51" t="s">
        <v>1063</v>
      </c>
      <c r="F263" s="52">
        <v>852.09754999999996</v>
      </c>
      <c r="G263" s="52">
        <v>500</v>
      </c>
      <c r="H263" s="52">
        <v>0</v>
      </c>
      <c r="I263" s="52">
        <v>500</v>
      </c>
      <c r="J263" s="51">
        <v>0</v>
      </c>
      <c r="K263" s="54">
        <v>0</v>
      </c>
      <c r="L263" s="51">
        <v>1</v>
      </c>
      <c r="M263" s="54">
        <v>5000</v>
      </c>
      <c r="N263" s="53">
        <f t="shared" si="8"/>
        <v>-5000</v>
      </c>
      <c r="O263" s="53">
        <f t="shared" si="9"/>
        <v>5000</v>
      </c>
    </row>
    <row r="264" spans="1:15" x14ac:dyDescent="0.2">
      <c r="A264" s="51" t="s">
        <v>3567</v>
      </c>
      <c r="B264" s="51" t="s">
        <v>3568</v>
      </c>
      <c r="C264" s="51" t="s">
        <v>74</v>
      </c>
      <c r="D264" s="51" t="s">
        <v>1594</v>
      </c>
      <c r="E264" s="51" t="s">
        <v>1593</v>
      </c>
      <c r="F264" s="52">
        <v>4872.4307500000004</v>
      </c>
      <c r="G264" s="52">
        <v>15800</v>
      </c>
      <c r="H264" s="52">
        <v>16900</v>
      </c>
      <c r="I264" s="52">
        <v>32700</v>
      </c>
      <c r="J264" s="51">
        <v>0</v>
      </c>
      <c r="K264" s="54">
        <v>0</v>
      </c>
      <c r="L264" s="51">
        <v>0</v>
      </c>
      <c r="M264" s="54">
        <v>0</v>
      </c>
      <c r="N264" s="53">
        <f t="shared" si="8"/>
        <v>0</v>
      </c>
      <c r="O264" s="53">
        <f t="shared" si="9"/>
        <v>0</v>
      </c>
    </row>
    <row r="265" spans="1:15" x14ac:dyDescent="0.2">
      <c r="A265" s="51" t="s">
        <v>3567</v>
      </c>
      <c r="B265" s="51" t="s">
        <v>3568</v>
      </c>
      <c r="C265" s="51" t="s">
        <v>87</v>
      </c>
      <c r="D265" s="51" t="s">
        <v>3714</v>
      </c>
      <c r="E265" s="51" t="s">
        <v>3715</v>
      </c>
      <c r="F265" s="52">
        <v>9248.5651315910491</v>
      </c>
      <c r="G265" s="52">
        <v>0</v>
      </c>
      <c r="H265" s="52">
        <v>0</v>
      </c>
      <c r="I265" s="52">
        <v>0</v>
      </c>
      <c r="J265" s="51">
        <v>0</v>
      </c>
      <c r="K265" s="54">
        <v>0</v>
      </c>
      <c r="L265" s="51">
        <v>0</v>
      </c>
      <c r="M265" s="54">
        <v>0</v>
      </c>
      <c r="N265" s="53">
        <f t="shared" si="8"/>
        <v>0</v>
      </c>
      <c r="O265" s="53">
        <f t="shared" si="9"/>
        <v>0</v>
      </c>
    </row>
    <row r="266" spans="1:15" x14ac:dyDescent="0.2">
      <c r="A266" s="51" t="s">
        <v>3567</v>
      </c>
      <c r="B266" s="51" t="s">
        <v>3568</v>
      </c>
      <c r="C266" s="51" t="s">
        <v>58</v>
      </c>
      <c r="D266" s="51" t="s">
        <v>1288</v>
      </c>
      <c r="E266" s="51" t="s">
        <v>1287</v>
      </c>
      <c r="F266" s="52">
        <v>3925.7712999619798</v>
      </c>
      <c r="G266" s="52">
        <v>9470</v>
      </c>
      <c r="H266" s="52">
        <v>6130</v>
      </c>
      <c r="I266" s="52">
        <v>15600</v>
      </c>
      <c r="J266" s="51">
        <v>1</v>
      </c>
      <c r="K266" s="54">
        <v>5000</v>
      </c>
      <c r="L266" s="51">
        <v>0</v>
      </c>
      <c r="M266" s="54">
        <v>0</v>
      </c>
      <c r="N266" s="53">
        <f t="shared" si="8"/>
        <v>5000</v>
      </c>
      <c r="O266" s="53">
        <f t="shared" si="9"/>
        <v>-5000</v>
      </c>
    </row>
    <row r="267" spans="1:15" x14ac:dyDescent="0.2">
      <c r="A267" s="51" t="s">
        <v>3567</v>
      </c>
      <c r="B267" s="51" t="s">
        <v>3568</v>
      </c>
      <c r="C267" s="51" t="s">
        <v>67</v>
      </c>
      <c r="D267" s="51" t="s">
        <v>438</v>
      </c>
      <c r="E267" s="51" t="s">
        <v>437</v>
      </c>
      <c r="F267" s="52">
        <v>5890.7535950254478</v>
      </c>
      <c r="G267" s="52">
        <v>0</v>
      </c>
      <c r="H267" s="52">
        <v>0</v>
      </c>
      <c r="I267" s="52">
        <v>0</v>
      </c>
      <c r="J267" s="51">
        <v>1</v>
      </c>
      <c r="K267" s="54">
        <v>5000</v>
      </c>
      <c r="L267" s="51">
        <v>0</v>
      </c>
      <c r="M267" s="54">
        <v>0</v>
      </c>
      <c r="N267" s="53">
        <f t="shared" si="8"/>
        <v>5000</v>
      </c>
      <c r="O267" s="53">
        <f t="shared" si="9"/>
        <v>-5000</v>
      </c>
    </row>
    <row r="268" spans="1:15" x14ac:dyDescent="0.2">
      <c r="A268" s="51" t="s">
        <v>3567</v>
      </c>
      <c r="B268" s="51" t="s">
        <v>3568</v>
      </c>
      <c r="C268" s="51" t="s">
        <v>52</v>
      </c>
      <c r="D268" s="51" t="s">
        <v>3716</v>
      </c>
      <c r="E268" s="51" t="s">
        <v>3717</v>
      </c>
      <c r="F268" s="52">
        <v>72.167299999999997</v>
      </c>
      <c r="G268" s="52">
        <v>0</v>
      </c>
      <c r="H268" s="52">
        <v>0</v>
      </c>
      <c r="I268" s="52">
        <v>0</v>
      </c>
      <c r="J268" s="51">
        <v>0</v>
      </c>
      <c r="K268" s="54">
        <v>0</v>
      </c>
      <c r="L268" s="51">
        <v>0</v>
      </c>
      <c r="M268" s="54">
        <v>0</v>
      </c>
      <c r="N268" s="53">
        <f t="shared" si="8"/>
        <v>0</v>
      </c>
      <c r="O268" s="53">
        <f t="shared" si="9"/>
        <v>0</v>
      </c>
    </row>
    <row r="269" spans="1:15" x14ac:dyDescent="0.2">
      <c r="A269" s="51" t="s">
        <v>3567</v>
      </c>
      <c r="B269" s="51" t="s">
        <v>3568</v>
      </c>
      <c r="C269" s="51" t="s">
        <v>3684</v>
      </c>
      <c r="D269" s="51" t="s">
        <v>3703</v>
      </c>
      <c r="E269" s="51" t="s">
        <v>3704</v>
      </c>
      <c r="F269" s="52">
        <v>544.03943720296627</v>
      </c>
      <c r="G269" s="52">
        <v>0</v>
      </c>
      <c r="H269" s="52">
        <v>0</v>
      </c>
      <c r="I269" s="52">
        <v>0</v>
      </c>
      <c r="J269" s="51">
        <v>0</v>
      </c>
      <c r="K269" s="54">
        <v>0</v>
      </c>
      <c r="L269" s="51">
        <v>0</v>
      </c>
      <c r="M269" s="54">
        <v>0</v>
      </c>
      <c r="N269" s="53">
        <f t="shared" si="8"/>
        <v>0</v>
      </c>
      <c r="O269" s="53">
        <f t="shared" si="9"/>
        <v>0</v>
      </c>
    </row>
    <row r="270" spans="1:15" x14ac:dyDescent="0.2">
      <c r="A270" s="51" t="s">
        <v>3567</v>
      </c>
      <c r="B270" s="51" t="s">
        <v>3568</v>
      </c>
      <c r="C270" s="51" t="s">
        <v>59</v>
      </c>
      <c r="D270" s="51" t="s">
        <v>686</v>
      </c>
      <c r="E270" s="51" t="s">
        <v>685</v>
      </c>
      <c r="F270" s="52">
        <v>24517.785426920262</v>
      </c>
      <c r="G270" s="52">
        <v>6235</v>
      </c>
      <c r="H270" s="52">
        <v>31350</v>
      </c>
      <c r="I270" s="52">
        <v>37585</v>
      </c>
      <c r="J270" s="51">
        <v>1</v>
      </c>
      <c r="K270" s="54">
        <v>5000</v>
      </c>
      <c r="L270" s="51">
        <v>1</v>
      </c>
      <c r="M270" s="54">
        <v>20000</v>
      </c>
      <c r="N270" s="53">
        <f t="shared" si="8"/>
        <v>-15000</v>
      </c>
      <c r="O270" s="53">
        <f t="shared" si="9"/>
        <v>15000</v>
      </c>
    </row>
    <row r="271" spans="1:15" x14ac:dyDescent="0.2">
      <c r="A271" s="51" t="s">
        <v>3567</v>
      </c>
      <c r="B271" s="51" t="s">
        <v>3568</v>
      </c>
      <c r="C271" s="51" t="s">
        <v>79</v>
      </c>
      <c r="D271" s="51" t="s">
        <v>798</v>
      </c>
      <c r="E271" s="51" t="s">
        <v>797</v>
      </c>
      <c r="F271" s="52">
        <v>17390.19766583708</v>
      </c>
      <c r="G271" s="52">
        <v>2605</v>
      </c>
      <c r="H271" s="52">
        <v>17450</v>
      </c>
      <c r="I271" s="52">
        <v>20055</v>
      </c>
      <c r="J271" s="51">
        <v>0</v>
      </c>
      <c r="K271" s="54">
        <v>0</v>
      </c>
      <c r="L271" s="51">
        <v>1</v>
      </c>
      <c r="M271" s="54">
        <v>5000</v>
      </c>
      <c r="N271" s="53">
        <f t="shared" si="8"/>
        <v>-5000</v>
      </c>
      <c r="O271" s="53">
        <f t="shared" si="9"/>
        <v>5000</v>
      </c>
    </row>
    <row r="272" spans="1:15" x14ac:dyDescent="0.2">
      <c r="A272" s="51" t="s">
        <v>3567</v>
      </c>
      <c r="B272" s="51" t="s">
        <v>3568</v>
      </c>
      <c r="C272" s="51" t="s">
        <v>3577</v>
      </c>
      <c r="D272" s="51" t="s">
        <v>3696</v>
      </c>
      <c r="E272" s="51" t="s">
        <v>3697</v>
      </c>
      <c r="F272" s="52">
        <v>35.104700000000001</v>
      </c>
      <c r="G272" s="52">
        <v>0</v>
      </c>
      <c r="H272" s="52">
        <v>0</v>
      </c>
      <c r="I272" s="52">
        <v>0</v>
      </c>
      <c r="J272" s="51">
        <v>0</v>
      </c>
      <c r="K272" s="54">
        <v>0</v>
      </c>
      <c r="L272" s="51">
        <v>0</v>
      </c>
      <c r="M272" s="54">
        <v>0</v>
      </c>
      <c r="N272" s="53">
        <f t="shared" si="8"/>
        <v>0</v>
      </c>
      <c r="O272" s="53">
        <f t="shared" si="9"/>
        <v>0</v>
      </c>
    </row>
    <row r="273" spans="1:15" x14ac:dyDescent="0.2">
      <c r="A273" s="51" t="s">
        <v>3567</v>
      </c>
      <c r="B273" s="51" t="s">
        <v>3568</v>
      </c>
      <c r="C273" s="51" t="s">
        <v>93</v>
      </c>
      <c r="D273" s="51" t="s">
        <v>790</v>
      </c>
      <c r="E273" s="51" t="s">
        <v>789</v>
      </c>
      <c r="F273" s="52">
        <v>6.0653451982318627</v>
      </c>
      <c r="G273" s="52">
        <v>0</v>
      </c>
      <c r="H273" s="52">
        <v>0</v>
      </c>
      <c r="I273" s="52">
        <v>0</v>
      </c>
      <c r="J273" s="51">
        <v>0</v>
      </c>
      <c r="K273" s="54">
        <v>0</v>
      </c>
      <c r="L273" s="51">
        <v>0</v>
      </c>
      <c r="M273" s="54">
        <v>0</v>
      </c>
      <c r="N273" s="53">
        <f t="shared" si="8"/>
        <v>0</v>
      </c>
      <c r="O273" s="53">
        <f t="shared" si="9"/>
        <v>0</v>
      </c>
    </row>
    <row r="274" spans="1:15" x14ac:dyDescent="0.2">
      <c r="A274" s="51" t="s">
        <v>3567</v>
      </c>
      <c r="B274" s="51" t="s">
        <v>3568</v>
      </c>
      <c r="C274" s="51" t="s">
        <v>82</v>
      </c>
      <c r="D274" s="51" t="s">
        <v>863</v>
      </c>
      <c r="E274" s="51" t="s">
        <v>862</v>
      </c>
      <c r="F274" s="52">
        <v>59.888900004299998</v>
      </c>
      <c r="G274" s="52">
        <v>0</v>
      </c>
      <c r="H274" s="52">
        <v>0</v>
      </c>
      <c r="I274" s="52">
        <v>0</v>
      </c>
      <c r="J274" s="51">
        <v>0</v>
      </c>
      <c r="K274" s="54">
        <v>0</v>
      </c>
      <c r="L274" s="51">
        <v>0</v>
      </c>
      <c r="M274" s="54">
        <v>0</v>
      </c>
      <c r="N274" s="53">
        <f t="shared" si="8"/>
        <v>0</v>
      </c>
      <c r="O274" s="53">
        <f t="shared" si="9"/>
        <v>0</v>
      </c>
    </row>
    <row r="275" spans="1:15" x14ac:dyDescent="0.2">
      <c r="A275" s="51" t="s">
        <v>3567</v>
      </c>
      <c r="B275" s="51" t="s">
        <v>3568</v>
      </c>
      <c r="C275" s="51" t="s">
        <v>56</v>
      </c>
      <c r="D275" s="51" t="s">
        <v>1800</v>
      </c>
      <c r="E275" s="51" t="s">
        <v>822</v>
      </c>
      <c r="F275" s="52">
        <v>8310.5601047349464</v>
      </c>
      <c r="G275" s="52">
        <v>0</v>
      </c>
      <c r="H275" s="52">
        <v>0</v>
      </c>
      <c r="I275" s="52">
        <v>0</v>
      </c>
      <c r="J275" s="51">
        <v>1</v>
      </c>
      <c r="K275" s="54">
        <v>6000</v>
      </c>
      <c r="L275" s="51">
        <v>0</v>
      </c>
      <c r="M275" s="54">
        <v>0</v>
      </c>
      <c r="N275" s="53">
        <f t="shared" si="8"/>
        <v>6000</v>
      </c>
      <c r="O275" s="53">
        <f t="shared" si="9"/>
        <v>-6000</v>
      </c>
    </row>
    <row r="276" spans="1:15" x14ac:dyDescent="0.2">
      <c r="A276" s="51" t="s">
        <v>3567</v>
      </c>
      <c r="B276" s="51" t="s">
        <v>3568</v>
      </c>
      <c r="C276" s="51" t="s">
        <v>52</v>
      </c>
      <c r="D276" s="51" t="s">
        <v>2866</v>
      </c>
      <c r="E276" s="51" t="s">
        <v>2865</v>
      </c>
      <c r="F276" s="52">
        <v>4333.9362532517362</v>
      </c>
      <c r="G276" s="52">
        <v>15300</v>
      </c>
      <c r="H276" s="52">
        <v>15000</v>
      </c>
      <c r="I276" s="52">
        <v>30300</v>
      </c>
      <c r="J276" s="51">
        <v>0</v>
      </c>
      <c r="K276" s="54">
        <v>0</v>
      </c>
      <c r="L276" s="51">
        <v>1</v>
      </c>
      <c r="M276" s="54">
        <v>6000</v>
      </c>
      <c r="N276" s="53">
        <f t="shared" si="8"/>
        <v>-6000</v>
      </c>
      <c r="O276" s="53">
        <f t="shared" si="9"/>
        <v>6000</v>
      </c>
    </row>
    <row r="277" spans="1:15" x14ac:dyDescent="0.2">
      <c r="A277" s="51" t="s">
        <v>3567</v>
      </c>
      <c r="B277" s="51" t="s">
        <v>3568</v>
      </c>
      <c r="C277" s="51" t="s">
        <v>79</v>
      </c>
      <c r="D277" s="51" t="s">
        <v>2024</v>
      </c>
      <c r="E277" s="51" t="s">
        <v>2023</v>
      </c>
      <c r="F277" s="52">
        <v>29909.654741305199</v>
      </c>
      <c r="G277" s="52">
        <v>0</v>
      </c>
      <c r="H277" s="52">
        <v>0</v>
      </c>
      <c r="I277" s="52">
        <v>0</v>
      </c>
      <c r="J277" s="51">
        <v>0</v>
      </c>
      <c r="K277" s="54">
        <v>0</v>
      </c>
      <c r="L277" s="51">
        <v>1</v>
      </c>
      <c r="M277" s="54">
        <v>6000</v>
      </c>
      <c r="N277" s="53">
        <f t="shared" si="8"/>
        <v>-6000</v>
      </c>
      <c r="O277" s="53">
        <f t="shared" si="9"/>
        <v>6000</v>
      </c>
    </row>
    <row r="278" spans="1:15" x14ac:dyDescent="0.2">
      <c r="A278" s="51" t="s">
        <v>3567</v>
      </c>
      <c r="B278" s="51" t="s">
        <v>3568</v>
      </c>
      <c r="C278" s="51" t="s">
        <v>66</v>
      </c>
      <c r="D278" s="51" t="s">
        <v>2007</v>
      </c>
      <c r="E278" s="51" t="s">
        <v>2006</v>
      </c>
      <c r="F278" s="52">
        <v>6825.0540641142507</v>
      </c>
      <c r="G278" s="52">
        <v>0</v>
      </c>
      <c r="H278" s="52">
        <v>500</v>
      </c>
      <c r="I278" s="52">
        <v>500</v>
      </c>
      <c r="J278" s="51">
        <v>1</v>
      </c>
      <c r="K278" s="54">
        <v>5000</v>
      </c>
      <c r="L278" s="51">
        <v>0</v>
      </c>
      <c r="M278" s="54">
        <v>0</v>
      </c>
      <c r="N278" s="53">
        <f t="shared" si="8"/>
        <v>5000</v>
      </c>
      <c r="O278" s="53">
        <f t="shared" si="9"/>
        <v>-5000</v>
      </c>
    </row>
    <row r="279" spans="1:15" x14ac:dyDescent="0.2">
      <c r="A279" s="51" t="s">
        <v>3567</v>
      </c>
      <c r="B279" s="51" t="s">
        <v>3568</v>
      </c>
      <c r="C279" s="51" t="s">
        <v>81</v>
      </c>
      <c r="D279" s="51" t="s">
        <v>888</v>
      </c>
      <c r="E279" s="51" t="s">
        <v>887</v>
      </c>
      <c r="F279" s="52">
        <v>9634.6655313311367</v>
      </c>
      <c r="G279" s="52">
        <v>700</v>
      </c>
      <c r="H279" s="52">
        <v>37030</v>
      </c>
      <c r="I279" s="52">
        <v>37730</v>
      </c>
      <c r="J279" s="51">
        <v>0</v>
      </c>
      <c r="K279" s="54">
        <v>0</v>
      </c>
      <c r="L279" s="51">
        <v>2</v>
      </c>
      <c r="M279" s="54">
        <v>55000</v>
      </c>
      <c r="N279" s="53">
        <f t="shared" si="8"/>
        <v>-55000</v>
      </c>
      <c r="O279" s="53">
        <f t="shared" si="9"/>
        <v>55000</v>
      </c>
    </row>
    <row r="280" spans="1:15" x14ac:dyDescent="0.2">
      <c r="A280" s="51" t="s">
        <v>3567</v>
      </c>
      <c r="B280" s="51" t="s">
        <v>3568</v>
      </c>
      <c r="C280" s="51" t="s">
        <v>70</v>
      </c>
      <c r="D280" s="51" t="s">
        <v>2050</v>
      </c>
      <c r="E280" s="51" t="s">
        <v>2049</v>
      </c>
      <c r="F280" s="52">
        <v>643.37144999999998</v>
      </c>
      <c r="G280" s="52">
        <v>8750</v>
      </c>
      <c r="H280" s="52">
        <v>15200</v>
      </c>
      <c r="I280" s="52">
        <v>23950</v>
      </c>
      <c r="J280" s="51">
        <v>0</v>
      </c>
      <c r="K280" s="54">
        <v>0</v>
      </c>
      <c r="L280" s="51">
        <v>1</v>
      </c>
      <c r="M280" s="54">
        <v>15000</v>
      </c>
      <c r="N280" s="53">
        <f t="shared" si="8"/>
        <v>-15000</v>
      </c>
      <c r="O280" s="53">
        <f t="shared" si="9"/>
        <v>15000</v>
      </c>
    </row>
    <row r="281" spans="1:15" x14ac:dyDescent="0.2">
      <c r="A281" s="51" t="s">
        <v>3567</v>
      </c>
      <c r="B281" s="51" t="s">
        <v>3568</v>
      </c>
      <c r="C281" s="51" t="s">
        <v>80</v>
      </c>
      <c r="D281" s="51" t="s">
        <v>2289</v>
      </c>
      <c r="E281" s="51" t="s">
        <v>2288</v>
      </c>
      <c r="F281" s="52">
        <v>4865.5178029441568</v>
      </c>
      <c r="G281" s="52">
        <v>1700</v>
      </c>
      <c r="H281" s="52">
        <v>1360</v>
      </c>
      <c r="I281" s="52">
        <v>3060</v>
      </c>
      <c r="J281" s="51">
        <v>1</v>
      </c>
      <c r="K281" s="54">
        <v>5000</v>
      </c>
      <c r="L281" s="51">
        <v>0</v>
      </c>
      <c r="M281" s="54">
        <v>0</v>
      </c>
      <c r="N281" s="53">
        <f t="shared" si="8"/>
        <v>5000</v>
      </c>
      <c r="O281" s="53">
        <f t="shared" si="9"/>
        <v>-5000</v>
      </c>
    </row>
    <row r="282" spans="1:15" x14ac:dyDescent="0.2">
      <c r="A282" s="51" t="s">
        <v>3567</v>
      </c>
      <c r="B282" s="51" t="s">
        <v>3568</v>
      </c>
      <c r="C282" s="51" t="s">
        <v>74</v>
      </c>
      <c r="D282" s="51" t="s">
        <v>3456</v>
      </c>
      <c r="E282" s="51" t="s">
        <v>3455</v>
      </c>
      <c r="F282" s="52">
        <v>25890.574400000001</v>
      </c>
      <c r="G282" s="52">
        <v>1100</v>
      </c>
      <c r="H282" s="52">
        <v>36515</v>
      </c>
      <c r="I282" s="52">
        <v>37615</v>
      </c>
      <c r="J282" s="51">
        <v>1</v>
      </c>
      <c r="K282" s="54">
        <v>5000</v>
      </c>
      <c r="L282" s="51">
        <v>1</v>
      </c>
      <c r="M282" s="54">
        <v>40000</v>
      </c>
      <c r="N282" s="53">
        <f t="shared" si="8"/>
        <v>-35000</v>
      </c>
      <c r="O282" s="53">
        <f t="shared" si="9"/>
        <v>35000</v>
      </c>
    </row>
    <row r="283" spans="1:15" x14ac:dyDescent="0.2">
      <c r="A283" s="51" t="s">
        <v>3567</v>
      </c>
      <c r="B283" s="51" t="s">
        <v>3568</v>
      </c>
      <c r="C283" s="51" t="s">
        <v>85</v>
      </c>
      <c r="D283" s="51" t="s">
        <v>2952</v>
      </c>
      <c r="E283" s="51" t="s">
        <v>2951</v>
      </c>
      <c r="F283" s="52">
        <v>0.90298029351810905</v>
      </c>
      <c r="G283" s="52">
        <v>0</v>
      </c>
      <c r="H283" s="52">
        <v>0</v>
      </c>
      <c r="I283" s="52">
        <v>0</v>
      </c>
      <c r="J283" s="51">
        <v>0</v>
      </c>
      <c r="K283" s="54">
        <v>0</v>
      </c>
      <c r="L283" s="51">
        <v>0</v>
      </c>
      <c r="M283" s="54">
        <v>0</v>
      </c>
      <c r="N283" s="53">
        <f t="shared" si="8"/>
        <v>0</v>
      </c>
      <c r="O283" s="53">
        <f t="shared" si="9"/>
        <v>0</v>
      </c>
    </row>
    <row r="284" spans="1:15" x14ac:dyDescent="0.2">
      <c r="A284" s="51" t="s">
        <v>3567</v>
      </c>
      <c r="B284" s="51" t="s">
        <v>3568</v>
      </c>
      <c r="C284" s="51" t="s">
        <v>65</v>
      </c>
      <c r="D284" s="51" t="s">
        <v>2628</v>
      </c>
      <c r="E284" s="51" t="s">
        <v>2627</v>
      </c>
      <c r="F284" s="52">
        <v>5083.8406999999997</v>
      </c>
      <c r="G284" s="52">
        <v>0</v>
      </c>
      <c r="H284" s="52">
        <v>0</v>
      </c>
      <c r="I284" s="52">
        <v>0</v>
      </c>
      <c r="J284" s="51">
        <v>1</v>
      </c>
      <c r="K284" s="54">
        <v>5000</v>
      </c>
      <c r="L284" s="51">
        <v>0</v>
      </c>
      <c r="M284" s="54">
        <v>0</v>
      </c>
      <c r="N284" s="53">
        <f t="shared" si="8"/>
        <v>5000</v>
      </c>
      <c r="O284" s="53">
        <f t="shared" si="9"/>
        <v>-5000</v>
      </c>
    </row>
    <row r="285" spans="1:15" x14ac:dyDescent="0.2">
      <c r="A285" s="51" t="s">
        <v>3567</v>
      </c>
      <c r="B285" s="51" t="s">
        <v>3568</v>
      </c>
      <c r="C285" s="51" t="s">
        <v>3583</v>
      </c>
      <c r="D285" s="51" t="s">
        <v>3671</v>
      </c>
      <c r="E285" s="51" t="s">
        <v>3672</v>
      </c>
      <c r="F285" s="52">
        <v>34.967265235525403</v>
      </c>
      <c r="G285" s="52">
        <v>0</v>
      </c>
      <c r="H285" s="52">
        <v>0</v>
      </c>
      <c r="I285" s="52">
        <v>0</v>
      </c>
      <c r="J285" s="51">
        <v>0</v>
      </c>
      <c r="K285" s="54">
        <v>0</v>
      </c>
      <c r="L285" s="51">
        <v>0</v>
      </c>
      <c r="M285" s="54">
        <v>0</v>
      </c>
      <c r="N285" s="53">
        <f t="shared" si="8"/>
        <v>0</v>
      </c>
      <c r="O285" s="53">
        <f t="shared" si="9"/>
        <v>0</v>
      </c>
    </row>
    <row r="286" spans="1:15" x14ac:dyDescent="0.2">
      <c r="A286" s="51" t="s">
        <v>3567</v>
      </c>
      <c r="B286" s="51" t="s">
        <v>3568</v>
      </c>
      <c r="C286" s="51" t="s">
        <v>80</v>
      </c>
      <c r="D286" s="51" t="s">
        <v>3380</v>
      </c>
      <c r="E286" s="51" t="s">
        <v>3379</v>
      </c>
      <c r="F286" s="52">
        <v>60785.106365695698</v>
      </c>
      <c r="G286" s="52">
        <v>11970</v>
      </c>
      <c r="H286" s="52">
        <v>60125</v>
      </c>
      <c r="I286" s="52">
        <v>72095</v>
      </c>
      <c r="J286" s="51">
        <v>0</v>
      </c>
      <c r="K286" s="54">
        <v>0</v>
      </c>
      <c r="L286" s="51">
        <v>1</v>
      </c>
      <c r="M286" s="54">
        <v>5000</v>
      </c>
      <c r="N286" s="53">
        <f t="shared" si="8"/>
        <v>-5000</v>
      </c>
      <c r="O286" s="53">
        <f t="shared" si="9"/>
        <v>5000</v>
      </c>
    </row>
    <row r="287" spans="1:15" x14ac:dyDescent="0.2">
      <c r="A287" s="51" t="s">
        <v>3567</v>
      </c>
      <c r="B287" s="51" t="s">
        <v>3568</v>
      </c>
      <c r="C287" s="51" t="s">
        <v>3725</v>
      </c>
      <c r="D287" s="51" t="s">
        <v>3726</v>
      </c>
      <c r="E287" s="51" t="s">
        <v>3727</v>
      </c>
      <c r="F287" s="52">
        <v>20.840002554400002</v>
      </c>
      <c r="G287" s="52">
        <v>0</v>
      </c>
      <c r="H287" s="52">
        <v>0</v>
      </c>
      <c r="I287" s="52">
        <v>0</v>
      </c>
      <c r="J287" s="51">
        <v>0</v>
      </c>
      <c r="K287" s="54">
        <v>0</v>
      </c>
      <c r="L287" s="51">
        <v>0</v>
      </c>
      <c r="M287" s="54">
        <v>0</v>
      </c>
      <c r="N287" s="53">
        <f t="shared" si="8"/>
        <v>0</v>
      </c>
      <c r="O287" s="53">
        <f t="shared" si="9"/>
        <v>0</v>
      </c>
    </row>
    <row r="288" spans="1:15" x14ac:dyDescent="0.2">
      <c r="A288" s="51" t="s">
        <v>3567</v>
      </c>
      <c r="B288" s="51" t="s">
        <v>3568</v>
      </c>
      <c r="C288" s="51" t="s">
        <v>78</v>
      </c>
      <c r="D288" s="51" t="s">
        <v>758</v>
      </c>
      <c r="E288" s="51" t="s">
        <v>757</v>
      </c>
      <c r="F288" s="52">
        <v>4511.9255999999996</v>
      </c>
      <c r="G288" s="52">
        <v>24700</v>
      </c>
      <c r="H288" s="52">
        <v>58700</v>
      </c>
      <c r="I288" s="52">
        <v>83400</v>
      </c>
      <c r="J288" s="51">
        <v>0</v>
      </c>
      <c r="K288" s="54">
        <v>0</v>
      </c>
      <c r="L288" s="51">
        <v>2</v>
      </c>
      <c r="M288" s="54">
        <v>30000</v>
      </c>
      <c r="N288" s="53">
        <f t="shared" si="8"/>
        <v>-30000</v>
      </c>
      <c r="O288" s="53">
        <f t="shared" si="9"/>
        <v>30000</v>
      </c>
    </row>
    <row r="289" spans="1:15" x14ac:dyDescent="0.2">
      <c r="A289" s="51" t="s">
        <v>3567</v>
      </c>
      <c r="B289" s="51" t="s">
        <v>3568</v>
      </c>
      <c r="C289" s="51" t="s">
        <v>76</v>
      </c>
      <c r="D289" s="51" t="s">
        <v>1234</v>
      </c>
      <c r="E289" s="51" t="s">
        <v>1233</v>
      </c>
      <c r="F289" s="52">
        <v>2741.0107473274952</v>
      </c>
      <c r="G289" s="52">
        <v>0</v>
      </c>
      <c r="H289" s="52">
        <v>4975</v>
      </c>
      <c r="I289" s="52">
        <v>4975</v>
      </c>
      <c r="J289" s="51">
        <v>1</v>
      </c>
      <c r="K289" s="54">
        <v>5000</v>
      </c>
      <c r="L289" s="51">
        <v>1</v>
      </c>
      <c r="M289" s="54">
        <v>10000</v>
      </c>
      <c r="N289" s="53">
        <f t="shared" si="8"/>
        <v>-5000</v>
      </c>
      <c r="O289" s="53">
        <f t="shared" si="9"/>
        <v>5000</v>
      </c>
    </row>
    <row r="290" spans="1:15" x14ac:dyDescent="0.2">
      <c r="A290" s="51" t="s">
        <v>3567</v>
      </c>
      <c r="B290" s="51" t="s">
        <v>3568</v>
      </c>
      <c r="C290" s="51" t="s">
        <v>79</v>
      </c>
      <c r="D290" s="51" t="s">
        <v>216</v>
      </c>
      <c r="E290" s="51" t="s">
        <v>215</v>
      </c>
      <c r="F290" s="52">
        <v>32.378599999999999</v>
      </c>
      <c r="G290" s="52">
        <v>0</v>
      </c>
      <c r="H290" s="52">
        <v>0</v>
      </c>
      <c r="I290" s="52">
        <v>0</v>
      </c>
      <c r="J290" s="51">
        <v>0</v>
      </c>
      <c r="K290" s="54">
        <v>0</v>
      </c>
      <c r="L290" s="51">
        <v>0</v>
      </c>
      <c r="M290" s="54">
        <v>0</v>
      </c>
      <c r="N290" s="53">
        <f t="shared" si="8"/>
        <v>0</v>
      </c>
      <c r="O290" s="53">
        <f t="shared" si="9"/>
        <v>0</v>
      </c>
    </row>
    <row r="291" spans="1:15" x14ac:dyDescent="0.2">
      <c r="A291" s="51" t="s">
        <v>3567</v>
      </c>
      <c r="B291" s="51" t="s">
        <v>3568</v>
      </c>
      <c r="C291" s="51" t="s">
        <v>3718</v>
      </c>
      <c r="D291" s="51" t="s">
        <v>3728</v>
      </c>
      <c r="E291" s="51" t="s">
        <v>145</v>
      </c>
      <c r="F291" s="52">
        <v>10.46339773849621</v>
      </c>
      <c r="G291" s="52">
        <v>0</v>
      </c>
      <c r="H291" s="52">
        <v>0</v>
      </c>
      <c r="I291" s="52">
        <v>0</v>
      </c>
      <c r="J291" s="51">
        <v>0</v>
      </c>
      <c r="K291" s="54">
        <v>0</v>
      </c>
      <c r="L291" s="51">
        <v>0</v>
      </c>
      <c r="M291" s="54">
        <v>0</v>
      </c>
      <c r="N291" s="53">
        <f t="shared" si="8"/>
        <v>0</v>
      </c>
      <c r="O291" s="53">
        <f t="shared" si="9"/>
        <v>0</v>
      </c>
    </row>
    <row r="292" spans="1:15" x14ac:dyDescent="0.2">
      <c r="A292" s="51" t="s">
        <v>3567</v>
      </c>
      <c r="B292" s="51" t="s">
        <v>3568</v>
      </c>
      <c r="C292" s="51" t="s">
        <v>53</v>
      </c>
      <c r="D292" s="51" t="s">
        <v>3723</v>
      </c>
      <c r="E292" s="51" t="s">
        <v>3724</v>
      </c>
      <c r="F292" s="52">
        <v>3.2528999999999999</v>
      </c>
      <c r="G292" s="52">
        <v>0</v>
      </c>
      <c r="H292" s="52">
        <v>0</v>
      </c>
      <c r="I292" s="52">
        <v>0</v>
      </c>
      <c r="J292" s="51">
        <v>0</v>
      </c>
      <c r="K292" s="54">
        <v>0</v>
      </c>
      <c r="L292" s="51">
        <v>0</v>
      </c>
      <c r="M292" s="54">
        <v>0</v>
      </c>
      <c r="N292" s="53">
        <f t="shared" si="8"/>
        <v>0</v>
      </c>
      <c r="O292" s="53">
        <f t="shared" si="9"/>
        <v>0</v>
      </c>
    </row>
    <row r="293" spans="1:15" x14ac:dyDescent="0.2">
      <c r="A293" s="51" t="s">
        <v>3567</v>
      </c>
      <c r="B293" s="51" t="s">
        <v>3568</v>
      </c>
      <c r="C293" s="51" t="s">
        <v>3650</v>
      </c>
      <c r="D293" s="51" t="s">
        <v>3694</v>
      </c>
      <c r="E293" s="51" t="s">
        <v>3695</v>
      </c>
      <c r="F293" s="52">
        <v>1.1218999999999999</v>
      </c>
      <c r="G293" s="52">
        <v>0</v>
      </c>
      <c r="H293" s="52">
        <v>0</v>
      </c>
      <c r="I293" s="52">
        <v>0</v>
      </c>
      <c r="J293" s="51">
        <v>0</v>
      </c>
      <c r="K293" s="54">
        <v>0</v>
      </c>
      <c r="L293" s="51">
        <v>0</v>
      </c>
      <c r="M293" s="54">
        <v>0</v>
      </c>
      <c r="N293" s="53">
        <f t="shared" si="8"/>
        <v>0</v>
      </c>
      <c r="O293" s="53">
        <f t="shared" si="9"/>
        <v>0</v>
      </c>
    </row>
    <row r="294" spans="1:15" x14ac:dyDescent="0.2">
      <c r="A294" s="51" t="s">
        <v>3567</v>
      </c>
      <c r="B294" s="51" t="s">
        <v>3568</v>
      </c>
      <c r="C294" s="51" t="s">
        <v>52</v>
      </c>
      <c r="D294" s="51" t="s">
        <v>1759</v>
      </c>
      <c r="E294" s="51" t="s">
        <v>1758</v>
      </c>
      <c r="F294" s="52">
        <v>448.44654166605773</v>
      </c>
      <c r="G294" s="52">
        <v>5240</v>
      </c>
      <c r="H294" s="52">
        <v>1626</v>
      </c>
      <c r="I294" s="52">
        <v>6866</v>
      </c>
      <c r="J294" s="51">
        <v>0</v>
      </c>
      <c r="K294" s="54">
        <v>0</v>
      </c>
      <c r="L294" s="51">
        <v>0</v>
      </c>
      <c r="M294" s="54">
        <v>0</v>
      </c>
      <c r="N294" s="53">
        <f t="shared" si="8"/>
        <v>0</v>
      </c>
      <c r="O294" s="53">
        <f t="shared" si="9"/>
        <v>0</v>
      </c>
    </row>
    <row r="295" spans="1:15" x14ac:dyDescent="0.2">
      <c r="A295" s="51" t="s">
        <v>3567</v>
      </c>
      <c r="B295" s="51" t="s">
        <v>3568</v>
      </c>
      <c r="C295" s="51" t="s">
        <v>83</v>
      </c>
      <c r="D295" s="51" t="s">
        <v>859</v>
      </c>
      <c r="E295" s="51" t="s">
        <v>858</v>
      </c>
      <c r="F295" s="52">
        <v>1096.904436617672</v>
      </c>
      <c r="G295" s="52">
        <v>2805</v>
      </c>
      <c r="H295" s="52">
        <v>12880</v>
      </c>
      <c r="I295" s="52">
        <v>15685</v>
      </c>
      <c r="J295" s="51">
        <v>2</v>
      </c>
      <c r="K295" s="54">
        <v>7000</v>
      </c>
      <c r="L295" s="51">
        <v>1</v>
      </c>
      <c r="M295" s="54">
        <v>16000</v>
      </c>
      <c r="N295" s="53">
        <f t="shared" si="8"/>
        <v>-9000</v>
      </c>
      <c r="O295" s="53">
        <f t="shared" si="9"/>
        <v>9000</v>
      </c>
    </row>
    <row r="296" spans="1:15" x14ac:dyDescent="0.2">
      <c r="A296" s="51" t="s">
        <v>3567</v>
      </c>
      <c r="B296" s="51" t="s">
        <v>3568</v>
      </c>
      <c r="C296" s="51" t="s">
        <v>86</v>
      </c>
      <c r="D296" s="51" t="s">
        <v>851</v>
      </c>
      <c r="E296" s="51" t="s">
        <v>850</v>
      </c>
      <c r="F296" s="52">
        <v>2226.099828153518</v>
      </c>
      <c r="G296" s="52">
        <v>2400</v>
      </c>
      <c r="H296" s="52">
        <v>3800</v>
      </c>
      <c r="I296" s="52">
        <v>6200</v>
      </c>
      <c r="J296" s="51">
        <v>0</v>
      </c>
      <c r="K296" s="54">
        <v>0</v>
      </c>
      <c r="L296" s="51">
        <v>1</v>
      </c>
      <c r="M296" s="54">
        <v>5000</v>
      </c>
      <c r="N296" s="53">
        <f t="shared" si="8"/>
        <v>-5000</v>
      </c>
      <c r="O296" s="53">
        <f t="shared" si="9"/>
        <v>5000</v>
      </c>
    </row>
    <row r="297" spans="1:15" x14ac:dyDescent="0.2">
      <c r="A297" s="51" t="s">
        <v>3567</v>
      </c>
      <c r="B297" s="51" t="s">
        <v>3568</v>
      </c>
      <c r="C297" s="51" t="s">
        <v>3627</v>
      </c>
      <c r="D297" s="51" t="s">
        <v>3669</v>
      </c>
      <c r="E297" s="51" t="s">
        <v>3670</v>
      </c>
      <c r="F297" s="52">
        <v>30.50926524342033</v>
      </c>
      <c r="G297" s="52">
        <v>0</v>
      </c>
      <c r="H297" s="52">
        <v>0</v>
      </c>
      <c r="I297" s="52">
        <v>0</v>
      </c>
      <c r="J297" s="51">
        <v>0</v>
      </c>
      <c r="K297" s="54">
        <v>0</v>
      </c>
      <c r="L297" s="51">
        <v>0</v>
      </c>
      <c r="M297" s="54">
        <v>0</v>
      </c>
      <c r="N297" s="53">
        <f t="shared" si="8"/>
        <v>0</v>
      </c>
      <c r="O297" s="53">
        <f t="shared" si="9"/>
        <v>0</v>
      </c>
    </row>
    <row r="298" spans="1:15" x14ac:dyDescent="0.2">
      <c r="A298" s="51" t="s">
        <v>3567</v>
      </c>
      <c r="B298" s="51" t="s">
        <v>3568</v>
      </c>
      <c r="C298" s="51" t="s">
        <v>81</v>
      </c>
      <c r="D298" s="51" t="s">
        <v>2094</v>
      </c>
      <c r="E298" s="51" t="s">
        <v>2093</v>
      </c>
      <c r="F298" s="52">
        <v>20846.0713332915</v>
      </c>
      <c r="G298" s="52">
        <v>5300</v>
      </c>
      <c r="H298" s="52">
        <v>16560</v>
      </c>
      <c r="I298" s="52">
        <v>21860</v>
      </c>
      <c r="J298" s="51">
        <v>0</v>
      </c>
      <c r="K298" s="54">
        <v>0</v>
      </c>
      <c r="L298" s="51">
        <v>1</v>
      </c>
      <c r="M298" s="54">
        <v>5000</v>
      </c>
      <c r="N298" s="53">
        <f t="shared" si="8"/>
        <v>-5000</v>
      </c>
      <c r="O298" s="53">
        <f t="shared" si="9"/>
        <v>5000</v>
      </c>
    </row>
    <row r="299" spans="1:15" x14ac:dyDescent="0.2">
      <c r="A299" s="51" t="s">
        <v>3567</v>
      </c>
      <c r="B299" s="51" t="s">
        <v>3568</v>
      </c>
      <c r="C299" s="51" t="s">
        <v>61</v>
      </c>
      <c r="D299" s="51" t="s">
        <v>3481</v>
      </c>
      <c r="E299" s="51" t="s">
        <v>3480</v>
      </c>
      <c r="F299" s="52">
        <v>30866.5347011581</v>
      </c>
      <c r="G299" s="52">
        <v>0</v>
      </c>
      <c r="H299" s="52">
        <v>1800</v>
      </c>
      <c r="I299" s="52">
        <v>1800</v>
      </c>
      <c r="J299" s="51">
        <v>1</v>
      </c>
      <c r="K299" s="54">
        <v>24000</v>
      </c>
      <c r="L299" s="51">
        <v>0</v>
      </c>
      <c r="M299" s="54">
        <v>0</v>
      </c>
      <c r="N299" s="53">
        <f t="shared" si="8"/>
        <v>24000</v>
      </c>
      <c r="O299" s="53">
        <f t="shared" si="9"/>
        <v>-24000</v>
      </c>
    </row>
    <row r="300" spans="1:15" x14ac:dyDescent="0.2">
      <c r="A300" s="51" t="s">
        <v>3567</v>
      </c>
      <c r="B300" s="51" t="s">
        <v>3568</v>
      </c>
      <c r="C300" s="51" t="s">
        <v>3718</v>
      </c>
      <c r="D300" s="51" t="s">
        <v>3719</v>
      </c>
      <c r="E300" s="51" t="s">
        <v>3720</v>
      </c>
      <c r="F300" s="52">
        <v>14.31088003417624</v>
      </c>
      <c r="G300" s="52">
        <v>0</v>
      </c>
      <c r="H300" s="52">
        <v>0</v>
      </c>
      <c r="I300" s="52">
        <v>0</v>
      </c>
      <c r="J300" s="51">
        <v>0</v>
      </c>
      <c r="K300" s="54">
        <v>0</v>
      </c>
      <c r="L300" s="51">
        <v>0</v>
      </c>
      <c r="M300" s="54">
        <v>0</v>
      </c>
      <c r="N300" s="53">
        <f t="shared" si="8"/>
        <v>0</v>
      </c>
      <c r="O300" s="53">
        <f t="shared" si="9"/>
        <v>0</v>
      </c>
    </row>
    <row r="301" spans="1:15" x14ac:dyDescent="0.2">
      <c r="A301" s="51" t="s">
        <v>3567</v>
      </c>
      <c r="B301" s="51" t="s">
        <v>3568</v>
      </c>
      <c r="C301" s="51" t="s">
        <v>55</v>
      </c>
      <c r="D301" s="51" t="s">
        <v>162</v>
      </c>
      <c r="E301" s="51" t="s">
        <v>161</v>
      </c>
      <c r="F301" s="52">
        <v>215.76814999999999</v>
      </c>
      <c r="G301" s="52">
        <v>1200</v>
      </c>
      <c r="H301" s="52">
        <v>0</v>
      </c>
      <c r="I301" s="52">
        <v>1200</v>
      </c>
      <c r="J301" s="51">
        <v>0</v>
      </c>
      <c r="K301" s="54">
        <v>0</v>
      </c>
      <c r="L301" s="51">
        <v>1</v>
      </c>
      <c r="M301" s="54">
        <v>6000</v>
      </c>
      <c r="N301" s="53">
        <f t="shared" si="8"/>
        <v>-6000</v>
      </c>
      <c r="O301" s="53">
        <f t="shared" si="9"/>
        <v>6000</v>
      </c>
    </row>
    <row r="302" spans="1:15" x14ac:dyDescent="0.2">
      <c r="A302" s="51" t="s">
        <v>3567</v>
      </c>
      <c r="B302" s="51" t="s">
        <v>3568</v>
      </c>
      <c r="C302" s="51" t="s">
        <v>92</v>
      </c>
      <c r="D302" s="51" t="s">
        <v>2118</v>
      </c>
      <c r="E302" s="51" t="s">
        <v>2117</v>
      </c>
      <c r="F302" s="52">
        <v>10859.69662429725</v>
      </c>
      <c r="G302" s="52">
        <v>4410</v>
      </c>
      <c r="H302" s="52">
        <v>3500</v>
      </c>
      <c r="I302" s="52">
        <v>7910</v>
      </c>
      <c r="J302" s="51">
        <v>0</v>
      </c>
      <c r="K302" s="54">
        <v>0</v>
      </c>
      <c r="L302" s="51">
        <v>1</v>
      </c>
      <c r="M302" s="54">
        <v>10000</v>
      </c>
      <c r="N302" s="53">
        <f t="shared" si="8"/>
        <v>-10000</v>
      </c>
      <c r="O302" s="53">
        <f t="shared" si="9"/>
        <v>10000</v>
      </c>
    </row>
    <row r="303" spans="1:15" x14ac:dyDescent="0.2">
      <c r="A303" s="51" t="s">
        <v>3567</v>
      </c>
      <c r="B303" s="51" t="s">
        <v>3568</v>
      </c>
      <c r="C303" s="51" t="s">
        <v>72</v>
      </c>
      <c r="D303" s="51" t="s">
        <v>2576</v>
      </c>
      <c r="E303" s="51" t="s">
        <v>2575</v>
      </c>
      <c r="F303" s="52">
        <v>9973.3110792412899</v>
      </c>
      <c r="G303" s="52">
        <v>10705</v>
      </c>
      <c r="H303" s="52">
        <v>0</v>
      </c>
      <c r="I303" s="52">
        <v>10705</v>
      </c>
      <c r="J303" s="51">
        <v>3</v>
      </c>
      <c r="K303" s="54">
        <v>20000</v>
      </c>
      <c r="L303" s="51">
        <v>0</v>
      </c>
      <c r="M303" s="54">
        <v>0</v>
      </c>
      <c r="N303" s="53">
        <f t="shared" si="8"/>
        <v>20000</v>
      </c>
      <c r="O303" s="53">
        <f t="shared" si="9"/>
        <v>-20000</v>
      </c>
    </row>
    <row r="304" spans="1:15" x14ac:dyDescent="0.2">
      <c r="A304" s="51" t="s">
        <v>3567</v>
      </c>
      <c r="B304" s="51" t="s">
        <v>3568</v>
      </c>
      <c r="C304" s="51" t="s">
        <v>86</v>
      </c>
      <c r="D304" s="51" t="s">
        <v>2549</v>
      </c>
      <c r="E304" s="51" t="s">
        <v>2548</v>
      </c>
      <c r="F304" s="52">
        <v>2990.5799368745029</v>
      </c>
      <c r="G304" s="52">
        <v>1510</v>
      </c>
      <c r="H304" s="52">
        <v>9096</v>
      </c>
      <c r="I304" s="52">
        <v>10606</v>
      </c>
      <c r="J304" s="51">
        <v>0</v>
      </c>
      <c r="K304" s="54">
        <v>0</v>
      </c>
      <c r="L304" s="51">
        <v>1</v>
      </c>
      <c r="M304" s="54">
        <v>5000</v>
      </c>
      <c r="N304" s="53">
        <f t="shared" si="8"/>
        <v>-5000</v>
      </c>
      <c r="O304" s="53">
        <f t="shared" si="9"/>
        <v>5000</v>
      </c>
    </row>
    <row r="305" spans="1:15" x14ac:dyDescent="0.2">
      <c r="A305" s="51" t="s">
        <v>3567</v>
      </c>
      <c r="B305" s="51" t="s">
        <v>3568</v>
      </c>
      <c r="C305" s="51" t="s">
        <v>70</v>
      </c>
      <c r="D305" s="51" t="s">
        <v>1461</v>
      </c>
      <c r="E305" s="51" t="s">
        <v>1460</v>
      </c>
      <c r="F305" s="52">
        <v>22870.310743478301</v>
      </c>
      <c r="G305" s="52">
        <v>6020</v>
      </c>
      <c r="H305" s="52">
        <v>8945</v>
      </c>
      <c r="I305" s="52">
        <v>14965</v>
      </c>
      <c r="J305" s="51">
        <v>0</v>
      </c>
      <c r="K305" s="54">
        <v>0</v>
      </c>
      <c r="L305" s="51">
        <v>0</v>
      </c>
      <c r="M305" s="54">
        <v>0</v>
      </c>
      <c r="N305" s="53">
        <f t="shared" si="8"/>
        <v>0</v>
      </c>
      <c r="O305" s="53">
        <f t="shared" si="9"/>
        <v>0</v>
      </c>
    </row>
    <row r="306" spans="1:15" x14ac:dyDescent="0.2">
      <c r="A306" s="51" t="s">
        <v>3567</v>
      </c>
      <c r="B306" s="51" t="s">
        <v>3568</v>
      </c>
      <c r="C306" s="51" t="s">
        <v>55</v>
      </c>
      <c r="D306" s="51" t="s">
        <v>2915</v>
      </c>
      <c r="E306" s="51" t="s">
        <v>2914</v>
      </c>
      <c r="F306" s="52">
        <v>46580.569000000003</v>
      </c>
      <c r="G306" s="52">
        <v>0</v>
      </c>
      <c r="H306" s="52">
        <v>1115</v>
      </c>
      <c r="I306" s="52">
        <v>1115</v>
      </c>
      <c r="J306" s="51">
        <v>2</v>
      </c>
      <c r="K306" s="54">
        <v>40000</v>
      </c>
      <c r="L306" s="51">
        <v>0</v>
      </c>
      <c r="M306" s="54">
        <v>0</v>
      </c>
      <c r="N306" s="53">
        <f t="shared" si="8"/>
        <v>40000</v>
      </c>
      <c r="O306" s="53">
        <f t="shared" si="9"/>
        <v>-40000</v>
      </c>
    </row>
    <row r="307" spans="1:15" x14ac:dyDescent="0.2">
      <c r="A307" s="51" t="s">
        <v>3567</v>
      </c>
      <c r="B307" s="51" t="s">
        <v>3568</v>
      </c>
      <c r="C307" s="51" t="s">
        <v>55</v>
      </c>
      <c r="D307" s="51" t="s">
        <v>3662</v>
      </c>
      <c r="E307" s="51" t="s">
        <v>3663</v>
      </c>
      <c r="F307" s="52">
        <v>92.957800000000006</v>
      </c>
      <c r="G307" s="52">
        <v>0</v>
      </c>
      <c r="H307" s="52">
        <v>0</v>
      </c>
      <c r="I307" s="52">
        <v>0</v>
      </c>
      <c r="J307" s="51">
        <v>0</v>
      </c>
      <c r="K307" s="54">
        <v>0</v>
      </c>
      <c r="L307" s="51">
        <v>0</v>
      </c>
      <c r="M307" s="54">
        <v>0</v>
      </c>
      <c r="N307" s="53">
        <f t="shared" si="8"/>
        <v>0</v>
      </c>
      <c r="O307" s="53">
        <f t="shared" si="9"/>
        <v>0</v>
      </c>
    </row>
    <row r="308" spans="1:15" x14ac:dyDescent="0.2">
      <c r="A308" s="51" t="s">
        <v>3567</v>
      </c>
      <c r="B308" s="51" t="s">
        <v>3568</v>
      </c>
      <c r="C308" s="51" t="s">
        <v>54</v>
      </c>
      <c r="D308" s="51" t="s">
        <v>3230</v>
      </c>
      <c r="E308" s="51" t="s">
        <v>3229</v>
      </c>
      <c r="F308" s="52">
        <v>7769.6948060062896</v>
      </c>
      <c r="G308" s="52">
        <v>0</v>
      </c>
      <c r="H308" s="52">
        <v>2500</v>
      </c>
      <c r="I308" s="52">
        <v>2500</v>
      </c>
      <c r="J308" s="51">
        <v>1</v>
      </c>
      <c r="K308" s="54">
        <v>5000</v>
      </c>
      <c r="L308" s="51">
        <v>0</v>
      </c>
      <c r="M308" s="54">
        <v>0</v>
      </c>
      <c r="N308" s="53">
        <f t="shared" si="8"/>
        <v>5000</v>
      </c>
      <c r="O308" s="53">
        <f t="shared" si="9"/>
        <v>-5000</v>
      </c>
    </row>
    <row r="309" spans="1:15" x14ac:dyDescent="0.2">
      <c r="A309" s="51" t="s">
        <v>3567</v>
      </c>
      <c r="B309" s="51" t="s">
        <v>3568</v>
      </c>
      <c r="C309" s="51" t="s">
        <v>64</v>
      </c>
      <c r="D309" s="51" t="s">
        <v>2635</v>
      </c>
      <c r="E309" s="51" t="s">
        <v>147</v>
      </c>
      <c r="F309" s="52">
        <v>22.531199999999998</v>
      </c>
      <c r="G309" s="52">
        <v>5020</v>
      </c>
      <c r="H309" s="52">
        <v>0</v>
      </c>
      <c r="I309" s="52">
        <v>5020</v>
      </c>
      <c r="J309" s="51">
        <v>1</v>
      </c>
      <c r="K309" s="54">
        <v>5000</v>
      </c>
      <c r="L309" s="51">
        <v>0</v>
      </c>
      <c r="M309" s="54">
        <v>0</v>
      </c>
      <c r="N309" s="53">
        <f t="shared" si="8"/>
        <v>5000</v>
      </c>
      <c r="O309" s="53">
        <f t="shared" si="9"/>
        <v>-5000</v>
      </c>
    </row>
    <row r="310" spans="1:15" x14ac:dyDescent="0.2">
      <c r="A310" s="51" t="s">
        <v>3567</v>
      </c>
      <c r="B310" s="51" t="s">
        <v>3568</v>
      </c>
      <c r="C310" s="51" t="s">
        <v>67</v>
      </c>
      <c r="D310" s="51" t="s">
        <v>2570</v>
      </c>
      <c r="E310" s="51" t="s">
        <v>2569</v>
      </c>
      <c r="F310" s="52">
        <v>5564.0790999999999</v>
      </c>
      <c r="G310" s="52">
        <v>302</v>
      </c>
      <c r="H310" s="52">
        <v>30970</v>
      </c>
      <c r="I310" s="52">
        <v>31272</v>
      </c>
      <c r="J310" s="51">
        <v>0</v>
      </c>
      <c r="K310" s="54">
        <v>0</v>
      </c>
      <c r="L310" s="51">
        <v>1</v>
      </c>
      <c r="M310" s="54">
        <v>27000</v>
      </c>
      <c r="N310" s="53">
        <f t="shared" si="8"/>
        <v>-27000</v>
      </c>
      <c r="O310" s="53">
        <f t="shared" si="9"/>
        <v>27000</v>
      </c>
    </row>
    <row r="311" spans="1:15" x14ac:dyDescent="0.2">
      <c r="A311" s="51" t="s">
        <v>3567</v>
      </c>
      <c r="B311" s="51" t="s">
        <v>3568</v>
      </c>
      <c r="C311" s="51" t="s">
        <v>75</v>
      </c>
      <c r="D311" s="51" t="s">
        <v>1000</v>
      </c>
      <c r="E311" s="51" t="s">
        <v>999</v>
      </c>
      <c r="F311" s="52">
        <v>6423.3078322115944</v>
      </c>
      <c r="G311" s="52">
        <v>0</v>
      </c>
      <c r="H311" s="52">
        <v>16330</v>
      </c>
      <c r="I311" s="52">
        <v>16330</v>
      </c>
      <c r="J311" s="51">
        <v>0</v>
      </c>
      <c r="K311" s="54">
        <v>0</v>
      </c>
      <c r="L311" s="51">
        <v>1</v>
      </c>
      <c r="M311" s="54">
        <v>12000</v>
      </c>
      <c r="N311" s="53">
        <f t="shared" si="8"/>
        <v>-12000</v>
      </c>
      <c r="O311" s="53">
        <f t="shared" si="9"/>
        <v>12000</v>
      </c>
    </row>
    <row r="312" spans="1:15" x14ac:dyDescent="0.2">
      <c r="A312" s="51" t="s">
        <v>3567</v>
      </c>
      <c r="B312" s="51" t="s">
        <v>3568</v>
      </c>
      <c r="C312" s="51" t="s">
        <v>80</v>
      </c>
      <c r="D312" s="51" t="s">
        <v>3721</v>
      </c>
      <c r="E312" s="51" t="s">
        <v>3722</v>
      </c>
      <c r="F312" s="52">
        <v>37.587854740605792</v>
      </c>
      <c r="G312" s="52">
        <v>0</v>
      </c>
      <c r="H312" s="52">
        <v>0</v>
      </c>
      <c r="I312" s="52">
        <v>0</v>
      </c>
      <c r="J312" s="51">
        <v>0</v>
      </c>
      <c r="K312" s="54">
        <v>0</v>
      </c>
      <c r="L312" s="51">
        <v>0</v>
      </c>
      <c r="M312" s="54">
        <v>0</v>
      </c>
      <c r="N312" s="53">
        <f t="shared" si="8"/>
        <v>0</v>
      </c>
      <c r="O312" s="53">
        <f t="shared" si="9"/>
        <v>0</v>
      </c>
    </row>
    <row r="313" spans="1:15" x14ac:dyDescent="0.2">
      <c r="A313" s="51" t="s">
        <v>3567</v>
      </c>
      <c r="B313" s="51" t="s">
        <v>3568</v>
      </c>
      <c r="C313" s="51" t="s">
        <v>56</v>
      </c>
      <c r="D313" s="51" t="s">
        <v>2250</v>
      </c>
      <c r="E313" s="51" t="s">
        <v>2249</v>
      </c>
      <c r="F313" s="52">
        <v>19356.078799999999</v>
      </c>
      <c r="G313" s="52">
        <v>5280</v>
      </c>
      <c r="H313" s="52">
        <v>11540</v>
      </c>
      <c r="I313" s="52">
        <v>16820</v>
      </c>
      <c r="J313" s="51">
        <v>0</v>
      </c>
      <c r="K313" s="54">
        <v>0</v>
      </c>
      <c r="L313" s="51">
        <v>1</v>
      </c>
      <c r="M313" s="54">
        <v>35000</v>
      </c>
      <c r="N313" s="53">
        <f t="shared" si="8"/>
        <v>-35000</v>
      </c>
      <c r="O313" s="53">
        <f t="shared" si="9"/>
        <v>35000</v>
      </c>
    </row>
    <row r="314" spans="1:15" x14ac:dyDescent="0.2">
      <c r="A314" s="51" t="s">
        <v>3567</v>
      </c>
      <c r="B314" s="51" t="s">
        <v>3568</v>
      </c>
      <c r="C314" s="51" t="s">
        <v>93</v>
      </c>
      <c r="D314" s="51" t="s">
        <v>3759</v>
      </c>
      <c r="E314" s="51" t="s">
        <v>3760</v>
      </c>
      <c r="F314" s="52">
        <v>3.98860562379698E-2</v>
      </c>
      <c r="G314" s="52">
        <v>0</v>
      </c>
      <c r="H314" s="52">
        <v>0</v>
      </c>
      <c r="I314" s="52">
        <v>0</v>
      </c>
      <c r="J314" s="51">
        <v>0</v>
      </c>
      <c r="K314" s="54">
        <v>0</v>
      </c>
      <c r="L314" s="51">
        <v>0</v>
      </c>
      <c r="M314" s="54">
        <v>0</v>
      </c>
      <c r="N314" s="53">
        <f t="shared" si="8"/>
        <v>0</v>
      </c>
      <c r="O314" s="53">
        <f t="shared" si="9"/>
        <v>0</v>
      </c>
    </row>
    <row r="315" spans="1:15" x14ac:dyDescent="0.2">
      <c r="A315" s="51" t="s">
        <v>3567</v>
      </c>
      <c r="B315" s="51" t="s">
        <v>3568</v>
      </c>
      <c r="C315" s="51" t="s">
        <v>84</v>
      </c>
      <c r="D315" s="51" t="s">
        <v>2641</v>
      </c>
      <c r="E315" s="51" t="s">
        <v>2640</v>
      </c>
      <c r="F315" s="52">
        <v>13815.101719252199</v>
      </c>
      <c r="G315" s="52">
        <v>5250</v>
      </c>
      <c r="H315" s="52">
        <v>5400</v>
      </c>
      <c r="I315" s="52">
        <v>10650</v>
      </c>
      <c r="J315" s="51">
        <v>2</v>
      </c>
      <c r="K315" s="54">
        <v>13000</v>
      </c>
      <c r="L315" s="51">
        <v>0</v>
      </c>
      <c r="M315" s="54">
        <v>0</v>
      </c>
      <c r="N315" s="53">
        <f t="shared" si="8"/>
        <v>13000</v>
      </c>
      <c r="O315" s="53">
        <f t="shared" si="9"/>
        <v>-13000</v>
      </c>
    </row>
    <row r="316" spans="1:15" x14ac:dyDescent="0.2">
      <c r="A316" s="51" t="s">
        <v>3567</v>
      </c>
      <c r="B316" s="51" t="s">
        <v>3568</v>
      </c>
      <c r="C316" s="51" t="s">
        <v>82</v>
      </c>
      <c r="D316" s="51" t="s">
        <v>3748</v>
      </c>
      <c r="E316" s="51" t="s">
        <v>3749</v>
      </c>
      <c r="F316" s="52">
        <v>8.439269038301882</v>
      </c>
      <c r="G316" s="52">
        <v>0</v>
      </c>
      <c r="H316" s="52">
        <v>0</v>
      </c>
      <c r="I316" s="52">
        <v>0</v>
      </c>
      <c r="J316" s="51">
        <v>0</v>
      </c>
      <c r="K316" s="54">
        <v>0</v>
      </c>
      <c r="L316" s="51">
        <v>0</v>
      </c>
      <c r="M316" s="54">
        <v>0</v>
      </c>
      <c r="N316" s="53">
        <f t="shared" si="8"/>
        <v>0</v>
      </c>
      <c r="O316" s="53">
        <f t="shared" si="9"/>
        <v>0</v>
      </c>
    </row>
    <row r="317" spans="1:15" x14ac:dyDescent="0.2">
      <c r="A317" s="51" t="s">
        <v>3567</v>
      </c>
      <c r="B317" s="51" t="s">
        <v>3568</v>
      </c>
      <c r="C317" s="51" t="s">
        <v>71</v>
      </c>
      <c r="D317" s="51" t="s">
        <v>3434</v>
      </c>
      <c r="E317" s="51" t="s">
        <v>3433</v>
      </c>
      <c r="F317" s="52">
        <v>192.67534954576431</v>
      </c>
      <c r="G317" s="52">
        <v>0</v>
      </c>
      <c r="H317" s="52">
        <v>12630</v>
      </c>
      <c r="I317" s="52">
        <v>12630</v>
      </c>
      <c r="J317" s="51">
        <v>0</v>
      </c>
      <c r="K317" s="54">
        <v>0</v>
      </c>
      <c r="L317" s="51">
        <v>1</v>
      </c>
      <c r="M317" s="54">
        <v>16000</v>
      </c>
      <c r="N317" s="53">
        <f t="shared" si="8"/>
        <v>-16000</v>
      </c>
      <c r="O317" s="53">
        <f t="shared" si="9"/>
        <v>16000</v>
      </c>
    </row>
    <row r="318" spans="1:15" x14ac:dyDescent="0.2">
      <c r="A318" s="51" t="s">
        <v>3567</v>
      </c>
      <c r="B318" s="51" t="s">
        <v>3568</v>
      </c>
      <c r="C318" s="51" t="s">
        <v>75</v>
      </c>
      <c r="D318" s="51" t="s">
        <v>220</v>
      </c>
      <c r="E318" s="51" t="s">
        <v>219</v>
      </c>
      <c r="F318" s="52">
        <v>23.874199999999998</v>
      </c>
      <c r="G318" s="52">
        <v>0</v>
      </c>
      <c r="H318" s="52">
        <v>0</v>
      </c>
      <c r="I318" s="52">
        <v>0</v>
      </c>
      <c r="J318" s="51">
        <v>0</v>
      </c>
      <c r="K318" s="54">
        <v>0</v>
      </c>
      <c r="L318" s="51">
        <v>0</v>
      </c>
      <c r="M318" s="54">
        <v>0</v>
      </c>
      <c r="N318" s="53">
        <f t="shared" si="8"/>
        <v>0</v>
      </c>
      <c r="O318" s="53">
        <f t="shared" si="9"/>
        <v>0</v>
      </c>
    </row>
    <row r="319" spans="1:15" x14ac:dyDescent="0.2">
      <c r="A319" s="51" t="s">
        <v>3567</v>
      </c>
      <c r="B319" s="51" t="s">
        <v>3568</v>
      </c>
      <c r="C319" s="51" t="s">
        <v>64</v>
      </c>
      <c r="D319" s="51" t="s">
        <v>3754</v>
      </c>
      <c r="E319" s="51" t="s">
        <v>3755</v>
      </c>
      <c r="F319" s="52">
        <v>35.099699999999999</v>
      </c>
      <c r="G319" s="52">
        <v>0</v>
      </c>
      <c r="H319" s="52">
        <v>0</v>
      </c>
      <c r="I319" s="52">
        <v>0</v>
      </c>
      <c r="J319" s="51">
        <v>0</v>
      </c>
      <c r="K319" s="54">
        <v>0</v>
      </c>
      <c r="L319" s="51">
        <v>0</v>
      </c>
      <c r="M319" s="54">
        <v>0</v>
      </c>
      <c r="N319" s="53">
        <f t="shared" si="8"/>
        <v>0</v>
      </c>
      <c r="O319" s="53">
        <f t="shared" si="9"/>
        <v>0</v>
      </c>
    </row>
    <row r="320" spans="1:15" x14ac:dyDescent="0.2">
      <c r="A320" s="51" t="s">
        <v>3567</v>
      </c>
      <c r="B320" s="51" t="s">
        <v>3568</v>
      </c>
      <c r="C320" s="51" t="s">
        <v>87</v>
      </c>
      <c r="D320" s="51" t="s">
        <v>3747</v>
      </c>
      <c r="E320" s="51" t="s">
        <v>2886</v>
      </c>
      <c r="F320" s="52">
        <v>0.51498269558383913</v>
      </c>
      <c r="G320" s="52">
        <v>0</v>
      </c>
      <c r="H320" s="52">
        <v>0</v>
      </c>
      <c r="I320" s="52">
        <v>0</v>
      </c>
      <c r="J320" s="51">
        <v>0</v>
      </c>
      <c r="K320" s="54">
        <v>0</v>
      </c>
      <c r="L320" s="51">
        <v>0</v>
      </c>
      <c r="M320" s="54">
        <v>0</v>
      </c>
      <c r="N320" s="53">
        <f t="shared" si="8"/>
        <v>0</v>
      </c>
      <c r="O320" s="53">
        <f t="shared" si="9"/>
        <v>0</v>
      </c>
    </row>
    <row r="321" spans="1:15" x14ac:dyDescent="0.2">
      <c r="A321" s="51" t="s">
        <v>3567</v>
      </c>
      <c r="B321" s="51" t="s">
        <v>3568</v>
      </c>
      <c r="C321" s="51" t="s">
        <v>56</v>
      </c>
      <c r="D321" s="51" t="s">
        <v>385</v>
      </c>
      <c r="E321" s="51" t="s">
        <v>384</v>
      </c>
      <c r="F321" s="52">
        <v>10319.778899999999</v>
      </c>
      <c r="G321" s="52">
        <v>67140</v>
      </c>
      <c r="H321" s="52">
        <v>13050</v>
      </c>
      <c r="I321" s="52">
        <v>80190</v>
      </c>
      <c r="J321" s="51">
        <v>1</v>
      </c>
      <c r="K321" s="54">
        <v>15000</v>
      </c>
      <c r="L321" s="51">
        <v>0</v>
      </c>
      <c r="M321" s="54">
        <v>0</v>
      </c>
      <c r="N321" s="53">
        <f t="shared" si="8"/>
        <v>15000</v>
      </c>
      <c r="O321" s="53">
        <f t="shared" si="9"/>
        <v>-15000</v>
      </c>
    </row>
    <row r="322" spans="1:15" x14ac:dyDescent="0.2">
      <c r="A322" s="51" t="s">
        <v>3567</v>
      </c>
      <c r="B322" s="51" t="s">
        <v>3568</v>
      </c>
      <c r="C322" s="51" t="s">
        <v>76</v>
      </c>
      <c r="D322" s="51" t="s">
        <v>1429</v>
      </c>
      <c r="E322" s="51" t="s">
        <v>1428</v>
      </c>
      <c r="F322" s="52">
        <v>6670.5446000000002</v>
      </c>
      <c r="G322" s="52">
        <v>0</v>
      </c>
      <c r="H322" s="52">
        <v>0</v>
      </c>
      <c r="I322" s="52">
        <v>0</v>
      </c>
      <c r="J322" s="51">
        <v>0</v>
      </c>
      <c r="K322" s="54">
        <v>0</v>
      </c>
      <c r="L322" s="51">
        <v>1</v>
      </c>
      <c r="M322" s="54">
        <v>5000</v>
      </c>
      <c r="N322" s="53">
        <f t="shared" si="8"/>
        <v>-5000</v>
      </c>
      <c r="O322" s="53">
        <f t="shared" si="9"/>
        <v>5000</v>
      </c>
    </row>
    <row r="323" spans="1:15" x14ac:dyDescent="0.2">
      <c r="A323" s="51" t="s">
        <v>3567</v>
      </c>
      <c r="B323" s="51" t="s">
        <v>3568</v>
      </c>
      <c r="C323" s="51" t="s">
        <v>86</v>
      </c>
      <c r="D323" s="51" t="s">
        <v>1713</v>
      </c>
      <c r="E323" s="51" t="s">
        <v>1712</v>
      </c>
      <c r="F323" s="52">
        <v>2172.789941</v>
      </c>
      <c r="G323" s="52">
        <v>3050</v>
      </c>
      <c r="H323" s="52">
        <v>51490</v>
      </c>
      <c r="I323" s="52">
        <v>54540</v>
      </c>
      <c r="J323" s="51">
        <v>1</v>
      </c>
      <c r="K323" s="54">
        <v>5000</v>
      </c>
      <c r="L323" s="51">
        <v>1</v>
      </c>
      <c r="M323" s="54">
        <v>65000</v>
      </c>
      <c r="N323" s="53">
        <f t="shared" ref="N323:N386" si="10">K323-M323</f>
        <v>-60000</v>
      </c>
      <c r="O323" s="53">
        <f t="shared" ref="O323:O386" si="11">M323-K323</f>
        <v>60000</v>
      </c>
    </row>
    <row r="324" spans="1:15" x14ac:dyDescent="0.2">
      <c r="A324" s="51" t="s">
        <v>3567</v>
      </c>
      <c r="B324" s="51" t="s">
        <v>3568</v>
      </c>
      <c r="C324" s="51" t="s">
        <v>87</v>
      </c>
      <c r="D324" s="51" t="s">
        <v>3745</v>
      </c>
      <c r="E324" s="51" t="s">
        <v>3746</v>
      </c>
      <c r="F324" s="52">
        <v>4554.4697999999999</v>
      </c>
      <c r="G324" s="52">
        <v>0</v>
      </c>
      <c r="H324" s="52">
        <v>0</v>
      </c>
      <c r="I324" s="52">
        <v>0</v>
      </c>
      <c r="J324" s="51">
        <v>0</v>
      </c>
      <c r="K324" s="54">
        <v>0</v>
      </c>
      <c r="L324" s="51">
        <v>0</v>
      </c>
      <c r="M324" s="54">
        <v>0</v>
      </c>
      <c r="N324" s="53">
        <f t="shared" si="10"/>
        <v>0</v>
      </c>
      <c r="O324" s="53">
        <f t="shared" si="11"/>
        <v>0</v>
      </c>
    </row>
    <row r="325" spans="1:15" x14ac:dyDescent="0.2">
      <c r="A325" s="51" t="s">
        <v>3567</v>
      </c>
      <c r="B325" s="51" t="s">
        <v>3568</v>
      </c>
      <c r="C325" s="51" t="s">
        <v>71</v>
      </c>
      <c r="D325" s="51" t="s">
        <v>1515</v>
      </c>
      <c r="E325" s="51" t="s">
        <v>1514</v>
      </c>
      <c r="F325" s="52">
        <v>12232.075077917791</v>
      </c>
      <c r="G325" s="52">
        <v>0</v>
      </c>
      <c r="H325" s="52">
        <v>20540</v>
      </c>
      <c r="I325" s="52">
        <v>20540</v>
      </c>
      <c r="J325" s="51">
        <v>1</v>
      </c>
      <c r="K325" s="54">
        <v>5000</v>
      </c>
      <c r="L325" s="51">
        <v>2</v>
      </c>
      <c r="M325" s="54">
        <v>35000</v>
      </c>
      <c r="N325" s="53">
        <f t="shared" si="10"/>
        <v>-30000</v>
      </c>
      <c r="O325" s="53">
        <f t="shared" si="11"/>
        <v>30000</v>
      </c>
    </row>
    <row r="326" spans="1:15" x14ac:dyDescent="0.2">
      <c r="A326" s="51" t="s">
        <v>3567</v>
      </c>
      <c r="B326" s="51" t="s">
        <v>3568</v>
      </c>
      <c r="C326" s="51" t="s">
        <v>72</v>
      </c>
      <c r="D326" s="51" t="s">
        <v>2747</v>
      </c>
      <c r="E326" s="51" t="s">
        <v>2746</v>
      </c>
      <c r="F326" s="52">
        <v>2138.8687775218</v>
      </c>
      <c r="G326" s="52">
        <v>5500</v>
      </c>
      <c r="H326" s="52">
        <v>17928</v>
      </c>
      <c r="I326" s="52">
        <v>23428</v>
      </c>
      <c r="J326" s="51">
        <v>1</v>
      </c>
      <c r="K326" s="54">
        <v>5000</v>
      </c>
      <c r="L326" s="51">
        <v>2</v>
      </c>
      <c r="M326" s="54">
        <v>14000</v>
      </c>
      <c r="N326" s="53">
        <f t="shared" si="10"/>
        <v>-9000</v>
      </c>
      <c r="O326" s="53">
        <f t="shared" si="11"/>
        <v>9000</v>
      </c>
    </row>
    <row r="327" spans="1:15" x14ac:dyDescent="0.2">
      <c r="A327" s="51" t="s">
        <v>3567</v>
      </c>
      <c r="B327" s="51" t="s">
        <v>3568</v>
      </c>
      <c r="C327" s="51" t="s">
        <v>69</v>
      </c>
      <c r="D327" s="51" t="s">
        <v>1268</v>
      </c>
      <c r="E327" s="51" t="s">
        <v>1267</v>
      </c>
      <c r="F327" s="52">
        <v>3675.5248999999999</v>
      </c>
      <c r="G327" s="52">
        <v>36200</v>
      </c>
      <c r="H327" s="52">
        <v>19780</v>
      </c>
      <c r="I327" s="52">
        <v>55980</v>
      </c>
      <c r="J327" s="51">
        <v>1</v>
      </c>
      <c r="K327" s="54">
        <v>5000</v>
      </c>
      <c r="L327" s="51">
        <v>0</v>
      </c>
      <c r="M327" s="54">
        <v>0</v>
      </c>
      <c r="N327" s="53">
        <f t="shared" si="10"/>
        <v>5000</v>
      </c>
      <c r="O327" s="53">
        <f t="shared" si="11"/>
        <v>-5000</v>
      </c>
    </row>
    <row r="328" spans="1:15" x14ac:dyDescent="0.2">
      <c r="A328" s="51" t="s">
        <v>3567</v>
      </c>
      <c r="B328" s="51" t="s">
        <v>3568</v>
      </c>
      <c r="C328" s="51" t="s">
        <v>3650</v>
      </c>
      <c r="D328" s="51" t="s">
        <v>3743</v>
      </c>
      <c r="E328" s="51" t="s">
        <v>3744</v>
      </c>
      <c r="F328" s="52">
        <v>71.48491652728886</v>
      </c>
      <c r="G328" s="52">
        <v>0</v>
      </c>
      <c r="H328" s="52">
        <v>0</v>
      </c>
      <c r="I328" s="52">
        <v>0</v>
      </c>
      <c r="J328" s="51">
        <v>0</v>
      </c>
      <c r="K328" s="54">
        <v>0</v>
      </c>
      <c r="L328" s="51">
        <v>0</v>
      </c>
      <c r="M328" s="54">
        <v>0</v>
      </c>
      <c r="N328" s="53">
        <f t="shared" si="10"/>
        <v>0</v>
      </c>
      <c r="O328" s="53">
        <f t="shared" si="11"/>
        <v>0</v>
      </c>
    </row>
    <row r="329" spans="1:15" x14ac:dyDescent="0.2">
      <c r="A329" s="51" t="s">
        <v>3567</v>
      </c>
      <c r="B329" s="51" t="s">
        <v>3568</v>
      </c>
      <c r="C329" s="51" t="s">
        <v>72</v>
      </c>
      <c r="D329" s="51" t="s">
        <v>1745</v>
      </c>
      <c r="E329" s="51" t="s">
        <v>1744</v>
      </c>
      <c r="F329" s="52">
        <v>36.424300000000002</v>
      </c>
      <c r="G329" s="52">
        <v>0</v>
      </c>
      <c r="H329" s="52">
        <v>6000</v>
      </c>
      <c r="I329" s="52">
        <v>6000</v>
      </c>
      <c r="J329" s="51">
        <v>0</v>
      </c>
      <c r="K329" s="54">
        <v>0</v>
      </c>
      <c r="L329" s="51">
        <v>1</v>
      </c>
      <c r="M329" s="54">
        <v>6000</v>
      </c>
      <c r="N329" s="53">
        <f t="shared" si="10"/>
        <v>-6000</v>
      </c>
      <c r="O329" s="53">
        <f t="shared" si="11"/>
        <v>6000</v>
      </c>
    </row>
    <row r="330" spans="1:15" x14ac:dyDescent="0.2">
      <c r="A330" s="51" t="s">
        <v>3567</v>
      </c>
      <c r="B330" s="51" t="s">
        <v>3568</v>
      </c>
      <c r="C330" s="51" t="s">
        <v>82</v>
      </c>
      <c r="D330" s="51" t="s">
        <v>2542</v>
      </c>
      <c r="E330" s="51" t="s">
        <v>2541</v>
      </c>
      <c r="F330" s="52">
        <v>3303.9378000000002</v>
      </c>
      <c r="G330" s="52">
        <v>0</v>
      </c>
      <c r="H330" s="52">
        <v>0</v>
      </c>
      <c r="I330" s="52">
        <v>0</v>
      </c>
      <c r="J330" s="51">
        <v>0</v>
      </c>
      <c r="K330" s="54">
        <v>0</v>
      </c>
      <c r="L330" s="51">
        <v>1</v>
      </c>
      <c r="M330" s="54">
        <v>6000</v>
      </c>
      <c r="N330" s="53">
        <f t="shared" si="10"/>
        <v>-6000</v>
      </c>
      <c r="O330" s="53">
        <f t="shared" si="11"/>
        <v>6000</v>
      </c>
    </row>
    <row r="331" spans="1:15" x14ac:dyDescent="0.2">
      <c r="A331" s="51" t="s">
        <v>3567</v>
      </c>
      <c r="B331" s="51" t="s">
        <v>3568</v>
      </c>
      <c r="C331" s="51" t="s">
        <v>69</v>
      </c>
      <c r="D331" s="51" t="s">
        <v>1144</v>
      </c>
      <c r="E331" s="51" t="s">
        <v>1143</v>
      </c>
      <c r="F331" s="52">
        <v>11293.1754000043</v>
      </c>
      <c r="G331" s="52">
        <v>14850</v>
      </c>
      <c r="H331" s="52">
        <v>28730</v>
      </c>
      <c r="I331" s="52">
        <v>43580</v>
      </c>
      <c r="J331" s="51">
        <v>0</v>
      </c>
      <c r="K331" s="54">
        <v>0</v>
      </c>
      <c r="L331" s="51">
        <v>2</v>
      </c>
      <c r="M331" s="54">
        <v>16000</v>
      </c>
      <c r="N331" s="53">
        <f t="shared" si="10"/>
        <v>-16000</v>
      </c>
      <c r="O331" s="53">
        <f t="shared" si="11"/>
        <v>16000</v>
      </c>
    </row>
    <row r="332" spans="1:15" x14ac:dyDescent="0.2">
      <c r="A332" s="51" t="s">
        <v>3567</v>
      </c>
      <c r="B332" s="51" t="s">
        <v>3568</v>
      </c>
      <c r="C332" s="51" t="s">
        <v>71</v>
      </c>
      <c r="D332" s="51" t="s">
        <v>2472</v>
      </c>
      <c r="E332" s="51" t="s">
        <v>2471</v>
      </c>
      <c r="F332" s="52">
        <v>4241.4575500000001</v>
      </c>
      <c r="G332" s="52">
        <v>2550</v>
      </c>
      <c r="H332" s="52">
        <v>7795</v>
      </c>
      <c r="I332" s="52">
        <v>10345</v>
      </c>
      <c r="J332" s="51">
        <v>1</v>
      </c>
      <c r="K332" s="54">
        <v>5000</v>
      </c>
      <c r="L332" s="51">
        <v>0</v>
      </c>
      <c r="M332" s="54">
        <v>0</v>
      </c>
      <c r="N332" s="53">
        <f t="shared" si="10"/>
        <v>5000</v>
      </c>
      <c r="O332" s="53">
        <f t="shared" si="11"/>
        <v>-5000</v>
      </c>
    </row>
    <row r="333" spans="1:15" x14ac:dyDescent="0.2">
      <c r="A333" s="51" t="s">
        <v>3567</v>
      </c>
      <c r="B333" s="51" t="s">
        <v>3568</v>
      </c>
      <c r="C333" s="51" t="s">
        <v>79</v>
      </c>
      <c r="D333" s="51" t="s">
        <v>3471</v>
      </c>
      <c r="E333" s="51" t="s">
        <v>3470</v>
      </c>
      <c r="F333" s="52">
        <v>37885.459600000002</v>
      </c>
      <c r="G333" s="52">
        <v>3610</v>
      </c>
      <c r="H333" s="52">
        <v>29650</v>
      </c>
      <c r="I333" s="52">
        <v>33260</v>
      </c>
      <c r="J333" s="51">
        <v>0</v>
      </c>
      <c r="K333" s="54">
        <v>0</v>
      </c>
      <c r="L333" s="51">
        <v>0</v>
      </c>
      <c r="M333" s="54">
        <v>0</v>
      </c>
      <c r="N333" s="53">
        <f t="shared" si="10"/>
        <v>0</v>
      </c>
      <c r="O333" s="53">
        <f t="shared" si="11"/>
        <v>0</v>
      </c>
    </row>
    <row r="334" spans="1:15" x14ac:dyDescent="0.2">
      <c r="A334" s="51" t="s">
        <v>3567</v>
      </c>
      <c r="B334" s="51" t="s">
        <v>3568</v>
      </c>
      <c r="C334" s="51" t="s">
        <v>71</v>
      </c>
      <c r="D334" s="51" t="s">
        <v>1781</v>
      </c>
      <c r="E334" s="51" t="s">
        <v>1780</v>
      </c>
      <c r="F334" s="52">
        <v>345.38659999999999</v>
      </c>
      <c r="G334" s="52">
        <v>450</v>
      </c>
      <c r="H334" s="52">
        <v>0</v>
      </c>
      <c r="I334" s="52">
        <v>450</v>
      </c>
      <c r="J334" s="51">
        <v>0</v>
      </c>
      <c r="K334" s="54">
        <v>0</v>
      </c>
      <c r="L334" s="51">
        <v>1</v>
      </c>
      <c r="M334" s="54">
        <v>17000</v>
      </c>
      <c r="N334" s="53">
        <f t="shared" si="10"/>
        <v>-17000</v>
      </c>
      <c r="O334" s="53">
        <f t="shared" si="11"/>
        <v>17000</v>
      </c>
    </row>
    <row r="335" spans="1:15" x14ac:dyDescent="0.2">
      <c r="A335" s="51" t="s">
        <v>3567</v>
      </c>
      <c r="B335" s="51" t="s">
        <v>3568</v>
      </c>
      <c r="C335" s="51" t="s">
        <v>81</v>
      </c>
      <c r="D335" s="51" t="s">
        <v>2003</v>
      </c>
      <c r="E335" s="51" t="s">
        <v>2002</v>
      </c>
      <c r="F335" s="52">
        <v>16311.081399999999</v>
      </c>
      <c r="G335" s="52">
        <v>16710</v>
      </c>
      <c r="H335" s="52">
        <v>37559</v>
      </c>
      <c r="I335" s="52">
        <v>54269</v>
      </c>
      <c r="J335" s="51">
        <v>1</v>
      </c>
      <c r="K335" s="54">
        <v>5000</v>
      </c>
      <c r="L335" s="51">
        <v>1</v>
      </c>
      <c r="M335" s="54">
        <v>40000</v>
      </c>
      <c r="N335" s="53">
        <f t="shared" si="10"/>
        <v>-35000</v>
      </c>
      <c r="O335" s="53">
        <f t="shared" si="11"/>
        <v>35000</v>
      </c>
    </row>
    <row r="336" spans="1:15" x14ac:dyDescent="0.2">
      <c r="A336" s="51" t="s">
        <v>3567</v>
      </c>
      <c r="B336" s="51" t="s">
        <v>3568</v>
      </c>
      <c r="C336" s="51" t="s">
        <v>3630</v>
      </c>
      <c r="D336" s="51" t="s">
        <v>3761</v>
      </c>
      <c r="E336" s="51" t="s">
        <v>3762</v>
      </c>
      <c r="F336" s="52">
        <v>65.965000000000003</v>
      </c>
      <c r="G336" s="52">
        <v>0</v>
      </c>
      <c r="H336" s="52">
        <v>0</v>
      </c>
      <c r="I336" s="52">
        <v>0</v>
      </c>
      <c r="J336" s="51">
        <v>0</v>
      </c>
      <c r="K336" s="54">
        <v>0</v>
      </c>
      <c r="L336" s="51">
        <v>0</v>
      </c>
      <c r="M336" s="54">
        <v>0</v>
      </c>
      <c r="N336" s="53">
        <f t="shared" si="10"/>
        <v>0</v>
      </c>
      <c r="O336" s="53">
        <f t="shared" si="11"/>
        <v>0</v>
      </c>
    </row>
    <row r="337" spans="1:15" x14ac:dyDescent="0.2">
      <c r="A337" s="51" t="s">
        <v>3567</v>
      </c>
      <c r="B337" s="51" t="s">
        <v>3568</v>
      </c>
      <c r="C337" s="51" t="s">
        <v>87</v>
      </c>
      <c r="D337" s="51" t="s">
        <v>1339</v>
      </c>
      <c r="E337" s="51" t="s">
        <v>1338</v>
      </c>
      <c r="F337" s="52">
        <v>3771.7361157738519</v>
      </c>
      <c r="G337" s="52">
        <v>4975</v>
      </c>
      <c r="H337" s="52">
        <v>14245</v>
      </c>
      <c r="I337" s="52">
        <v>19220</v>
      </c>
      <c r="J337" s="51">
        <v>1</v>
      </c>
      <c r="K337" s="54">
        <v>5000</v>
      </c>
      <c r="L337" s="51">
        <v>1</v>
      </c>
      <c r="M337" s="54">
        <v>15000</v>
      </c>
      <c r="N337" s="53">
        <f t="shared" si="10"/>
        <v>-10000</v>
      </c>
      <c r="O337" s="53">
        <f t="shared" si="11"/>
        <v>10000</v>
      </c>
    </row>
    <row r="338" spans="1:15" x14ac:dyDescent="0.2">
      <c r="A338" s="51" t="s">
        <v>3567</v>
      </c>
      <c r="B338" s="51" t="s">
        <v>3568</v>
      </c>
      <c r="C338" s="51" t="s">
        <v>82</v>
      </c>
      <c r="D338" s="51" t="s">
        <v>1557</v>
      </c>
      <c r="E338" s="51" t="s">
        <v>1556</v>
      </c>
      <c r="F338" s="52">
        <v>306.23817162287139</v>
      </c>
      <c r="G338" s="52">
        <v>710</v>
      </c>
      <c r="H338" s="52">
        <v>5500</v>
      </c>
      <c r="I338" s="52">
        <v>6210</v>
      </c>
      <c r="J338" s="51">
        <v>0</v>
      </c>
      <c r="K338" s="54">
        <v>0</v>
      </c>
      <c r="L338" s="51">
        <v>1</v>
      </c>
      <c r="M338" s="54">
        <v>6000</v>
      </c>
      <c r="N338" s="53">
        <f t="shared" si="10"/>
        <v>-6000</v>
      </c>
      <c r="O338" s="53">
        <f t="shared" si="11"/>
        <v>6000</v>
      </c>
    </row>
    <row r="339" spans="1:15" x14ac:dyDescent="0.2">
      <c r="A339" s="51" t="s">
        <v>3567</v>
      </c>
      <c r="B339" s="51" t="s">
        <v>3568</v>
      </c>
      <c r="C339" s="51" t="s">
        <v>70</v>
      </c>
      <c r="D339" s="51" t="s">
        <v>1121</v>
      </c>
      <c r="E339" s="51" t="s">
        <v>1120</v>
      </c>
      <c r="F339" s="52">
        <v>22839.039386956701</v>
      </c>
      <c r="G339" s="52">
        <v>20260</v>
      </c>
      <c r="H339" s="52">
        <v>11000</v>
      </c>
      <c r="I339" s="52">
        <v>31260</v>
      </c>
      <c r="J339" s="51">
        <v>2</v>
      </c>
      <c r="K339" s="54">
        <v>22000</v>
      </c>
      <c r="L339" s="51">
        <v>0</v>
      </c>
      <c r="M339" s="54">
        <v>0</v>
      </c>
      <c r="N339" s="53">
        <f t="shared" si="10"/>
        <v>22000</v>
      </c>
      <c r="O339" s="53">
        <f t="shared" si="11"/>
        <v>-22000</v>
      </c>
    </row>
    <row r="340" spans="1:15" x14ac:dyDescent="0.2">
      <c r="A340" s="51" t="s">
        <v>3567</v>
      </c>
      <c r="B340" s="51" t="s">
        <v>3568</v>
      </c>
      <c r="C340" s="51" t="s">
        <v>52</v>
      </c>
      <c r="D340" s="51" t="s">
        <v>1739</v>
      </c>
      <c r="E340" s="51" t="s">
        <v>1738</v>
      </c>
      <c r="F340" s="52">
        <v>13296.353052333559</v>
      </c>
      <c r="G340" s="52">
        <v>3600</v>
      </c>
      <c r="H340" s="52">
        <v>3500</v>
      </c>
      <c r="I340" s="52">
        <v>7100</v>
      </c>
      <c r="J340" s="51">
        <v>1</v>
      </c>
      <c r="K340" s="54">
        <v>5000</v>
      </c>
      <c r="L340" s="51">
        <v>0</v>
      </c>
      <c r="M340" s="54">
        <v>0</v>
      </c>
      <c r="N340" s="53">
        <f t="shared" si="10"/>
        <v>5000</v>
      </c>
      <c r="O340" s="53">
        <f t="shared" si="11"/>
        <v>-5000</v>
      </c>
    </row>
    <row r="341" spans="1:15" x14ac:dyDescent="0.2">
      <c r="A341" s="51" t="s">
        <v>3567</v>
      </c>
      <c r="B341" s="51" t="s">
        <v>3568</v>
      </c>
      <c r="C341" s="51" t="s">
        <v>84</v>
      </c>
      <c r="D341" s="51" t="s">
        <v>3407</v>
      </c>
      <c r="E341" s="51" t="s">
        <v>3406</v>
      </c>
      <c r="F341" s="52">
        <v>3106.9578504058081</v>
      </c>
      <c r="G341" s="52">
        <v>200</v>
      </c>
      <c r="H341" s="52">
        <v>9540</v>
      </c>
      <c r="I341" s="52">
        <v>9740</v>
      </c>
      <c r="J341" s="51">
        <v>0</v>
      </c>
      <c r="K341" s="54">
        <v>0</v>
      </c>
      <c r="L341" s="51">
        <v>1</v>
      </c>
      <c r="M341" s="54">
        <v>10000</v>
      </c>
      <c r="N341" s="53">
        <f t="shared" si="10"/>
        <v>-10000</v>
      </c>
      <c r="O341" s="53">
        <f t="shared" si="11"/>
        <v>10000</v>
      </c>
    </row>
    <row r="342" spans="1:15" x14ac:dyDescent="0.2">
      <c r="A342" s="51" t="s">
        <v>3567</v>
      </c>
      <c r="B342" s="51" t="s">
        <v>3568</v>
      </c>
      <c r="C342" s="51" t="s">
        <v>85</v>
      </c>
      <c r="D342" s="51" t="s">
        <v>3391</v>
      </c>
      <c r="E342" s="51" t="s">
        <v>1456</v>
      </c>
      <c r="F342" s="52">
        <v>13891.8799</v>
      </c>
      <c r="G342" s="52">
        <v>2800</v>
      </c>
      <c r="H342" s="52">
        <v>2300</v>
      </c>
      <c r="I342" s="52">
        <v>5100</v>
      </c>
      <c r="J342" s="51">
        <v>0</v>
      </c>
      <c r="K342" s="54">
        <v>0</v>
      </c>
      <c r="L342" s="51">
        <v>1</v>
      </c>
      <c r="M342" s="54">
        <v>5000</v>
      </c>
      <c r="N342" s="53">
        <f t="shared" si="10"/>
        <v>-5000</v>
      </c>
      <c r="O342" s="53">
        <f t="shared" si="11"/>
        <v>5000</v>
      </c>
    </row>
    <row r="343" spans="1:15" x14ac:dyDescent="0.2">
      <c r="A343" s="51" t="s">
        <v>3567</v>
      </c>
      <c r="B343" s="51" t="s">
        <v>3568</v>
      </c>
      <c r="C343" s="51" t="s">
        <v>85</v>
      </c>
      <c r="D343" s="51" t="s">
        <v>3752</v>
      </c>
      <c r="E343" s="51" t="s">
        <v>3753</v>
      </c>
      <c r="F343" s="52">
        <v>0.50243000000000004</v>
      </c>
      <c r="G343" s="52">
        <v>0</v>
      </c>
      <c r="H343" s="52">
        <v>0</v>
      </c>
      <c r="I343" s="52">
        <v>0</v>
      </c>
      <c r="J343" s="51">
        <v>0</v>
      </c>
      <c r="K343" s="54">
        <v>0</v>
      </c>
      <c r="L343" s="51">
        <v>0</v>
      </c>
      <c r="M343" s="54">
        <v>0</v>
      </c>
      <c r="N343" s="53">
        <f t="shared" si="10"/>
        <v>0</v>
      </c>
      <c r="O343" s="53">
        <f t="shared" si="11"/>
        <v>0</v>
      </c>
    </row>
    <row r="344" spans="1:15" x14ac:dyDescent="0.2">
      <c r="A344" s="51" t="s">
        <v>3567</v>
      </c>
      <c r="B344" s="51" t="s">
        <v>3568</v>
      </c>
      <c r="C344" s="51" t="s">
        <v>80</v>
      </c>
      <c r="D344" s="51" t="s">
        <v>289</v>
      </c>
      <c r="E344" s="51" t="s">
        <v>288</v>
      </c>
      <c r="F344" s="52">
        <v>15717.14982139636</v>
      </c>
      <c r="G344" s="52">
        <v>1100</v>
      </c>
      <c r="H344" s="52">
        <v>13970</v>
      </c>
      <c r="I344" s="52">
        <v>15070</v>
      </c>
      <c r="J344" s="51">
        <v>0</v>
      </c>
      <c r="K344" s="54">
        <v>0</v>
      </c>
      <c r="L344" s="51">
        <v>1</v>
      </c>
      <c r="M344" s="54">
        <v>6000</v>
      </c>
      <c r="N344" s="53">
        <f t="shared" si="10"/>
        <v>-6000</v>
      </c>
      <c r="O344" s="53">
        <f t="shared" si="11"/>
        <v>6000</v>
      </c>
    </row>
    <row r="345" spans="1:15" x14ac:dyDescent="0.2">
      <c r="A345" s="51" t="s">
        <v>3567</v>
      </c>
      <c r="B345" s="51" t="s">
        <v>3568</v>
      </c>
      <c r="C345" s="51" t="s">
        <v>71</v>
      </c>
      <c r="D345" s="51" t="s">
        <v>477</v>
      </c>
      <c r="E345" s="51" t="s">
        <v>476</v>
      </c>
      <c r="F345" s="52">
        <v>8736.0738500000007</v>
      </c>
      <c r="G345" s="52">
        <v>0</v>
      </c>
      <c r="H345" s="52">
        <v>2690</v>
      </c>
      <c r="I345" s="52">
        <v>2690</v>
      </c>
      <c r="J345" s="51">
        <v>1</v>
      </c>
      <c r="K345" s="54">
        <v>6000</v>
      </c>
      <c r="L345" s="51">
        <v>0</v>
      </c>
      <c r="M345" s="54">
        <v>0</v>
      </c>
      <c r="N345" s="53">
        <f t="shared" si="10"/>
        <v>6000</v>
      </c>
      <c r="O345" s="53">
        <f t="shared" si="11"/>
        <v>-6000</v>
      </c>
    </row>
    <row r="346" spans="1:15" x14ac:dyDescent="0.2">
      <c r="A346" s="51" t="s">
        <v>3567</v>
      </c>
      <c r="B346" s="51" t="s">
        <v>3568</v>
      </c>
      <c r="C346" s="51" t="s">
        <v>70</v>
      </c>
      <c r="D346" s="51" t="s">
        <v>2104</v>
      </c>
      <c r="E346" s="51" t="s">
        <v>2103</v>
      </c>
      <c r="F346" s="52">
        <v>150.460621</v>
      </c>
      <c r="G346" s="52">
        <v>0</v>
      </c>
      <c r="H346" s="52">
        <v>2000</v>
      </c>
      <c r="I346" s="52">
        <v>2000</v>
      </c>
      <c r="J346" s="51">
        <v>0</v>
      </c>
      <c r="K346" s="54">
        <v>0</v>
      </c>
      <c r="L346" s="51">
        <v>1</v>
      </c>
      <c r="M346" s="54">
        <v>7000</v>
      </c>
      <c r="N346" s="53">
        <f t="shared" si="10"/>
        <v>-7000</v>
      </c>
      <c r="O346" s="53">
        <f t="shared" si="11"/>
        <v>7000</v>
      </c>
    </row>
    <row r="347" spans="1:15" x14ac:dyDescent="0.2">
      <c r="A347" s="51" t="s">
        <v>3567</v>
      </c>
      <c r="B347" s="51" t="s">
        <v>3568</v>
      </c>
      <c r="C347" s="51" t="s">
        <v>80</v>
      </c>
      <c r="D347" s="51" t="s">
        <v>656</v>
      </c>
      <c r="E347" s="51" t="s">
        <v>655</v>
      </c>
      <c r="F347" s="52">
        <v>1033.357757868064</v>
      </c>
      <c r="G347" s="52">
        <v>3550</v>
      </c>
      <c r="H347" s="52">
        <v>6550</v>
      </c>
      <c r="I347" s="52">
        <v>10100</v>
      </c>
      <c r="J347" s="51">
        <v>0</v>
      </c>
      <c r="K347" s="54">
        <v>0</v>
      </c>
      <c r="L347" s="51">
        <v>1</v>
      </c>
      <c r="M347" s="54">
        <v>5000</v>
      </c>
      <c r="N347" s="53">
        <f t="shared" si="10"/>
        <v>-5000</v>
      </c>
      <c r="O347" s="53">
        <f t="shared" si="11"/>
        <v>5000</v>
      </c>
    </row>
    <row r="348" spans="1:15" x14ac:dyDescent="0.2">
      <c r="A348" s="51" t="s">
        <v>3567</v>
      </c>
      <c r="B348" s="51" t="s">
        <v>3568</v>
      </c>
      <c r="C348" s="51" t="s">
        <v>58</v>
      </c>
      <c r="D348" s="51" t="s">
        <v>585</v>
      </c>
      <c r="E348" s="51" t="s">
        <v>584</v>
      </c>
      <c r="F348" s="52">
        <v>24954.260699999999</v>
      </c>
      <c r="G348" s="52">
        <v>28410</v>
      </c>
      <c r="H348" s="52">
        <v>7295</v>
      </c>
      <c r="I348" s="52">
        <v>35705</v>
      </c>
      <c r="J348" s="51">
        <v>3</v>
      </c>
      <c r="K348" s="54">
        <v>35000</v>
      </c>
      <c r="L348" s="51">
        <v>0</v>
      </c>
      <c r="M348" s="54">
        <v>0</v>
      </c>
      <c r="N348" s="53">
        <f t="shared" si="10"/>
        <v>35000</v>
      </c>
      <c r="O348" s="53">
        <f t="shared" si="11"/>
        <v>-35000</v>
      </c>
    </row>
    <row r="349" spans="1:15" x14ac:dyDescent="0.2">
      <c r="A349" s="51" t="s">
        <v>3567</v>
      </c>
      <c r="B349" s="51" t="s">
        <v>3568</v>
      </c>
      <c r="C349" s="51" t="s">
        <v>78</v>
      </c>
      <c r="D349" s="51" t="s">
        <v>1441</v>
      </c>
      <c r="E349" s="51" t="s">
        <v>1440</v>
      </c>
      <c r="F349" s="52">
        <v>2501.2616500107001</v>
      </c>
      <c r="G349" s="52">
        <v>1640</v>
      </c>
      <c r="H349" s="52">
        <v>0</v>
      </c>
      <c r="I349" s="52">
        <v>1640</v>
      </c>
      <c r="J349" s="51">
        <v>0</v>
      </c>
      <c r="K349" s="54">
        <v>0</v>
      </c>
      <c r="L349" s="51">
        <v>1</v>
      </c>
      <c r="M349" s="54">
        <v>20000</v>
      </c>
      <c r="N349" s="53">
        <f t="shared" si="10"/>
        <v>-20000</v>
      </c>
      <c r="O349" s="53">
        <f t="shared" si="11"/>
        <v>20000</v>
      </c>
    </row>
    <row r="350" spans="1:15" x14ac:dyDescent="0.2">
      <c r="A350" s="51" t="s">
        <v>3567</v>
      </c>
      <c r="B350" s="51" t="s">
        <v>3568</v>
      </c>
      <c r="C350" s="51" t="s">
        <v>82</v>
      </c>
      <c r="D350" s="51" t="s">
        <v>2713</v>
      </c>
      <c r="E350" s="51" t="s">
        <v>2069</v>
      </c>
      <c r="F350" s="52">
        <v>5875.3133610634586</v>
      </c>
      <c r="G350" s="52">
        <v>4850</v>
      </c>
      <c r="H350" s="52">
        <v>4510</v>
      </c>
      <c r="I350" s="52">
        <v>9360</v>
      </c>
      <c r="J350" s="51">
        <v>0</v>
      </c>
      <c r="K350" s="54">
        <v>0</v>
      </c>
      <c r="L350" s="51">
        <v>1</v>
      </c>
      <c r="M350" s="54">
        <v>25000</v>
      </c>
      <c r="N350" s="53">
        <f t="shared" si="10"/>
        <v>-25000</v>
      </c>
      <c r="O350" s="53">
        <f t="shared" si="11"/>
        <v>25000</v>
      </c>
    </row>
    <row r="351" spans="1:15" x14ac:dyDescent="0.2">
      <c r="A351" s="51" t="s">
        <v>3567</v>
      </c>
      <c r="B351" s="51" t="s">
        <v>3568</v>
      </c>
      <c r="C351" s="51" t="s">
        <v>3610</v>
      </c>
      <c r="D351" s="51" t="s">
        <v>3802</v>
      </c>
      <c r="E351" s="51" t="s">
        <v>511</v>
      </c>
      <c r="F351" s="52">
        <v>34.664321462279339</v>
      </c>
      <c r="G351" s="52">
        <v>0</v>
      </c>
      <c r="H351" s="52">
        <v>0</v>
      </c>
      <c r="I351" s="52">
        <v>0</v>
      </c>
      <c r="J351" s="51">
        <v>0</v>
      </c>
      <c r="K351" s="54">
        <v>0</v>
      </c>
      <c r="L351" s="51">
        <v>0</v>
      </c>
      <c r="M351" s="54">
        <v>0</v>
      </c>
      <c r="N351" s="53">
        <f t="shared" si="10"/>
        <v>0</v>
      </c>
      <c r="O351" s="53">
        <f t="shared" si="11"/>
        <v>0</v>
      </c>
    </row>
    <row r="352" spans="1:15" x14ac:dyDescent="0.2">
      <c r="A352" s="51" t="s">
        <v>3567</v>
      </c>
      <c r="B352" s="51" t="s">
        <v>3568</v>
      </c>
      <c r="C352" s="51" t="s">
        <v>61</v>
      </c>
      <c r="D352" s="51" t="s">
        <v>3188</v>
      </c>
      <c r="E352" s="51" t="s">
        <v>3187</v>
      </c>
      <c r="F352" s="52">
        <v>1521.788810128023</v>
      </c>
      <c r="G352" s="52">
        <v>4000</v>
      </c>
      <c r="H352" s="52">
        <v>0</v>
      </c>
      <c r="I352" s="52">
        <v>4000</v>
      </c>
      <c r="J352" s="51">
        <v>1</v>
      </c>
      <c r="K352" s="54">
        <v>6000</v>
      </c>
      <c r="L352" s="51">
        <v>0</v>
      </c>
      <c r="M352" s="54">
        <v>0</v>
      </c>
      <c r="N352" s="53">
        <f t="shared" si="10"/>
        <v>6000</v>
      </c>
      <c r="O352" s="53">
        <f t="shared" si="11"/>
        <v>-6000</v>
      </c>
    </row>
    <row r="353" spans="1:15" x14ac:dyDescent="0.2">
      <c r="A353" s="51" t="s">
        <v>3567</v>
      </c>
      <c r="B353" s="51" t="s">
        <v>3568</v>
      </c>
      <c r="C353" s="51" t="s">
        <v>63</v>
      </c>
      <c r="D353" s="51" t="s">
        <v>1106</v>
      </c>
      <c r="E353" s="51" t="s">
        <v>1105</v>
      </c>
      <c r="F353" s="52">
        <v>8055.9940973300118</v>
      </c>
      <c r="G353" s="52">
        <v>13800</v>
      </c>
      <c r="H353" s="52">
        <v>5650</v>
      </c>
      <c r="I353" s="52">
        <v>19450</v>
      </c>
      <c r="J353" s="51">
        <v>1</v>
      </c>
      <c r="K353" s="54">
        <v>6000</v>
      </c>
      <c r="L353" s="51">
        <v>0</v>
      </c>
      <c r="M353" s="54">
        <v>0</v>
      </c>
      <c r="N353" s="53">
        <f t="shared" si="10"/>
        <v>6000</v>
      </c>
      <c r="O353" s="53">
        <f t="shared" si="11"/>
        <v>-6000</v>
      </c>
    </row>
    <row r="354" spans="1:15" x14ac:dyDescent="0.2">
      <c r="A354" s="51" t="s">
        <v>3567</v>
      </c>
      <c r="B354" s="51" t="s">
        <v>3568</v>
      </c>
      <c r="C354" s="51" t="s">
        <v>57</v>
      </c>
      <c r="D354" s="51" t="s">
        <v>635</v>
      </c>
      <c r="E354" s="51" t="s">
        <v>634</v>
      </c>
      <c r="F354" s="52">
        <v>1564.7629999999999</v>
      </c>
      <c r="G354" s="52">
        <v>5000</v>
      </c>
      <c r="H354" s="52">
        <v>0</v>
      </c>
      <c r="I354" s="52">
        <v>5000</v>
      </c>
      <c r="J354" s="51">
        <v>1</v>
      </c>
      <c r="K354" s="54">
        <v>5000</v>
      </c>
      <c r="L354" s="51">
        <v>0</v>
      </c>
      <c r="M354" s="54">
        <v>0</v>
      </c>
      <c r="N354" s="53">
        <f t="shared" si="10"/>
        <v>5000</v>
      </c>
      <c r="O354" s="53">
        <f t="shared" si="11"/>
        <v>-5000</v>
      </c>
    </row>
    <row r="355" spans="1:15" x14ac:dyDescent="0.2">
      <c r="A355" s="51" t="s">
        <v>3567</v>
      </c>
      <c r="B355" s="51" t="s">
        <v>3568</v>
      </c>
      <c r="C355" s="51" t="s">
        <v>56</v>
      </c>
      <c r="D355" s="51" t="s">
        <v>2562</v>
      </c>
      <c r="E355" s="51" t="s">
        <v>2561</v>
      </c>
      <c r="F355" s="52">
        <v>14282.043887982079</v>
      </c>
      <c r="G355" s="52">
        <v>5360</v>
      </c>
      <c r="H355" s="52">
        <v>15230</v>
      </c>
      <c r="I355" s="52">
        <v>20590</v>
      </c>
      <c r="J355" s="51">
        <v>1</v>
      </c>
      <c r="K355" s="54">
        <v>5000</v>
      </c>
      <c r="L355" s="51">
        <v>0</v>
      </c>
      <c r="M355" s="54">
        <v>0</v>
      </c>
      <c r="N355" s="53">
        <f t="shared" si="10"/>
        <v>5000</v>
      </c>
      <c r="O355" s="53">
        <f t="shared" si="11"/>
        <v>-5000</v>
      </c>
    </row>
    <row r="356" spans="1:15" x14ac:dyDescent="0.2">
      <c r="A356" s="51" t="s">
        <v>3567</v>
      </c>
      <c r="B356" s="51" t="s">
        <v>3568</v>
      </c>
      <c r="C356" s="51" t="s">
        <v>87</v>
      </c>
      <c r="D356" s="51" t="s">
        <v>2279</v>
      </c>
      <c r="E356" s="51" t="s">
        <v>2278</v>
      </c>
      <c r="F356" s="52">
        <v>11214.98721307666</v>
      </c>
      <c r="G356" s="52">
        <v>3800</v>
      </c>
      <c r="H356" s="52">
        <v>7790</v>
      </c>
      <c r="I356" s="52">
        <v>11590</v>
      </c>
      <c r="J356" s="51">
        <v>1</v>
      </c>
      <c r="K356" s="54">
        <v>5000</v>
      </c>
      <c r="L356" s="51">
        <v>0</v>
      </c>
      <c r="M356" s="54">
        <v>0</v>
      </c>
      <c r="N356" s="53">
        <f t="shared" si="10"/>
        <v>5000</v>
      </c>
      <c r="O356" s="53">
        <f t="shared" si="11"/>
        <v>-5000</v>
      </c>
    </row>
    <row r="357" spans="1:15" x14ac:dyDescent="0.2">
      <c r="A357" s="51" t="s">
        <v>3567</v>
      </c>
      <c r="B357" s="51" t="s">
        <v>3568</v>
      </c>
      <c r="C357" s="51" t="s">
        <v>54</v>
      </c>
      <c r="D357" s="51" t="s">
        <v>108</v>
      </c>
      <c r="E357" s="51" t="s">
        <v>107</v>
      </c>
      <c r="F357" s="52">
        <v>157.23302240266801</v>
      </c>
      <c r="G357" s="52">
        <v>1710</v>
      </c>
      <c r="H357" s="52">
        <v>7100</v>
      </c>
      <c r="I357" s="52">
        <v>8810</v>
      </c>
      <c r="J357" s="51">
        <v>1</v>
      </c>
      <c r="K357" s="54">
        <v>5000</v>
      </c>
      <c r="L357" s="51">
        <v>1</v>
      </c>
      <c r="M357" s="54">
        <v>10000</v>
      </c>
      <c r="N357" s="53">
        <f t="shared" si="10"/>
        <v>-5000</v>
      </c>
      <c r="O357" s="53">
        <f t="shared" si="11"/>
        <v>5000</v>
      </c>
    </row>
    <row r="358" spans="1:15" x14ac:dyDescent="0.2">
      <c r="A358" s="51" t="s">
        <v>3567</v>
      </c>
      <c r="B358" s="51" t="s">
        <v>3568</v>
      </c>
      <c r="C358" s="51" t="s">
        <v>77</v>
      </c>
      <c r="D358" s="51" t="s">
        <v>526</v>
      </c>
      <c r="E358" s="51" t="s">
        <v>525</v>
      </c>
      <c r="F358" s="52">
        <v>216.81313208177789</v>
      </c>
      <c r="G358" s="52">
        <v>0</v>
      </c>
      <c r="H358" s="52">
        <v>0</v>
      </c>
      <c r="I358" s="52">
        <v>0</v>
      </c>
      <c r="J358" s="51">
        <v>0</v>
      </c>
      <c r="K358" s="54">
        <v>0</v>
      </c>
      <c r="L358" s="51">
        <v>1</v>
      </c>
      <c r="M358" s="54">
        <v>15000</v>
      </c>
      <c r="N358" s="53">
        <f t="shared" si="10"/>
        <v>-15000</v>
      </c>
      <c r="O358" s="53">
        <f t="shared" si="11"/>
        <v>15000</v>
      </c>
    </row>
    <row r="359" spans="1:15" x14ac:dyDescent="0.2">
      <c r="A359" s="51" t="s">
        <v>3567</v>
      </c>
      <c r="B359" s="51" t="s">
        <v>3568</v>
      </c>
      <c r="C359" s="51" t="s">
        <v>54</v>
      </c>
      <c r="D359" s="51" t="s">
        <v>2462</v>
      </c>
      <c r="E359" s="51" t="s">
        <v>1269</v>
      </c>
      <c r="F359" s="52">
        <v>4559.6952000000001</v>
      </c>
      <c r="G359" s="52">
        <v>21380</v>
      </c>
      <c r="H359" s="52">
        <v>3800</v>
      </c>
      <c r="I359" s="52">
        <v>25180</v>
      </c>
      <c r="J359" s="51">
        <v>1</v>
      </c>
      <c r="K359" s="54">
        <v>5000</v>
      </c>
      <c r="L359" s="51">
        <v>0</v>
      </c>
      <c r="M359" s="54">
        <v>0</v>
      </c>
      <c r="N359" s="53">
        <f t="shared" si="10"/>
        <v>5000</v>
      </c>
      <c r="O359" s="53">
        <f t="shared" si="11"/>
        <v>-5000</v>
      </c>
    </row>
    <row r="360" spans="1:15" x14ac:dyDescent="0.2">
      <c r="A360" s="51" t="s">
        <v>3567</v>
      </c>
      <c r="B360" s="51" t="s">
        <v>3568</v>
      </c>
      <c r="C360" s="51" t="s">
        <v>76</v>
      </c>
      <c r="D360" s="51" t="s">
        <v>2450</v>
      </c>
      <c r="E360" s="51" t="s">
        <v>2449</v>
      </c>
      <c r="F360" s="52">
        <v>157.87570500000001</v>
      </c>
      <c r="G360" s="52">
        <v>50</v>
      </c>
      <c r="H360" s="52">
        <v>150</v>
      </c>
      <c r="I360" s="52">
        <v>200</v>
      </c>
      <c r="J360" s="51">
        <v>0</v>
      </c>
      <c r="K360" s="54">
        <v>0</v>
      </c>
      <c r="L360" s="51">
        <v>0</v>
      </c>
      <c r="M360" s="54">
        <v>0</v>
      </c>
      <c r="N360" s="53">
        <f t="shared" si="10"/>
        <v>0</v>
      </c>
      <c r="O360" s="53">
        <f t="shared" si="11"/>
        <v>0</v>
      </c>
    </row>
    <row r="361" spans="1:15" x14ac:dyDescent="0.2">
      <c r="A361" s="51" t="s">
        <v>3567</v>
      </c>
      <c r="B361" s="51" t="s">
        <v>3568</v>
      </c>
      <c r="C361" s="51" t="s">
        <v>3707</v>
      </c>
      <c r="D361" s="51" t="s">
        <v>3768</v>
      </c>
      <c r="E361" s="51" t="s">
        <v>3769</v>
      </c>
      <c r="F361" s="52">
        <v>9.2492185263871267</v>
      </c>
      <c r="G361" s="52">
        <v>0</v>
      </c>
      <c r="H361" s="52">
        <v>0</v>
      </c>
      <c r="I361" s="52">
        <v>0</v>
      </c>
      <c r="J361" s="51">
        <v>0</v>
      </c>
      <c r="K361" s="54">
        <v>0</v>
      </c>
      <c r="L361" s="51">
        <v>0</v>
      </c>
      <c r="M361" s="54">
        <v>0</v>
      </c>
      <c r="N361" s="53">
        <f t="shared" si="10"/>
        <v>0</v>
      </c>
      <c r="O361" s="53">
        <f t="shared" si="11"/>
        <v>0</v>
      </c>
    </row>
    <row r="362" spans="1:15" x14ac:dyDescent="0.2">
      <c r="A362" s="51" t="s">
        <v>3567</v>
      </c>
      <c r="B362" s="51" t="s">
        <v>3568</v>
      </c>
      <c r="C362" s="51" t="s">
        <v>72</v>
      </c>
      <c r="D362" s="51" t="s">
        <v>2352</v>
      </c>
      <c r="E362" s="51" t="s">
        <v>2351</v>
      </c>
      <c r="F362" s="52">
        <v>10381.0915</v>
      </c>
      <c r="G362" s="52">
        <v>960</v>
      </c>
      <c r="H362" s="52">
        <v>14430</v>
      </c>
      <c r="I362" s="52">
        <v>15390</v>
      </c>
      <c r="J362" s="51">
        <v>0</v>
      </c>
      <c r="K362" s="54">
        <v>0</v>
      </c>
      <c r="L362" s="51">
        <v>1</v>
      </c>
      <c r="M362" s="54">
        <v>30000</v>
      </c>
      <c r="N362" s="53">
        <f t="shared" si="10"/>
        <v>-30000</v>
      </c>
      <c r="O362" s="53">
        <f t="shared" si="11"/>
        <v>30000</v>
      </c>
    </row>
    <row r="363" spans="1:15" x14ac:dyDescent="0.2">
      <c r="A363" s="51" t="s">
        <v>3567</v>
      </c>
      <c r="B363" s="51" t="s">
        <v>3568</v>
      </c>
      <c r="C363" s="51" t="s">
        <v>83</v>
      </c>
      <c r="D363" s="51" t="s">
        <v>3353</v>
      </c>
      <c r="E363" s="51" t="s">
        <v>3352</v>
      </c>
      <c r="F363" s="52">
        <v>273.19698862797821</v>
      </c>
      <c r="G363" s="52">
        <v>7420</v>
      </c>
      <c r="H363" s="52">
        <v>13670</v>
      </c>
      <c r="I363" s="52">
        <v>21090</v>
      </c>
      <c r="J363" s="51">
        <v>1</v>
      </c>
      <c r="K363" s="54">
        <v>5000</v>
      </c>
      <c r="L363" s="51">
        <v>1</v>
      </c>
      <c r="M363" s="54">
        <v>10000</v>
      </c>
      <c r="N363" s="53">
        <f t="shared" si="10"/>
        <v>-5000</v>
      </c>
      <c r="O363" s="53">
        <f t="shared" si="11"/>
        <v>5000</v>
      </c>
    </row>
    <row r="364" spans="1:15" x14ac:dyDescent="0.2">
      <c r="A364" s="51" t="s">
        <v>3567</v>
      </c>
      <c r="B364" s="51" t="s">
        <v>3568</v>
      </c>
      <c r="C364" s="51" t="s">
        <v>93</v>
      </c>
      <c r="D364" s="51" t="s">
        <v>2783</v>
      </c>
      <c r="E364" s="51" t="s">
        <v>2782</v>
      </c>
      <c r="F364" s="52">
        <v>1515.398815137095</v>
      </c>
      <c r="G364" s="52">
        <v>7355</v>
      </c>
      <c r="H364" s="52">
        <v>37455</v>
      </c>
      <c r="I364" s="52">
        <v>44810</v>
      </c>
      <c r="J364" s="51">
        <v>0</v>
      </c>
      <c r="K364" s="54">
        <v>0</v>
      </c>
      <c r="L364" s="51">
        <v>2</v>
      </c>
      <c r="M364" s="54">
        <v>40000</v>
      </c>
      <c r="N364" s="53">
        <f t="shared" si="10"/>
        <v>-40000</v>
      </c>
      <c r="O364" s="53">
        <f t="shared" si="11"/>
        <v>40000</v>
      </c>
    </row>
    <row r="365" spans="1:15" x14ac:dyDescent="0.2">
      <c r="A365" s="51" t="s">
        <v>3567</v>
      </c>
      <c r="B365" s="51" t="s">
        <v>3568</v>
      </c>
      <c r="C365" s="51" t="s">
        <v>74</v>
      </c>
      <c r="D365" s="51" t="s">
        <v>3073</v>
      </c>
      <c r="E365" s="51" t="s">
        <v>3072</v>
      </c>
      <c r="F365" s="52">
        <v>5827.5470018343003</v>
      </c>
      <c r="G365" s="52">
        <v>1015</v>
      </c>
      <c r="H365" s="52">
        <v>4300</v>
      </c>
      <c r="I365" s="52">
        <v>5315</v>
      </c>
      <c r="J365" s="51">
        <v>0</v>
      </c>
      <c r="K365" s="54">
        <v>0</v>
      </c>
      <c r="L365" s="51">
        <v>1</v>
      </c>
      <c r="M365" s="54">
        <v>14000</v>
      </c>
      <c r="N365" s="53">
        <f t="shared" si="10"/>
        <v>-14000</v>
      </c>
      <c r="O365" s="53">
        <f t="shared" si="11"/>
        <v>14000</v>
      </c>
    </row>
    <row r="366" spans="1:15" x14ac:dyDescent="0.2">
      <c r="A366" s="51" t="s">
        <v>3567</v>
      </c>
      <c r="B366" s="51" t="s">
        <v>3568</v>
      </c>
      <c r="C366" s="51" t="s">
        <v>92</v>
      </c>
      <c r="D366" s="51" t="s">
        <v>1379</v>
      </c>
      <c r="E366" s="51" t="s">
        <v>1209</v>
      </c>
      <c r="F366" s="52">
        <v>24530.651988164351</v>
      </c>
      <c r="G366" s="52">
        <v>4280</v>
      </c>
      <c r="H366" s="52">
        <v>4250</v>
      </c>
      <c r="I366" s="52">
        <v>8530</v>
      </c>
      <c r="J366" s="51">
        <v>0</v>
      </c>
      <c r="K366" s="54">
        <v>0</v>
      </c>
      <c r="L366" s="51">
        <v>1</v>
      </c>
      <c r="M366" s="54">
        <v>5000</v>
      </c>
      <c r="N366" s="53">
        <f t="shared" si="10"/>
        <v>-5000</v>
      </c>
      <c r="O366" s="53">
        <f t="shared" si="11"/>
        <v>5000</v>
      </c>
    </row>
    <row r="367" spans="1:15" x14ac:dyDescent="0.2">
      <c r="A367" s="51" t="s">
        <v>3567</v>
      </c>
      <c r="B367" s="51" t="s">
        <v>3568</v>
      </c>
      <c r="C367" s="51" t="s">
        <v>3630</v>
      </c>
      <c r="D367" s="51" t="s">
        <v>3772</v>
      </c>
      <c r="E367" s="51" t="s">
        <v>3773</v>
      </c>
      <c r="F367" s="52">
        <v>22.963954253107801</v>
      </c>
      <c r="G367" s="52">
        <v>0</v>
      </c>
      <c r="H367" s="52">
        <v>0</v>
      </c>
      <c r="I367" s="52">
        <v>0</v>
      </c>
      <c r="J367" s="51">
        <v>0</v>
      </c>
      <c r="K367" s="54">
        <v>0</v>
      </c>
      <c r="L367" s="51">
        <v>0</v>
      </c>
      <c r="M367" s="54">
        <v>0</v>
      </c>
      <c r="N367" s="53">
        <f t="shared" si="10"/>
        <v>0</v>
      </c>
      <c r="O367" s="53">
        <f t="shared" si="11"/>
        <v>0</v>
      </c>
    </row>
    <row r="368" spans="1:15" x14ac:dyDescent="0.2">
      <c r="A368" s="51" t="s">
        <v>3567</v>
      </c>
      <c r="B368" s="51" t="s">
        <v>3568</v>
      </c>
      <c r="C368" s="51" t="s">
        <v>82</v>
      </c>
      <c r="D368" s="51" t="s">
        <v>3775</v>
      </c>
      <c r="E368" s="51" t="s">
        <v>3776</v>
      </c>
      <c r="F368" s="52">
        <v>0.31924199999997999</v>
      </c>
      <c r="G368" s="52">
        <v>0</v>
      </c>
      <c r="H368" s="52">
        <v>0</v>
      </c>
      <c r="I368" s="52">
        <v>0</v>
      </c>
      <c r="J368" s="51">
        <v>0</v>
      </c>
      <c r="K368" s="54">
        <v>0</v>
      </c>
      <c r="L368" s="51">
        <v>0</v>
      </c>
      <c r="M368" s="54">
        <v>0</v>
      </c>
      <c r="N368" s="53">
        <f t="shared" si="10"/>
        <v>0</v>
      </c>
      <c r="O368" s="53">
        <f t="shared" si="11"/>
        <v>0</v>
      </c>
    </row>
    <row r="369" spans="1:15" x14ac:dyDescent="0.2">
      <c r="A369" s="51" t="s">
        <v>3567</v>
      </c>
      <c r="B369" s="51" t="s">
        <v>3568</v>
      </c>
      <c r="C369" s="51" t="s">
        <v>59</v>
      </c>
      <c r="D369" s="51" t="s">
        <v>3551</v>
      </c>
      <c r="E369" s="51" t="s">
        <v>822</v>
      </c>
      <c r="F369" s="52">
        <v>6995.6647999999996</v>
      </c>
      <c r="G369" s="52">
        <v>300</v>
      </c>
      <c r="H369" s="52">
        <v>0</v>
      </c>
      <c r="I369" s="52">
        <v>300</v>
      </c>
      <c r="J369" s="51">
        <v>1</v>
      </c>
      <c r="K369" s="54">
        <v>5000</v>
      </c>
      <c r="L369" s="51">
        <v>0</v>
      </c>
      <c r="M369" s="54">
        <v>0</v>
      </c>
      <c r="N369" s="53">
        <f t="shared" si="10"/>
        <v>5000</v>
      </c>
      <c r="O369" s="53">
        <f t="shared" si="11"/>
        <v>-5000</v>
      </c>
    </row>
    <row r="370" spans="1:15" x14ac:dyDescent="0.2">
      <c r="A370" s="51" t="s">
        <v>3567</v>
      </c>
      <c r="B370" s="51" t="s">
        <v>3568</v>
      </c>
      <c r="C370" s="51" t="s">
        <v>92</v>
      </c>
      <c r="D370" s="51" t="s">
        <v>1950</v>
      </c>
      <c r="E370" s="51" t="s">
        <v>1949</v>
      </c>
      <c r="F370" s="52">
        <v>9.7573606927142844</v>
      </c>
      <c r="G370" s="52">
        <v>0</v>
      </c>
      <c r="H370" s="52">
        <v>0</v>
      </c>
      <c r="I370" s="52">
        <v>0</v>
      </c>
      <c r="J370" s="51">
        <v>0</v>
      </c>
      <c r="K370" s="54">
        <v>0</v>
      </c>
      <c r="L370" s="51">
        <v>0</v>
      </c>
      <c r="M370" s="54">
        <v>0</v>
      </c>
      <c r="N370" s="53">
        <f t="shared" si="10"/>
        <v>0</v>
      </c>
      <c r="O370" s="53">
        <f t="shared" si="11"/>
        <v>0</v>
      </c>
    </row>
    <row r="371" spans="1:15" x14ac:dyDescent="0.2">
      <c r="A371" s="51" t="s">
        <v>3567</v>
      </c>
      <c r="B371" s="51" t="s">
        <v>3568</v>
      </c>
      <c r="C371" s="51" t="s">
        <v>3698</v>
      </c>
      <c r="D371" s="51" t="s">
        <v>3785</v>
      </c>
      <c r="E371" s="51" t="s">
        <v>1510</v>
      </c>
      <c r="F371" s="52">
        <v>0.77571654446779448</v>
      </c>
      <c r="G371" s="52">
        <v>0</v>
      </c>
      <c r="H371" s="52">
        <v>0</v>
      </c>
      <c r="I371" s="52">
        <v>0</v>
      </c>
      <c r="J371" s="51">
        <v>0</v>
      </c>
      <c r="K371" s="54">
        <v>0</v>
      </c>
      <c r="L371" s="51">
        <v>0</v>
      </c>
      <c r="M371" s="54">
        <v>0</v>
      </c>
      <c r="N371" s="53">
        <f t="shared" si="10"/>
        <v>0</v>
      </c>
      <c r="O371" s="53">
        <f t="shared" si="11"/>
        <v>0</v>
      </c>
    </row>
    <row r="372" spans="1:15" x14ac:dyDescent="0.2">
      <c r="A372" s="51" t="s">
        <v>3567</v>
      </c>
      <c r="B372" s="51" t="s">
        <v>3568</v>
      </c>
      <c r="C372" s="51" t="s">
        <v>79</v>
      </c>
      <c r="D372" s="51" t="s">
        <v>3774</v>
      </c>
      <c r="E372" s="51" t="s">
        <v>1440</v>
      </c>
      <c r="F372" s="52">
        <v>1.3989248125</v>
      </c>
      <c r="G372" s="52">
        <v>0</v>
      </c>
      <c r="H372" s="52">
        <v>0</v>
      </c>
      <c r="I372" s="52">
        <v>0</v>
      </c>
      <c r="J372" s="51">
        <v>0</v>
      </c>
      <c r="K372" s="54">
        <v>0</v>
      </c>
      <c r="L372" s="51">
        <v>0</v>
      </c>
      <c r="M372" s="54">
        <v>0</v>
      </c>
      <c r="N372" s="53">
        <f t="shared" si="10"/>
        <v>0</v>
      </c>
      <c r="O372" s="53">
        <f t="shared" si="11"/>
        <v>0</v>
      </c>
    </row>
    <row r="373" spans="1:15" x14ac:dyDescent="0.2">
      <c r="A373" s="51" t="s">
        <v>3567</v>
      </c>
      <c r="B373" s="51" t="s">
        <v>3568</v>
      </c>
      <c r="C373" s="51" t="s">
        <v>3580</v>
      </c>
      <c r="D373" s="51" t="s">
        <v>3783</v>
      </c>
      <c r="E373" s="51" t="s">
        <v>3784</v>
      </c>
      <c r="F373" s="52">
        <v>4.6673</v>
      </c>
      <c r="G373" s="52">
        <v>0</v>
      </c>
      <c r="H373" s="52">
        <v>0</v>
      </c>
      <c r="I373" s="52">
        <v>0</v>
      </c>
      <c r="J373" s="51">
        <v>0</v>
      </c>
      <c r="K373" s="54">
        <v>0</v>
      </c>
      <c r="L373" s="51">
        <v>0</v>
      </c>
      <c r="M373" s="54">
        <v>0</v>
      </c>
      <c r="N373" s="53">
        <f t="shared" si="10"/>
        <v>0</v>
      </c>
      <c r="O373" s="53">
        <f t="shared" si="11"/>
        <v>0</v>
      </c>
    </row>
    <row r="374" spans="1:15" x14ac:dyDescent="0.2">
      <c r="A374" s="51" t="s">
        <v>3567</v>
      </c>
      <c r="B374" s="51" t="s">
        <v>3568</v>
      </c>
      <c r="C374" s="51" t="s">
        <v>3763</v>
      </c>
      <c r="D374" s="51" t="s">
        <v>3764</v>
      </c>
      <c r="E374" s="51" t="s">
        <v>3101</v>
      </c>
      <c r="F374" s="52">
        <v>3.8925186597882449</v>
      </c>
      <c r="G374" s="52">
        <v>0</v>
      </c>
      <c r="H374" s="52">
        <v>0</v>
      </c>
      <c r="I374" s="52">
        <v>0</v>
      </c>
      <c r="J374" s="51">
        <v>0</v>
      </c>
      <c r="K374" s="54">
        <v>0</v>
      </c>
      <c r="L374" s="51">
        <v>0</v>
      </c>
      <c r="M374" s="54">
        <v>0</v>
      </c>
      <c r="N374" s="53">
        <f t="shared" si="10"/>
        <v>0</v>
      </c>
      <c r="O374" s="53">
        <f t="shared" si="11"/>
        <v>0</v>
      </c>
    </row>
    <row r="375" spans="1:15" x14ac:dyDescent="0.2">
      <c r="A375" s="51" t="s">
        <v>3567</v>
      </c>
      <c r="B375" s="51" t="s">
        <v>3568</v>
      </c>
      <c r="C375" s="51" t="s">
        <v>76</v>
      </c>
      <c r="D375" s="51" t="s">
        <v>3106</v>
      </c>
      <c r="E375" s="51" t="s">
        <v>3105</v>
      </c>
      <c r="F375" s="52">
        <v>23961.083043746239</v>
      </c>
      <c r="G375" s="52">
        <v>17830</v>
      </c>
      <c r="H375" s="52">
        <v>0</v>
      </c>
      <c r="I375" s="52">
        <v>17830</v>
      </c>
      <c r="J375" s="51">
        <v>1</v>
      </c>
      <c r="K375" s="54">
        <v>20000</v>
      </c>
      <c r="L375" s="51">
        <v>0</v>
      </c>
      <c r="M375" s="54">
        <v>0</v>
      </c>
      <c r="N375" s="53">
        <f t="shared" si="10"/>
        <v>20000</v>
      </c>
      <c r="O375" s="53">
        <f t="shared" si="11"/>
        <v>-20000</v>
      </c>
    </row>
    <row r="376" spans="1:15" x14ac:dyDescent="0.2">
      <c r="A376" s="51" t="s">
        <v>3567</v>
      </c>
      <c r="B376" s="51" t="s">
        <v>3568</v>
      </c>
      <c r="C376" s="51" t="s">
        <v>67</v>
      </c>
      <c r="D376" s="51" t="s">
        <v>3557</v>
      </c>
      <c r="E376" s="51" t="s">
        <v>3556</v>
      </c>
      <c r="F376" s="52">
        <v>4992.6788999999999</v>
      </c>
      <c r="G376" s="52">
        <v>200</v>
      </c>
      <c r="H376" s="52">
        <v>480</v>
      </c>
      <c r="I376" s="52">
        <v>680</v>
      </c>
      <c r="J376" s="51">
        <v>0</v>
      </c>
      <c r="K376" s="54">
        <v>0</v>
      </c>
      <c r="L376" s="51">
        <v>1</v>
      </c>
      <c r="M376" s="54">
        <v>5000</v>
      </c>
      <c r="N376" s="53">
        <f t="shared" si="10"/>
        <v>-5000</v>
      </c>
      <c r="O376" s="53">
        <f t="shared" si="11"/>
        <v>5000</v>
      </c>
    </row>
    <row r="377" spans="1:15" x14ac:dyDescent="0.2">
      <c r="A377" s="51" t="s">
        <v>3567</v>
      </c>
      <c r="B377" s="51" t="s">
        <v>3568</v>
      </c>
      <c r="C377" s="51" t="s">
        <v>87</v>
      </c>
      <c r="D377" s="51" t="s">
        <v>3415</v>
      </c>
      <c r="E377" s="51" t="s">
        <v>3414</v>
      </c>
      <c r="F377" s="52">
        <v>9416.1881754783008</v>
      </c>
      <c r="G377" s="52">
        <v>42620</v>
      </c>
      <c r="H377" s="52">
        <v>22980</v>
      </c>
      <c r="I377" s="52">
        <v>65600</v>
      </c>
      <c r="J377" s="51">
        <v>1</v>
      </c>
      <c r="K377" s="54">
        <v>25000</v>
      </c>
      <c r="L377" s="51">
        <v>2</v>
      </c>
      <c r="M377" s="54">
        <v>20000</v>
      </c>
      <c r="N377" s="53">
        <f t="shared" si="10"/>
        <v>5000</v>
      </c>
      <c r="O377" s="53">
        <f t="shared" si="11"/>
        <v>-5000</v>
      </c>
    </row>
    <row r="378" spans="1:15" x14ac:dyDescent="0.2">
      <c r="A378" s="51" t="s">
        <v>3567</v>
      </c>
      <c r="B378" s="51" t="s">
        <v>3568</v>
      </c>
      <c r="C378" s="51" t="s">
        <v>3590</v>
      </c>
      <c r="D378" s="51" t="s">
        <v>3806</v>
      </c>
      <c r="E378" s="51" t="s">
        <v>1269</v>
      </c>
      <c r="F378" s="52">
        <v>0.7974002469</v>
      </c>
      <c r="G378" s="52">
        <v>0</v>
      </c>
      <c r="H378" s="52">
        <v>0</v>
      </c>
      <c r="I378" s="52">
        <v>0</v>
      </c>
      <c r="J378" s="51">
        <v>0</v>
      </c>
      <c r="K378" s="54">
        <v>0</v>
      </c>
      <c r="L378" s="51">
        <v>0</v>
      </c>
      <c r="M378" s="54">
        <v>0</v>
      </c>
      <c r="N378" s="53">
        <f t="shared" si="10"/>
        <v>0</v>
      </c>
      <c r="O378" s="53">
        <f t="shared" si="11"/>
        <v>0</v>
      </c>
    </row>
    <row r="379" spans="1:15" x14ac:dyDescent="0.2">
      <c r="A379" s="51" t="s">
        <v>3567</v>
      </c>
      <c r="B379" s="51" t="s">
        <v>3568</v>
      </c>
      <c r="C379" s="51" t="s">
        <v>73</v>
      </c>
      <c r="D379" s="51" t="s">
        <v>2729</v>
      </c>
      <c r="E379" s="51" t="s">
        <v>2728</v>
      </c>
      <c r="F379" s="52">
        <v>14391.213792585</v>
      </c>
      <c r="G379" s="52">
        <v>4500</v>
      </c>
      <c r="H379" s="52">
        <v>3100</v>
      </c>
      <c r="I379" s="52">
        <v>7600</v>
      </c>
      <c r="J379" s="51">
        <v>0</v>
      </c>
      <c r="K379" s="54">
        <v>0</v>
      </c>
      <c r="L379" s="51">
        <v>1</v>
      </c>
      <c r="M379" s="54">
        <v>10000</v>
      </c>
      <c r="N379" s="53">
        <f t="shared" si="10"/>
        <v>-10000</v>
      </c>
      <c r="O379" s="53">
        <f t="shared" si="11"/>
        <v>10000</v>
      </c>
    </row>
    <row r="380" spans="1:15" x14ac:dyDescent="0.2">
      <c r="A380" s="51" t="s">
        <v>3567</v>
      </c>
      <c r="B380" s="51" t="s">
        <v>3568</v>
      </c>
      <c r="C380" s="51" t="s">
        <v>82</v>
      </c>
      <c r="D380" s="51" t="s">
        <v>561</v>
      </c>
      <c r="E380" s="51" t="s">
        <v>393</v>
      </c>
      <c r="F380" s="52">
        <v>13674.938778424301</v>
      </c>
      <c r="G380" s="52">
        <v>22511</v>
      </c>
      <c r="H380" s="52">
        <v>22330</v>
      </c>
      <c r="I380" s="52">
        <v>44841</v>
      </c>
      <c r="J380" s="51">
        <v>0</v>
      </c>
      <c r="K380" s="54">
        <v>0</v>
      </c>
      <c r="L380" s="51">
        <v>1</v>
      </c>
      <c r="M380" s="54">
        <v>10000</v>
      </c>
      <c r="N380" s="53">
        <f t="shared" si="10"/>
        <v>-10000</v>
      </c>
      <c r="O380" s="53">
        <f t="shared" si="11"/>
        <v>10000</v>
      </c>
    </row>
    <row r="381" spans="1:15" x14ac:dyDescent="0.2">
      <c r="A381" s="51" t="s">
        <v>3567</v>
      </c>
      <c r="B381" s="51" t="s">
        <v>3568</v>
      </c>
      <c r="C381" s="51" t="s">
        <v>58</v>
      </c>
      <c r="D381" s="51" t="s">
        <v>1502</v>
      </c>
      <c r="E381" s="51" t="s">
        <v>1501</v>
      </c>
      <c r="F381" s="52">
        <v>13325.937668687029</v>
      </c>
      <c r="G381" s="52">
        <v>6310</v>
      </c>
      <c r="H381" s="52">
        <v>11300</v>
      </c>
      <c r="I381" s="52">
        <v>17610</v>
      </c>
      <c r="J381" s="51">
        <v>0</v>
      </c>
      <c r="K381" s="54">
        <v>0</v>
      </c>
      <c r="L381" s="51">
        <v>1</v>
      </c>
      <c r="M381" s="54">
        <v>5000</v>
      </c>
      <c r="N381" s="53">
        <f t="shared" si="10"/>
        <v>-5000</v>
      </c>
      <c r="O381" s="53">
        <f t="shared" si="11"/>
        <v>5000</v>
      </c>
    </row>
    <row r="382" spans="1:15" x14ac:dyDescent="0.2">
      <c r="A382" s="51" t="s">
        <v>3567</v>
      </c>
      <c r="B382" s="51" t="s">
        <v>3568</v>
      </c>
      <c r="C382" s="51" t="s">
        <v>65</v>
      </c>
      <c r="D382" s="51" t="s">
        <v>222</v>
      </c>
      <c r="E382" s="51" t="s">
        <v>221</v>
      </c>
      <c r="F382" s="52">
        <v>2035.1546880000001</v>
      </c>
      <c r="G382" s="52">
        <v>0</v>
      </c>
      <c r="H382" s="52">
        <v>0</v>
      </c>
      <c r="I382" s="52">
        <v>0</v>
      </c>
      <c r="J382" s="51">
        <v>0</v>
      </c>
      <c r="K382" s="54">
        <v>0</v>
      </c>
      <c r="L382" s="51">
        <v>0</v>
      </c>
      <c r="M382" s="54">
        <v>0</v>
      </c>
      <c r="N382" s="53">
        <f t="shared" si="10"/>
        <v>0</v>
      </c>
      <c r="O382" s="53">
        <f t="shared" si="11"/>
        <v>0</v>
      </c>
    </row>
    <row r="383" spans="1:15" x14ac:dyDescent="0.2">
      <c r="A383" s="51" t="s">
        <v>3567</v>
      </c>
      <c r="B383" s="51" t="s">
        <v>3568</v>
      </c>
      <c r="C383" s="51" t="s">
        <v>75</v>
      </c>
      <c r="D383" s="51" t="s">
        <v>2152</v>
      </c>
      <c r="E383" s="51" t="s">
        <v>2151</v>
      </c>
      <c r="F383" s="52">
        <v>32803.225744935458</v>
      </c>
      <c r="G383" s="52">
        <v>1150</v>
      </c>
      <c r="H383" s="52">
        <v>14290</v>
      </c>
      <c r="I383" s="52">
        <v>15440</v>
      </c>
      <c r="J383" s="51">
        <v>0</v>
      </c>
      <c r="K383" s="54">
        <v>0</v>
      </c>
      <c r="L383" s="51">
        <v>1</v>
      </c>
      <c r="M383" s="54">
        <v>6000</v>
      </c>
      <c r="N383" s="53">
        <f t="shared" si="10"/>
        <v>-6000</v>
      </c>
      <c r="O383" s="53">
        <f t="shared" si="11"/>
        <v>6000</v>
      </c>
    </row>
    <row r="384" spans="1:15" x14ac:dyDescent="0.2">
      <c r="A384" s="51" t="s">
        <v>3567</v>
      </c>
      <c r="B384" s="51" t="s">
        <v>3568</v>
      </c>
      <c r="C384" s="51" t="s">
        <v>69</v>
      </c>
      <c r="D384" s="51" t="s">
        <v>3750</v>
      </c>
      <c r="E384" s="51" t="s">
        <v>3751</v>
      </c>
      <c r="F384" s="52">
        <v>0.42536349700106102</v>
      </c>
      <c r="G384" s="52">
        <v>0</v>
      </c>
      <c r="H384" s="52">
        <v>0</v>
      </c>
      <c r="I384" s="52">
        <v>0</v>
      </c>
      <c r="J384" s="51">
        <v>0</v>
      </c>
      <c r="K384" s="54">
        <v>0</v>
      </c>
      <c r="L384" s="51">
        <v>0</v>
      </c>
      <c r="M384" s="54">
        <v>0</v>
      </c>
      <c r="N384" s="53">
        <f t="shared" si="10"/>
        <v>0</v>
      </c>
      <c r="O384" s="53">
        <f t="shared" si="11"/>
        <v>0</v>
      </c>
    </row>
    <row r="385" spans="1:15" x14ac:dyDescent="0.2">
      <c r="A385" s="51" t="s">
        <v>3567</v>
      </c>
      <c r="B385" s="51" t="s">
        <v>3568</v>
      </c>
      <c r="C385" s="51" t="s">
        <v>68</v>
      </c>
      <c r="D385" s="51" t="s">
        <v>1701</v>
      </c>
      <c r="E385" s="51" t="s">
        <v>1700</v>
      </c>
      <c r="F385" s="52">
        <v>421.53677499999998</v>
      </c>
      <c r="G385" s="52">
        <v>38970</v>
      </c>
      <c r="H385" s="52">
        <v>2800</v>
      </c>
      <c r="I385" s="52">
        <v>41770</v>
      </c>
      <c r="J385" s="51">
        <v>4</v>
      </c>
      <c r="K385" s="54">
        <v>36000</v>
      </c>
      <c r="L385" s="51">
        <v>0</v>
      </c>
      <c r="M385" s="54">
        <v>0</v>
      </c>
      <c r="N385" s="53">
        <f t="shared" si="10"/>
        <v>36000</v>
      </c>
      <c r="O385" s="53">
        <f t="shared" si="11"/>
        <v>-36000</v>
      </c>
    </row>
    <row r="386" spans="1:15" x14ac:dyDescent="0.2">
      <c r="A386" s="51" t="s">
        <v>3567</v>
      </c>
      <c r="B386" s="51" t="s">
        <v>3568</v>
      </c>
      <c r="C386" s="51" t="s">
        <v>3590</v>
      </c>
      <c r="D386" s="51" t="s">
        <v>3805</v>
      </c>
      <c r="E386" s="51" t="s">
        <v>1141</v>
      </c>
      <c r="F386" s="52">
        <v>16.080832524863681</v>
      </c>
      <c r="G386" s="52">
        <v>0</v>
      </c>
      <c r="H386" s="52">
        <v>0</v>
      </c>
      <c r="I386" s="52">
        <v>0</v>
      </c>
      <c r="J386" s="51">
        <v>0</v>
      </c>
      <c r="K386" s="54">
        <v>0</v>
      </c>
      <c r="L386" s="51">
        <v>0</v>
      </c>
      <c r="M386" s="54">
        <v>0</v>
      </c>
      <c r="N386" s="53">
        <f t="shared" si="10"/>
        <v>0</v>
      </c>
      <c r="O386" s="53">
        <f t="shared" si="11"/>
        <v>0</v>
      </c>
    </row>
    <row r="387" spans="1:15" x14ac:dyDescent="0.2">
      <c r="A387" s="51" t="s">
        <v>3567</v>
      </c>
      <c r="B387" s="51" t="s">
        <v>3568</v>
      </c>
      <c r="C387" s="51" t="s">
        <v>60</v>
      </c>
      <c r="D387" s="51" t="s">
        <v>583</v>
      </c>
      <c r="E387" s="51" t="s">
        <v>582</v>
      </c>
      <c r="F387" s="52">
        <v>52.3673</v>
      </c>
      <c r="G387" s="52">
        <v>0</v>
      </c>
      <c r="H387" s="52">
        <v>0</v>
      </c>
      <c r="I387" s="52">
        <v>0</v>
      </c>
      <c r="J387" s="51">
        <v>0</v>
      </c>
      <c r="K387" s="54">
        <v>0</v>
      </c>
      <c r="L387" s="51">
        <v>0</v>
      </c>
      <c r="M387" s="54">
        <v>0</v>
      </c>
      <c r="N387" s="53">
        <f t="shared" ref="N387:N450" si="12">K387-M387</f>
        <v>0</v>
      </c>
      <c r="O387" s="53">
        <f t="shared" ref="O387:O450" si="13">M387-K387</f>
        <v>0</v>
      </c>
    </row>
    <row r="388" spans="1:15" x14ac:dyDescent="0.2">
      <c r="A388" s="51" t="s">
        <v>3567</v>
      </c>
      <c r="B388" s="51" t="s">
        <v>3568</v>
      </c>
      <c r="C388" s="51" t="s">
        <v>63</v>
      </c>
      <c r="D388" s="51" t="s">
        <v>1270</v>
      </c>
      <c r="E388" s="51" t="s">
        <v>1269</v>
      </c>
      <c r="F388" s="52">
        <v>185.7253</v>
      </c>
      <c r="G388" s="52">
        <v>410</v>
      </c>
      <c r="H388" s="52">
        <v>10300</v>
      </c>
      <c r="I388" s="52">
        <v>10710</v>
      </c>
      <c r="J388" s="51">
        <v>1</v>
      </c>
      <c r="K388" s="54">
        <v>5000</v>
      </c>
      <c r="L388" s="51">
        <v>1</v>
      </c>
      <c r="M388" s="54">
        <v>19000</v>
      </c>
      <c r="N388" s="53">
        <f t="shared" si="12"/>
        <v>-14000</v>
      </c>
      <c r="O388" s="53">
        <f t="shared" si="13"/>
        <v>14000</v>
      </c>
    </row>
    <row r="389" spans="1:15" x14ac:dyDescent="0.2">
      <c r="A389" s="51" t="s">
        <v>3567</v>
      </c>
      <c r="B389" s="51" t="s">
        <v>3568</v>
      </c>
      <c r="C389" s="51" t="s">
        <v>69</v>
      </c>
      <c r="D389" s="51" t="s">
        <v>2478</v>
      </c>
      <c r="E389" s="51" t="s">
        <v>2477</v>
      </c>
      <c r="F389" s="52">
        <v>22445.7124</v>
      </c>
      <c r="G389" s="52">
        <v>20020</v>
      </c>
      <c r="H389" s="52">
        <v>17160</v>
      </c>
      <c r="I389" s="52">
        <v>37180</v>
      </c>
      <c r="J389" s="51">
        <v>0</v>
      </c>
      <c r="K389" s="54">
        <v>0</v>
      </c>
      <c r="L389" s="51">
        <v>1</v>
      </c>
      <c r="M389" s="54">
        <v>10000</v>
      </c>
      <c r="N389" s="53">
        <f t="shared" si="12"/>
        <v>-10000</v>
      </c>
      <c r="O389" s="53">
        <f t="shared" si="13"/>
        <v>10000</v>
      </c>
    </row>
    <row r="390" spans="1:15" x14ac:dyDescent="0.2">
      <c r="A390" s="51" t="s">
        <v>3567</v>
      </c>
      <c r="B390" s="51" t="s">
        <v>3568</v>
      </c>
      <c r="C390" s="51" t="s">
        <v>77</v>
      </c>
      <c r="D390" s="51" t="s">
        <v>1926</v>
      </c>
      <c r="E390" s="51" t="s">
        <v>1925</v>
      </c>
      <c r="F390" s="52">
        <v>407.22579999999999</v>
      </c>
      <c r="G390" s="52">
        <v>7830</v>
      </c>
      <c r="H390" s="52">
        <v>2330</v>
      </c>
      <c r="I390" s="52">
        <v>10160</v>
      </c>
      <c r="J390" s="51">
        <v>2</v>
      </c>
      <c r="K390" s="54">
        <v>5000</v>
      </c>
      <c r="L390" s="51">
        <v>0</v>
      </c>
      <c r="M390" s="54">
        <v>0</v>
      </c>
      <c r="N390" s="53">
        <f t="shared" si="12"/>
        <v>5000</v>
      </c>
      <c r="O390" s="53">
        <f t="shared" si="13"/>
        <v>-5000</v>
      </c>
    </row>
    <row r="391" spans="1:15" x14ac:dyDescent="0.2">
      <c r="A391" s="51" t="s">
        <v>3567</v>
      </c>
      <c r="B391" s="51" t="s">
        <v>3568</v>
      </c>
      <c r="C391" s="51" t="s">
        <v>82</v>
      </c>
      <c r="D391" s="51" t="s">
        <v>1902</v>
      </c>
      <c r="E391" s="51" t="s">
        <v>1901</v>
      </c>
      <c r="F391" s="52">
        <v>4514.8328000000001</v>
      </c>
      <c r="G391" s="52">
        <v>2400</v>
      </c>
      <c r="H391" s="52">
        <v>3590</v>
      </c>
      <c r="I391" s="52">
        <v>5990</v>
      </c>
      <c r="J391" s="51">
        <v>1</v>
      </c>
      <c r="K391" s="54">
        <v>5000</v>
      </c>
      <c r="L391" s="51">
        <v>0</v>
      </c>
      <c r="M391" s="54">
        <v>0</v>
      </c>
      <c r="N391" s="53">
        <f t="shared" si="12"/>
        <v>5000</v>
      </c>
      <c r="O391" s="53">
        <f t="shared" si="13"/>
        <v>-5000</v>
      </c>
    </row>
    <row r="392" spans="1:15" x14ac:dyDescent="0.2">
      <c r="A392" s="51" t="s">
        <v>3567</v>
      </c>
      <c r="B392" s="51" t="s">
        <v>3568</v>
      </c>
      <c r="C392" s="51" t="s">
        <v>66</v>
      </c>
      <c r="D392" s="51" t="s">
        <v>3798</v>
      </c>
      <c r="E392" s="51" t="s">
        <v>3799</v>
      </c>
      <c r="F392" s="52">
        <v>55.729400011800003</v>
      </c>
      <c r="G392" s="52">
        <v>0</v>
      </c>
      <c r="H392" s="52">
        <v>0</v>
      </c>
      <c r="I392" s="52">
        <v>0</v>
      </c>
      <c r="J392" s="51">
        <v>0</v>
      </c>
      <c r="K392" s="54">
        <v>0</v>
      </c>
      <c r="L392" s="51">
        <v>0</v>
      </c>
      <c r="M392" s="54">
        <v>0</v>
      </c>
      <c r="N392" s="53">
        <f t="shared" si="12"/>
        <v>0</v>
      </c>
      <c r="O392" s="53">
        <f t="shared" si="13"/>
        <v>0</v>
      </c>
    </row>
    <row r="393" spans="1:15" x14ac:dyDescent="0.2">
      <c r="A393" s="51" t="s">
        <v>3567</v>
      </c>
      <c r="B393" s="51" t="s">
        <v>3568</v>
      </c>
      <c r="C393" s="51" t="s">
        <v>65</v>
      </c>
      <c r="D393" s="51" t="s">
        <v>670</v>
      </c>
      <c r="E393" s="51" t="s">
        <v>669</v>
      </c>
      <c r="F393" s="52">
        <v>18444.394885000002</v>
      </c>
      <c r="G393" s="52">
        <v>6455</v>
      </c>
      <c r="H393" s="52">
        <v>49030</v>
      </c>
      <c r="I393" s="52">
        <v>55485</v>
      </c>
      <c r="J393" s="51">
        <v>0</v>
      </c>
      <c r="K393" s="54">
        <v>0</v>
      </c>
      <c r="L393" s="51">
        <v>2</v>
      </c>
      <c r="M393" s="54">
        <v>30000</v>
      </c>
      <c r="N393" s="53">
        <f t="shared" si="12"/>
        <v>-30000</v>
      </c>
      <c r="O393" s="53">
        <f t="shared" si="13"/>
        <v>30000</v>
      </c>
    </row>
    <row r="394" spans="1:15" x14ac:dyDescent="0.2">
      <c r="A394" s="51" t="s">
        <v>3567</v>
      </c>
      <c r="B394" s="51" t="s">
        <v>3568</v>
      </c>
      <c r="C394" s="51" t="s">
        <v>3590</v>
      </c>
      <c r="D394" s="51" t="s">
        <v>3790</v>
      </c>
      <c r="E394" s="51" t="s">
        <v>3791</v>
      </c>
      <c r="F394" s="52">
        <v>8.9865420738000008</v>
      </c>
      <c r="G394" s="52">
        <v>0</v>
      </c>
      <c r="H394" s="52">
        <v>0</v>
      </c>
      <c r="I394" s="52">
        <v>0</v>
      </c>
      <c r="J394" s="51">
        <v>0</v>
      </c>
      <c r="K394" s="54">
        <v>0</v>
      </c>
      <c r="L394" s="51">
        <v>0</v>
      </c>
      <c r="M394" s="54">
        <v>0</v>
      </c>
      <c r="N394" s="53">
        <f t="shared" si="12"/>
        <v>0</v>
      </c>
      <c r="O394" s="53">
        <f t="shared" si="13"/>
        <v>0</v>
      </c>
    </row>
    <row r="395" spans="1:15" x14ac:dyDescent="0.2">
      <c r="A395" s="51" t="s">
        <v>3567</v>
      </c>
      <c r="B395" s="51" t="s">
        <v>3568</v>
      </c>
      <c r="C395" s="51" t="s">
        <v>3756</v>
      </c>
      <c r="D395" s="51" t="s">
        <v>3757</v>
      </c>
      <c r="E395" s="51" t="s">
        <v>3758</v>
      </c>
      <c r="F395" s="52">
        <v>7.6797043101</v>
      </c>
      <c r="G395" s="52">
        <v>0</v>
      </c>
      <c r="H395" s="52">
        <v>0</v>
      </c>
      <c r="I395" s="52">
        <v>0</v>
      </c>
      <c r="J395" s="51">
        <v>0</v>
      </c>
      <c r="K395" s="54">
        <v>0</v>
      </c>
      <c r="L395" s="51">
        <v>0</v>
      </c>
      <c r="M395" s="54">
        <v>0</v>
      </c>
      <c r="N395" s="53">
        <f t="shared" si="12"/>
        <v>0</v>
      </c>
      <c r="O395" s="53">
        <f t="shared" si="13"/>
        <v>0</v>
      </c>
    </row>
    <row r="396" spans="1:15" x14ac:dyDescent="0.2">
      <c r="A396" s="51" t="s">
        <v>3567</v>
      </c>
      <c r="B396" s="51" t="s">
        <v>3568</v>
      </c>
      <c r="C396" s="51" t="s">
        <v>71</v>
      </c>
      <c r="D396" s="51" t="s">
        <v>3033</v>
      </c>
      <c r="E396" s="51" t="s">
        <v>3032</v>
      </c>
      <c r="F396" s="52">
        <v>14210.52088588369</v>
      </c>
      <c r="G396" s="52">
        <v>12000</v>
      </c>
      <c r="H396" s="52">
        <v>12480</v>
      </c>
      <c r="I396" s="52">
        <v>24480</v>
      </c>
      <c r="J396" s="51">
        <v>0</v>
      </c>
      <c r="K396" s="54">
        <v>0</v>
      </c>
      <c r="L396" s="51">
        <v>1</v>
      </c>
      <c r="M396" s="54">
        <v>5000</v>
      </c>
      <c r="N396" s="53">
        <f t="shared" si="12"/>
        <v>-5000</v>
      </c>
      <c r="O396" s="53">
        <f t="shared" si="13"/>
        <v>5000</v>
      </c>
    </row>
    <row r="397" spans="1:15" x14ac:dyDescent="0.2">
      <c r="A397" s="51" t="s">
        <v>3567</v>
      </c>
      <c r="B397" s="51" t="s">
        <v>3568</v>
      </c>
      <c r="C397" s="51" t="s">
        <v>83</v>
      </c>
      <c r="D397" s="51" t="s">
        <v>3803</v>
      </c>
      <c r="E397" s="51" t="s">
        <v>3804</v>
      </c>
      <c r="F397" s="52">
        <v>2917.5875000000001</v>
      </c>
      <c r="G397" s="52">
        <v>0</v>
      </c>
      <c r="H397" s="52">
        <v>0</v>
      </c>
      <c r="I397" s="52">
        <v>0</v>
      </c>
      <c r="J397" s="51">
        <v>0</v>
      </c>
      <c r="K397" s="54">
        <v>0</v>
      </c>
      <c r="L397" s="51">
        <v>0</v>
      </c>
      <c r="M397" s="54">
        <v>0</v>
      </c>
      <c r="N397" s="53">
        <f t="shared" si="12"/>
        <v>0</v>
      </c>
      <c r="O397" s="53">
        <f t="shared" si="13"/>
        <v>0</v>
      </c>
    </row>
    <row r="398" spans="1:15" x14ac:dyDescent="0.2">
      <c r="A398" s="51" t="s">
        <v>3567</v>
      </c>
      <c r="B398" s="51" t="s">
        <v>3568</v>
      </c>
      <c r="C398" s="51" t="s">
        <v>69</v>
      </c>
      <c r="D398" s="51" t="s">
        <v>700</v>
      </c>
      <c r="E398" s="51" t="s">
        <v>699</v>
      </c>
      <c r="F398" s="52">
        <v>8106.3918999999996</v>
      </c>
      <c r="G398" s="52">
        <v>1010</v>
      </c>
      <c r="H398" s="52">
        <v>0</v>
      </c>
      <c r="I398" s="52">
        <v>1010</v>
      </c>
      <c r="J398" s="51">
        <v>0</v>
      </c>
      <c r="K398" s="54">
        <v>0</v>
      </c>
      <c r="L398" s="51">
        <v>1</v>
      </c>
      <c r="M398" s="54">
        <v>6000</v>
      </c>
      <c r="N398" s="53">
        <f t="shared" si="12"/>
        <v>-6000</v>
      </c>
      <c r="O398" s="53">
        <f t="shared" si="13"/>
        <v>6000</v>
      </c>
    </row>
    <row r="399" spans="1:15" x14ac:dyDescent="0.2">
      <c r="A399" s="51" t="s">
        <v>3567</v>
      </c>
      <c r="B399" s="51" t="s">
        <v>3568</v>
      </c>
      <c r="C399" s="51" t="s">
        <v>70</v>
      </c>
      <c r="D399" s="51" t="s">
        <v>3796</v>
      </c>
      <c r="E399" s="51" t="s">
        <v>3797</v>
      </c>
      <c r="F399" s="52">
        <v>2.3877000000000002</v>
      </c>
      <c r="G399" s="52">
        <v>0</v>
      </c>
      <c r="H399" s="52">
        <v>0</v>
      </c>
      <c r="I399" s="52">
        <v>0</v>
      </c>
      <c r="J399" s="51">
        <v>0</v>
      </c>
      <c r="K399" s="54">
        <v>0</v>
      </c>
      <c r="L399" s="51">
        <v>0</v>
      </c>
      <c r="M399" s="54">
        <v>0</v>
      </c>
      <c r="N399" s="53">
        <f t="shared" si="12"/>
        <v>0</v>
      </c>
      <c r="O399" s="53">
        <f t="shared" si="13"/>
        <v>0</v>
      </c>
    </row>
    <row r="400" spans="1:15" x14ac:dyDescent="0.2">
      <c r="A400" s="51" t="s">
        <v>3567</v>
      </c>
      <c r="B400" s="51" t="s">
        <v>3568</v>
      </c>
      <c r="C400" s="51" t="s">
        <v>67</v>
      </c>
      <c r="D400" s="51" t="s">
        <v>3152</v>
      </c>
      <c r="E400" s="51" t="s">
        <v>3151</v>
      </c>
      <c r="F400" s="52">
        <v>6540.4283999999998</v>
      </c>
      <c r="G400" s="52">
        <v>1709</v>
      </c>
      <c r="H400" s="52">
        <v>10270</v>
      </c>
      <c r="I400" s="52">
        <v>11979</v>
      </c>
      <c r="J400" s="51">
        <v>1</v>
      </c>
      <c r="K400" s="54">
        <v>5000</v>
      </c>
      <c r="L400" s="51">
        <v>0</v>
      </c>
      <c r="M400" s="54">
        <v>0</v>
      </c>
      <c r="N400" s="53">
        <f t="shared" si="12"/>
        <v>5000</v>
      </c>
      <c r="O400" s="53">
        <f t="shared" si="13"/>
        <v>-5000</v>
      </c>
    </row>
    <row r="401" spans="1:15" x14ac:dyDescent="0.2">
      <c r="A401" s="51" t="s">
        <v>3567</v>
      </c>
      <c r="B401" s="51" t="s">
        <v>3568</v>
      </c>
      <c r="C401" s="51" t="s">
        <v>82</v>
      </c>
      <c r="D401" s="51" t="s">
        <v>2308</v>
      </c>
      <c r="E401" s="51" t="s">
        <v>2307</v>
      </c>
      <c r="F401" s="52">
        <v>5171.9579000000003</v>
      </c>
      <c r="G401" s="52">
        <v>3840</v>
      </c>
      <c r="H401" s="52">
        <v>4885</v>
      </c>
      <c r="I401" s="52">
        <v>8725</v>
      </c>
      <c r="J401" s="51">
        <v>0</v>
      </c>
      <c r="K401" s="54">
        <v>0</v>
      </c>
      <c r="L401" s="51">
        <v>1</v>
      </c>
      <c r="M401" s="54">
        <v>35000</v>
      </c>
      <c r="N401" s="53">
        <f t="shared" si="12"/>
        <v>-35000</v>
      </c>
      <c r="O401" s="53">
        <f t="shared" si="13"/>
        <v>35000</v>
      </c>
    </row>
    <row r="402" spans="1:15" x14ac:dyDescent="0.2">
      <c r="A402" s="51" t="s">
        <v>3567</v>
      </c>
      <c r="B402" s="51" t="s">
        <v>3568</v>
      </c>
      <c r="C402" s="51" t="s">
        <v>77</v>
      </c>
      <c r="D402" s="51" t="s">
        <v>2312</v>
      </c>
      <c r="E402" s="51" t="s">
        <v>2311</v>
      </c>
      <c r="F402" s="52">
        <v>27738.620756</v>
      </c>
      <c r="G402" s="52">
        <v>0</v>
      </c>
      <c r="H402" s="52">
        <v>0</v>
      </c>
      <c r="I402" s="52">
        <v>0</v>
      </c>
      <c r="J402" s="51">
        <v>0</v>
      </c>
      <c r="K402" s="54">
        <v>0</v>
      </c>
      <c r="L402" s="51">
        <v>0</v>
      </c>
      <c r="M402" s="54">
        <v>0</v>
      </c>
      <c r="N402" s="53">
        <f t="shared" si="12"/>
        <v>0</v>
      </c>
      <c r="O402" s="53">
        <f t="shared" si="13"/>
        <v>0</v>
      </c>
    </row>
    <row r="403" spans="1:15" x14ac:dyDescent="0.2">
      <c r="A403" s="51" t="s">
        <v>3567</v>
      </c>
      <c r="B403" s="51" t="s">
        <v>3568</v>
      </c>
      <c r="C403" s="51" t="s">
        <v>84</v>
      </c>
      <c r="D403" s="51" t="s">
        <v>2860</v>
      </c>
      <c r="E403" s="51" t="s">
        <v>2859</v>
      </c>
      <c r="F403" s="52">
        <v>10.986944771928981</v>
      </c>
      <c r="G403" s="52">
        <v>1030</v>
      </c>
      <c r="H403" s="52">
        <v>1000</v>
      </c>
      <c r="I403" s="52">
        <v>2030</v>
      </c>
      <c r="J403" s="51">
        <v>1</v>
      </c>
      <c r="K403" s="54">
        <v>5000</v>
      </c>
      <c r="L403" s="51">
        <v>1</v>
      </c>
      <c r="M403" s="54">
        <v>10000</v>
      </c>
      <c r="N403" s="53">
        <f t="shared" si="12"/>
        <v>-5000</v>
      </c>
      <c r="O403" s="53">
        <f t="shared" si="13"/>
        <v>5000</v>
      </c>
    </row>
    <row r="404" spans="1:15" x14ac:dyDescent="0.2">
      <c r="A404" s="51" t="s">
        <v>3567</v>
      </c>
      <c r="B404" s="51" t="s">
        <v>3568</v>
      </c>
      <c r="C404" s="51" t="s">
        <v>3698</v>
      </c>
      <c r="D404" s="51" t="s">
        <v>3813</v>
      </c>
      <c r="E404" s="51" t="s">
        <v>3814</v>
      </c>
      <c r="F404" s="52">
        <v>1.3414061983000001</v>
      </c>
      <c r="G404" s="52">
        <v>0</v>
      </c>
      <c r="H404" s="52">
        <v>0</v>
      </c>
      <c r="I404" s="52">
        <v>0</v>
      </c>
      <c r="J404" s="51">
        <v>0</v>
      </c>
      <c r="K404" s="54">
        <v>0</v>
      </c>
      <c r="L404" s="51">
        <v>0</v>
      </c>
      <c r="M404" s="54">
        <v>0</v>
      </c>
      <c r="N404" s="53">
        <f t="shared" si="12"/>
        <v>0</v>
      </c>
      <c r="O404" s="53">
        <f t="shared" si="13"/>
        <v>0</v>
      </c>
    </row>
    <row r="405" spans="1:15" x14ac:dyDescent="0.2">
      <c r="A405" s="51" t="s">
        <v>3567</v>
      </c>
      <c r="B405" s="51" t="s">
        <v>3568</v>
      </c>
      <c r="C405" s="51" t="s">
        <v>3653</v>
      </c>
      <c r="D405" s="51" t="s">
        <v>3821</v>
      </c>
      <c r="E405" s="51" t="s">
        <v>3822</v>
      </c>
      <c r="F405" s="52">
        <v>0.76402633249500895</v>
      </c>
      <c r="G405" s="52">
        <v>0</v>
      </c>
      <c r="H405" s="52">
        <v>0</v>
      </c>
      <c r="I405" s="52">
        <v>0</v>
      </c>
      <c r="J405" s="51">
        <v>0</v>
      </c>
      <c r="K405" s="54">
        <v>0</v>
      </c>
      <c r="L405" s="51">
        <v>0</v>
      </c>
      <c r="M405" s="54">
        <v>0</v>
      </c>
      <c r="N405" s="53">
        <f t="shared" si="12"/>
        <v>0</v>
      </c>
      <c r="O405" s="53">
        <f t="shared" si="13"/>
        <v>0</v>
      </c>
    </row>
    <row r="406" spans="1:15" x14ac:dyDescent="0.2">
      <c r="A406" s="51" t="s">
        <v>3567</v>
      </c>
      <c r="B406" s="51" t="s">
        <v>3568</v>
      </c>
      <c r="C406" s="51" t="s">
        <v>52</v>
      </c>
      <c r="D406" s="51" t="s">
        <v>381</v>
      </c>
      <c r="E406" s="51" t="s">
        <v>380</v>
      </c>
      <c r="F406" s="52">
        <v>9.5579567055511809</v>
      </c>
      <c r="G406" s="52">
        <v>0</v>
      </c>
      <c r="H406" s="52">
        <v>0</v>
      </c>
      <c r="I406" s="52">
        <v>0</v>
      </c>
      <c r="J406" s="51">
        <v>0</v>
      </c>
      <c r="K406" s="54">
        <v>0</v>
      </c>
      <c r="L406" s="51">
        <v>0</v>
      </c>
      <c r="M406" s="54">
        <v>0</v>
      </c>
      <c r="N406" s="53">
        <f t="shared" si="12"/>
        <v>0</v>
      </c>
      <c r="O406" s="53">
        <f t="shared" si="13"/>
        <v>0</v>
      </c>
    </row>
    <row r="407" spans="1:15" x14ac:dyDescent="0.2">
      <c r="A407" s="51" t="s">
        <v>3567</v>
      </c>
      <c r="B407" s="51" t="s">
        <v>3568</v>
      </c>
      <c r="C407" s="51" t="s">
        <v>3718</v>
      </c>
      <c r="D407" s="51" t="s">
        <v>3781</v>
      </c>
      <c r="E407" s="51" t="s">
        <v>3782</v>
      </c>
      <c r="F407" s="52">
        <v>185.28463205697761</v>
      </c>
      <c r="G407" s="52">
        <v>0</v>
      </c>
      <c r="H407" s="52">
        <v>0</v>
      </c>
      <c r="I407" s="52">
        <v>0</v>
      </c>
      <c r="J407" s="51">
        <v>0</v>
      </c>
      <c r="K407" s="54">
        <v>0</v>
      </c>
      <c r="L407" s="51">
        <v>0</v>
      </c>
      <c r="M407" s="54">
        <v>0</v>
      </c>
      <c r="N407" s="53">
        <f t="shared" si="12"/>
        <v>0</v>
      </c>
      <c r="O407" s="53">
        <f t="shared" si="13"/>
        <v>0</v>
      </c>
    </row>
    <row r="408" spans="1:15" x14ac:dyDescent="0.2">
      <c r="A408" s="51" t="s">
        <v>3567</v>
      </c>
      <c r="B408" s="51" t="s">
        <v>3568</v>
      </c>
      <c r="C408" s="51" t="s">
        <v>92</v>
      </c>
      <c r="D408" s="51" t="s">
        <v>240</v>
      </c>
      <c r="E408" s="51" t="s">
        <v>239</v>
      </c>
      <c r="F408" s="52">
        <v>27.974299999999999</v>
      </c>
      <c r="G408" s="52">
        <v>0</v>
      </c>
      <c r="H408" s="52">
        <v>0</v>
      </c>
      <c r="I408" s="52">
        <v>0</v>
      </c>
      <c r="J408" s="51">
        <v>0</v>
      </c>
      <c r="K408" s="54">
        <v>0</v>
      </c>
      <c r="L408" s="51">
        <v>0</v>
      </c>
      <c r="M408" s="54">
        <v>0</v>
      </c>
      <c r="N408" s="53">
        <f t="shared" si="12"/>
        <v>0</v>
      </c>
      <c r="O408" s="53">
        <f t="shared" si="13"/>
        <v>0</v>
      </c>
    </row>
    <row r="409" spans="1:15" x14ac:dyDescent="0.2">
      <c r="A409" s="51" t="s">
        <v>3567</v>
      </c>
      <c r="B409" s="51" t="s">
        <v>3568</v>
      </c>
      <c r="C409" s="51" t="s">
        <v>3610</v>
      </c>
      <c r="D409" s="51" t="s">
        <v>3819</v>
      </c>
      <c r="E409" s="51" t="s">
        <v>3820</v>
      </c>
      <c r="F409" s="52">
        <v>20783.69555</v>
      </c>
      <c r="G409" s="52">
        <v>0</v>
      </c>
      <c r="H409" s="52">
        <v>0</v>
      </c>
      <c r="I409" s="52">
        <v>0</v>
      </c>
      <c r="J409" s="51">
        <v>0</v>
      </c>
      <c r="K409" s="54">
        <v>0</v>
      </c>
      <c r="L409" s="51">
        <v>0</v>
      </c>
      <c r="M409" s="54">
        <v>0</v>
      </c>
      <c r="N409" s="53">
        <f t="shared" si="12"/>
        <v>0</v>
      </c>
      <c r="O409" s="53">
        <f t="shared" si="13"/>
        <v>0</v>
      </c>
    </row>
    <row r="410" spans="1:15" x14ac:dyDescent="0.2">
      <c r="A410" s="51" t="s">
        <v>3567</v>
      </c>
      <c r="B410" s="51" t="s">
        <v>3568</v>
      </c>
      <c r="C410" s="51" t="s">
        <v>52</v>
      </c>
      <c r="D410" s="51" t="s">
        <v>3182</v>
      </c>
      <c r="E410" s="51" t="s">
        <v>3181</v>
      </c>
      <c r="F410" s="52">
        <v>1.4625569461076999</v>
      </c>
      <c r="G410" s="52">
        <v>14033</v>
      </c>
      <c r="H410" s="52">
        <v>33279</v>
      </c>
      <c r="I410" s="52">
        <v>47312</v>
      </c>
      <c r="J410" s="51">
        <v>1</v>
      </c>
      <c r="K410" s="54">
        <v>5000</v>
      </c>
      <c r="L410" s="51">
        <v>1</v>
      </c>
      <c r="M410" s="54">
        <v>25000</v>
      </c>
      <c r="N410" s="53">
        <f t="shared" si="12"/>
        <v>-20000</v>
      </c>
      <c r="O410" s="53">
        <f t="shared" si="13"/>
        <v>20000</v>
      </c>
    </row>
    <row r="411" spans="1:15" x14ac:dyDescent="0.2">
      <c r="A411" s="51" t="s">
        <v>3567</v>
      </c>
      <c r="B411" s="51" t="s">
        <v>3568</v>
      </c>
      <c r="C411" s="51" t="s">
        <v>75</v>
      </c>
      <c r="D411" s="51" t="s">
        <v>692</v>
      </c>
      <c r="E411" s="51" t="s">
        <v>691</v>
      </c>
      <c r="F411" s="52">
        <v>9647.6221499999992</v>
      </c>
      <c r="G411" s="52">
        <v>12805</v>
      </c>
      <c r="H411" s="52">
        <v>1900</v>
      </c>
      <c r="I411" s="52">
        <v>14705</v>
      </c>
      <c r="J411" s="51">
        <v>1</v>
      </c>
      <c r="K411" s="54">
        <v>10000</v>
      </c>
      <c r="L411" s="51">
        <v>1</v>
      </c>
      <c r="M411" s="54">
        <v>25000</v>
      </c>
      <c r="N411" s="53">
        <f t="shared" si="12"/>
        <v>-15000</v>
      </c>
      <c r="O411" s="53">
        <f t="shared" si="13"/>
        <v>15000</v>
      </c>
    </row>
    <row r="412" spans="1:15" x14ac:dyDescent="0.2">
      <c r="A412" s="51" t="s">
        <v>3567</v>
      </c>
      <c r="B412" s="51" t="s">
        <v>3568</v>
      </c>
      <c r="C412" s="51" t="s">
        <v>3698</v>
      </c>
      <c r="D412" s="51" t="s">
        <v>3766</v>
      </c>
      <c r="E412" s="51" t="s">
        <v>3767</v>
      </c>
      <c r="F412" s="52">
        <v>0.88682295012533896</v>
      </c>
      <c r="G412" s="52">
        <v>0</v>
      </c>
      <c r="H412" s="52">
        <v>0</v>
      </c>
      <c r="I412" s="52">
        <v>0</v>
      </c>
      <c r="J412" s="51">
        <v>0</v>
      </c>
      <c r="K412" s="54">
        <v>0</v>
      </c>
      <c r="L412" s="51">
        <v>0</v>
      </c>
      <c r="M412" s="54">
        <v>0</v>
      </c>
      <c r="N412" s="53">
        <f t="shared" si="12"/>
        <v>0</v>
      </c>
      <c r="O412" s="53">
        <f t="shared" si="13"/>
        <v>0</v>
      </c>
    </row>
    <row r="413" spans="1:15" x14ac:dyDescent="0.2">
      <c r="A413" s="51" t="s">
        <v>3567</v>
      </c>
      <c r="B413" s="51" t="s">
        <v>3568</v>
      </c>
      <c r="C413" s="51" t="s">
        <v>93</v>
      </c>
      <c r="D413" s="51" t="s">
        <v>2753</v>
      </c>
      <c r="E413" s="51" t="s">
        <v>2752</v>
      </c>
      <c r="F413" s="52">
        <v>17156.927</v>
      </c>
      <c r="G413" s="52">
        <v>23300</v>
      </c>
      <c r="H413" s="52">
        <v>4880</v>
      </c>
      <c r="I413" s="52">
        <v>28180</v>
      </c>
      <c r="J413" s="51">
        <v>2</v>
      </c>
      <c r="K413" s="54">
        <v>20000</v>
      </c>
      <c r="L413" s="51">
        <v>0</v>
      </c>
      <c r="M413" s="54">
        <v>0</v>
      </c>
      <c r="N413" s="53">
        <f t="shared" si="12"/>
        <v>20000</v>
      </c>
      <c r="O413" s="53">
        <f t="shared" si="13"/>
        <v>-20000</v>
      </c>
    </row>
    <row r="414" spans="1:15" x14ac:dyDescent="0.2">
      <c r="A414" s="51" t="s">
        <v>3567</v>
      </c>
      <c r="B414" s="51" t="s">
        <v>3568</v>
      </c>
      <c r="C414" s="51" t="s">
        <v>63</v>
      </c>
      <c r="D414" s="51" t="s">
        <v>2130</v>
      </c>
      <c r="E414" s="51" t="s">
        <v>2129</v>
      </c>
      <c r="F414" s="52">
        <v>1083.9015498282629</v>
      </c>
      <c r="G414" s="52">
        <v>14350</v>
      </c>
      <c r="H414" s="52">
        <v>3340</v>
      </c>
      <c r="I414" s="52">
        <v>17690</v>
      </c>
      <c r="J414" s="51">
        <v>1</v>
      </c>
      <c r="K414" s="54">
        <v>10000</v>
      </c>
      <c r="L414" s="51">
        <v>0</v>
      </c>
      <c r="M414" s="54">
        <v>0</v>
      </c>
      <c r="N414" s="53">
        <f t="shared" si="12"/>
        <v>10000</v>
      </c>
      <c r="O414" s="53">
        <f t="shared" si="13"/>
        <v>-10000</v>
      </c>
    </row>
    <row r="415" spans="1:15" x14ac:dyDescent="0.2">
      <c r="A415" s="51" t="s">
        <v>3567</v>
      </c>
      <c r="B415" s="51" t="s">
        <v>3568</v>
      </c>
      <c r="C415" s="51" t="s">
        <v>81</v>
      </c>
      <c r="D415" s="51" t="s">
        <v>1934</v>
      </c>
      <c r="E415" s="51" t="s">
        <v>1933</v>
      </c>
      <c r="F415" s="52">
        <v>9477.0711942061225</v>
      </c>
      <c r="G415" s="52">
        <v>650</v>
      </c>
      <c r="H415" s="52">
        <v>2050</v>
      </c>
      <c r="I415" s="52">
        <v>2700</v>
      </c>
      <c r="J415" s="51">
        <v>1</v>
      </c>
      <c r="K415" s="54">
        <v>5000</v>
      </c>
      <c r="L415" s="51">
        <v>0</v>
      </c>
      <c r="M415" s="54">
        <v>0</v>
      </c>
      <c r="N415" s="53">
        <f t="shared" si="12"/>
        <v>5000</v>
      </c>
      <c r="O415" s="53">
        <f t="shared" si="13"/>
        <v>-5000</v>
      </c>
    </row>
    <row r="416" spans="1:15" x14ac:dyDescent="0.2">
      <c r="A416" s="51" t="s">
        <v>3567</v>
      </c>
      <c r="B416" s="51" t="s">
        <v>3568</v>
      </c>
      <c r="C416" s="51" t="s">
        <v>73</v>
      </c>
      <c r="D416" s="51" t="s">
        <v>2299</v>
      </c>
      <c r="E416" s="51" t="s">
        <v>2298</v>
      </c>
      <c r="F416" s="52">
        <v>2227.4680106003179</v>
      </c>
      <c r="G416" s="52">
        <v>9250</v>
      </c>
      <c r="H416" s="52">
        <v>20870</v>
      </c>
      <c r="I416" s="52">
        <v>30120</v>
      </c>
      <c r="J416" s="51">
        <v>0</v>
      </c>
      <c r="K416" s="54">
        <v>0</v>
      </c>
      <c r="L416" s="51">
        <v>1</v>
      </c>
      <c r="M416" s="54">
        <v>15000</v>
      </c>
      <c r="N416" s="53">
        <f t="shared" si="12"/>
        <v>-15000</v>
      </c>
      <c r="O416" s="53">
        <f t="shared" si="13"/>
        <v>15000</v>
      </c>
    </row>
    <row r="417" spans="1:15" x14ac:dyDescent="0.2">
      <c r="A417" s="51" t="s">
        <v>3567</v>
      </c>
      <c r="B417" s="51" t="s">
        <v>3568</v>
      </c>
      <c r="C417" s="51" t="s">
        <v>69</v>
      </c>
      <c r="D417" s="51" t="s">
        <v>1525</v>
      </c>
      <c r="E417" s="51" t="s">
        <v>1524</v>
      </c>
      <c r="F417" s="52">
        <v>10684.5995</v>
      </c>
      <c r="G417" s="52">
        <v>750</v>
      </c>
      <c r="H417" s="52">
        <v>4500</v>
      </c>
      <c r="I417" s="52">
        <v>5250</v>
      </c>
      <c r="J417" s="51">
        <v>1</v>
      </c>
      <c r="K417" s="54">
        <v>5000</v>
      </c>
      <c r="L417" s="51">
        <v>0</v>
      </c>
      <c r="M417" s="54">
        <v>0</v>
      </c>
      <c r="N417" s="53">
        <f t="shared" si="12"/>
        <v>5000</v>
      </c>
      <c r="O417" s="53">
        <f t="shared" si="13"/>
        <v>-5000</v>
      </c>
    </row>
    <row r="418" spans="1:15" x14ac:dyDescent="0.2">
      <c r="A418" s="51" t="s">
        <v>3567</v>
      </c>
      <c r="B418" s="51" t="s">
        <v>3568</v>
      </c>
      <c r="C418" s="51" t="s">
        <v>65</v>
      </c>
      <c r="D418" s="51" t="s">
        <v>3432</v>
      </c>
      <c r="E418" s="51" t="s">
        <v>3431</v>
      </c>
      <c r="F418" s="52">
        <v>15138.7996</v>
      </c>
      <c r="G418" s="52">
        <v>11800</v>
      </c>
      <c r="H418" s="52">
        <v>20250</v>
      </c>
      <c r="I418" s="52">
        <v>32050</v>
      </c>
      <c r="J418" s="51">
        <v>0</v>
      </c>
      <c r="K418" s="54">
        <v>0</v>
      </c>
      <c r="L418" s="51">
        <v>1</v>
      </c>
      <c r="M418" s="54">
        <v>10000</v>
      </c>
      <c r="N418" s="53">
        <f t="shared" si="12"/>
        <v>-10000</v>
      </c>
      <c r="O418" s="53">
        <f t="shared" si="13"/>
        <v>10000</v>
      </c>
    </row>
    <row r="419" spans="1:15" x14ac:dyDescent="0.2">
      <c r="A419" s="51" t="s">
        <v>3567</v>
      </c>
      <c r="B419" s="51" t="s">
        <v>3568</v>
      </c>
      <c r="C419" s="51" t="s">
        <v>3577</v>
      </c>
      <c r="D419" s="51" t="s">
        <v>3777</v>
      </c>
      <c r="E419" s="51" t="s">
        <v>3778</v>
      </c>
      <c r="F419" s="52">
        <v>7.3864119887356283</v>
      </c>
      <c r="G419" s="52">
        <v>0</v>
      </c>
      <c r="H419" s="52">
        <v>0</v>
      </c>
      <c r="I419" s="52">
        <v>0</v>
      </c>
      <c r="J419" s="51">
        <v>0</v>
      </c>
      <c r="K419" s="54">
        <v>0</v>
      </c>
      <c r="L419" s="51">
        <v>0</v>
      </c>
      <c r="M419" s="54">
        <v>0</v>
      </c>
      <c r="N419" s="53">
        <f t="shared" si="12"/>
        <v>0</v>
      </c>
      <c r="O419" s="53">
        <f t="shared" si="13"/>
        <v>0</v>
      </c>
    </row>
    <row r="420" spans="1:15" x14ac:dyDescent="0.2">
      <c r="A420" s="51" t="s">
        <v>3567</v>
      </c>
      <c r="B420" s="51" t="s">
        <v>3568</v>
      </c>
      <c r="C420" s="51" t="s">
        <v>65</v>
      </c>
      <c r="D420" s="51" t="s">
        <v>3770</v>
      </c>
      <c r="E420" s="51" t="s">
        <v>3771</v>
      </c>
      <c r="F420" s="52">
        <v>4.2576811359794998E-2</v>
      </c>
      <c r="G420" s="52">
        <v>0</v>
      </c>
      <c r="H420" s="52">
        <v>0</v>
      </c>
      <c r="I420" s="52">
        <v>0</v>
      </c>
      <c r="J420" s="51">
        <v>0</v>
      </c>
      <c r="K420" s="54">
        <v>0</v>
      </c>
      <c r="L420" s="51">
        <v>0</v>
      </c>
      <c r="M420" s="54">
        <v>0</v>
      </c>
      <c r="N420" s="53">
        <f t="shared" si="12"/>
        <v>0</v>
      </c>
      <c r="O420" s="53">
        <f t="shared" si="13"/>
        <v>0</v>
      </c>
    </row>
    <row r="421" spans="1:15" x14ac:dyDescent="0.2">
      <c r="A421" s="51" t="s">
        <v>3567</v>
      </c>
      <c r="B421" s="51" t="s">
        <v>3568</v>
      </c>
      <c r="C421" s="51" t="s">
        <v>79</v>
      </c>
      <c r="D421" s="51" t="s">
        <v>2940</v>
      </c>
      <c r="E421" s="51" t="s">
        <v>2939</v>
      </c>
      <c r="F421" s="52">
        <v>8825.5984561182995</v>
      </c>
      <c r="G421" s="52">
        <v>400</v>
      </c>
      <c r="H421" s="52">
        <v>1975</v>
      </c>
      <c r="I421" s="52">
        <v>2375</v>
      </c>
      <c r="J421" s="51">
        <v>0</v>
      </c>
      <c r="K421" s="54">
        <v>0</v>
      </c>
      <c r="L421" s="51">
        <v>1</v>
      </c>
      <c r="M421" s="54">
        <v>5000</v>
      </c>
      <c r="N421" s="53">
        <f t="shared" si="12"/>
        <v>-5000</v>
      </c>
      <c r="O421" s="53">
        <f t="shared" si="13"/>
        <v>5000</v>
      </c>
    </row>
    <row r="422" spans="1:15" x14ac:dyDescent="0.2">
      <c r="A422" s="51" t="s">
        <v>3567</v>
      </c>
      <c r="B422" s="51" t="s">
        <v>3568</v>
      </c>
      <c r="C422" s="51" t="s">
        <v>92</v>
      </c>
      <c r="D422" s="51" t="s">
        <v>1733</v>
      </c>
      <c r="E422" s="51" t="s">
        <v>1732</v>
      </c>
      <c r="F422" s="52">
        <v>3178.289365516498</v>
      </c>
      <c r="G422" s="52">
        <v>0</v>
      </c>
      <c r="H422" s="52">
        <v>3680</v>
      </c>
      <c r="I422" s="52">
        <v>3680</v>
      </c>
      <c r="J422" s="51">
        <v>0</v>
      </c>
      <c r="K422" s="54">
        <v>0</v>
      </c>
      <c r="L422" s="51">
        <v>1</v>
      </c>
      <c r="M422" s="54">
        <v>5000</v>
      </c>
      <c r="N422" s="53">
        <f t="shared" si="12"/>
        <v>-5000</v>
      </c>
      <c r="O422" s="53">
        <f t="shared" si="13"/>
        <v>5000</v>
      </c>
    </row>
    <row r="423" spans="1:15" x14ac:dyDescent="0.2">
      <c r="A423" s="51" t="s">
        <v>3567</v>
      </c>
      <c r="B423" s="51" t="s">
        <v>3568</v>
      </c>
      <c r="C423" s="51" t="s">
        <v>3636</v>
      </c>
      <c r="D423" s="51" t="s">
        <v>3792</v>
      </c>
      <c r="E423" s="51" t="s">
        <v>3793</v>
      </c>
      <c r="F423" s="52">
        <v>11.3088524974092</v>
      </c>
      <c r="G423" s="52">
        <v>0</v>
      </c>
      <c r="H423" s="52">
        <v>0</v>
      </c>
      <c r="I423" s="52">
        <v>0</v>
      </c>
      <c r="J423" s="51">
        <v>0</v>
      </c>
      <c r="K423" s="54">
        <v>0</v>
      </c>
      <c r="L423" s="51">
        <v>0</v>
      </c>
      <c r="M423" s="54">
        <v>0</v>
      </c>
      <c r="N423" s="53">
        <f t="shared" si="12"/>
        <v>0</v>
      </c>
      <c r="O423" s="53">
        <f t="shared" si="13"/>
        <v>0</v>
      </c>
    </row>
    <row r="424" spans="1:15" x14ac:dyDescent="0.2">
      <c r="A424" s="51" t="s">
        <v>3567</v>
      </c>
      <c r="B424" s="51" t="s">
        <v>3568</v>
      </c>
      <c r="C424" s="51" t="s">
        <v>62</v>
      </c>
      <c r="D424" s="51" t="s">
        <v>3039</v>
      </c>
      <c r="E424" s="51" t="s">
        <v>3038</v>
      </c>
      <c r="F424" s="52">
        <v>34.285226000000002</v>
      </c>
      <c r="G424" s="52">
        <v>2000</v>
      </c>
      <c r="H424" s="52">
        <v>6990</v>
      </c>
      <c r="I424" s="52">
        <v>8990</v>
      </c>
      <c r="J424" s="51">
        <v>1</v>
      </c>
      <c r="K424" s="54">
        <v>5000</v>
      </c>
      <c r="L424" s="51">
        <v>1</v>
      </c>
      <c r="M424" s="54">
        <v>10000</v>
      </c>
      <c r="N424" s="53">
        <f t="shared" si="12"/>
        <v>-5000</v>
      </c>
      <c r="O424" s="53">
        <f t="shared" si="13"/>
        <v>5000</v>
      </c>
    </row>
    <row r="425" spans="1:15" x14ac:dyDescent="0.2">
      <c r="A425" s="51" t="s">
        <v>3567</v>
      </c>
      <c r="B425" s="51" t="s">
        <v>3568</v>
      </c>
      <c r="C425" s="51" t="s">
        <v>84</v>
      </c>
      <c r="D425" s="51" t="s">
        <v>3788</v>
      </c>
      <c r="E425" s="51" t="s">
        <v>3789</v>
      </c>
      <c r="F425" s="52">
        <v>4.9363999999999999</v>
      </c>
      <c r="G425" s="52">
        <v>0</v>
      </c>
      <c r="H425" s="52">
        <v>0</v>
      </c>
      <c r="I425" s="52">
        <v>0</v>
      </c>
      <c r="J425" s="51">
        <v>0</v>
      </c>
      <c r="K425" s="54">
        <v>0</v>
      </c>
      <c r="L425" s="51">
        <v>0</v>
      </c>
      <c r="M425" s="54">
        <v>0</v>
      </c>
      <c r="N425" s="53">
        <f t="shared" si="12"/>
        <v>0</v>
      </c>
      <c r="O425" s="53">
        <f t="shared" si="13"/>
        <v>0</v>
      </c>
    </row>
    <row r="426" spans="1:15" x14ac:dyDescent="0.2">
      <c r="A426" s="51" t="s">
        <v>3567</v>
      </c>
      <c r="B426" s="51" t="s">
        <v>3568</v>
      </c>
      <c r="C426" s="51" t="s">
        <v>71</v>
      </c>
      <c r="D426" s="51" t="s">
        <v>3210</v>
      </c>
      <c r="E426" s="51" t="s">
        <v>3209</v>
      </c>
      <c r="F426" s="52">
        <v>57.37565</v>
      </c>
      <c r="G426" s="52">
        <v>10100</v>
      </c>
      <c r="H426" s="52">
        <v>0</v>
      </c>
      <c r="I426" s="52">
        <v>10100</v>
      </c>
      <c r="J426" s="51">
        <v>1</v>
      </c>
      <c r="K426" s="54">
        <v>10000</v>
      </c>
      <c r="L426" s="51">
        <v>0</v>
      </c>
      <c r="M426" s="54">
        <v>0</v>
      </c>
      <c r="N426" s="53">
        <f t="shared" si="12"/>
        <v>10000</v>
      </c>
      <c r="O426" s="53">
        <f t="shared" si="13"/>
        <v>-10000</v>
      </c>
    </row>
    <row r="427" spans="1:15" x14ac:dyDescent="0.2">
      <c r="A427" s="51" t="s">
        <v>3567</v>
      </c>
      <c r="B427" s="51" t="s">
        <v>3568</v>
      </c>
      <c r="C427" s="51" t="s">
        <v>66</v>
      </c>
      <c r="D427" s="51" t="s">
        <v>3318</v>
      </c>
      <c r="E427" s="51" t="s">
        <v>3317</v>
      </c>
      <c r="F427" s="52">
        <v>6640.6804000000002</v>
      </c>
      <c r="G427" s="52">
        <v>49400</v>
      </c>
      <c r="H427" s="52">
        <v>21550</v>
      </c>
      <c r="I427" s="52">
        <v>70950</v>
      </c>
      <c r="J427" s="51">
        <v>1</v>
      </c>
      <c r="K427" s="54">
        <v>7000</v>
      </c>
      <c r="L427" s="51">
        <v>0</v>
      </c>
      <c r="M427" s="54">
        <v>0</v>
      </c>
      <c r="N427" s="53">
        <f t="shared" si="12"/>
        <v>7000</v>
      </c>
      <c r="O427" s="53">
        <f t="shared" si="13"/>
        <v>-7000</v>
      </c>
    </row>
    <row r="428" spans="1:15" x14ac:dyDescent="0.2">
      <c r="A428" s="51" t="s">
        <v>3567</v>
      </c>
      <c r="B428" s="51" t="s">
        <v>3568</v>
      </c>
      <c r="C428" s="51" t="s">
        <v>3583</v>
      </c>
      <c r="D428" s="51" t="s">
        <v>3811</v>
      </c>
      <c r="E428" s="51" t="s">
        <v>3812</v>
      </c>
      <c r="F428" s="52">
        <v>15.44326672426439</v>
      </c>
      <c r="G428" s="52">
        <v>0</v>
      </c>
      <c r="H428" s="52">
        <v>0</v>
      </c>
      <c r="I428" s="52">
        <v>0</v>
      </c>
      <c r="J428" s="51">
        <v>0</v>
      </c>
      <c r="K428" s="54">
        <v>0</v>
      </c>
      <c r="L428" s="51">
        <v>0</v>
      </c>
      <c r="M428" s="54">
        <v>0</v>
      </c>
      <c r="N428" s="53">
        <f t="shared" si="12"/>
        <v>0</v>
      </c>
      <c r="O428" s="53">
        <f t="shared" si="13"/>
        <v>0</v>
      </c>
    </row>
    <row r="429" spans="1:15" x14ac:dyDescent="0.2">
      <c r="A429" s="51" t="s">
        <v>3567</v>
      </c>
      <c r="B429" s="51" t="s">
        <v>3568</v>
      </c>
      <c r="C429" s="51" t="s">
        <v>60</v>
      </c>
      <c r="D429" s="51" t="s">
        <v>2877</v>
      </c>
      <c r="E429" s="51" t="s">
        <v>2876</v>
      </c>
      <c r="F429" s="52">
        <v>10041.22883338889</v>
      </c>
      <c r="G429" s="52">
        <v>6100</v>
      </c>
      <c r="H429" s="52">
        <v>0</v>
      </c>
      <c r="I429" s="52">
        <v>6100</v>
      </c>
      <c r="J429" s="51">
        <v>1</v>
      </c>
      <c r="K429" s="54">
        <v>5000</v>
      </c>
      <c r="L429" s="51">
        <v>0</v>
      </c>
      <c r="M429" s="54">
        <v>0</v>
      </c>
      <c r="N429" s="53">
        <f t="shared" si="12"/>
        <v>5000</v>
      </c>
      <c r="O429" s="53">
        <f t="shared" si="13"/>
        <v>-5000</v>
      </c>
    </row>
    <row r="430" spans="1:15" x14ac:dyDescent="0.2">
      <c r="A430" s="51" t="s">
        <v>3567</v>
      </c>
      <c r="B430" s="51" t="s">
        <v>3568</v>
      </c>
      <c r="C430" s="51" t="s">
        <v>66</v>
      </c>
      <c r="D430" s="51" t="s">
        <v>3396</v>
      </c>
      <c r="E430" s="51" t="s">
        <v>3395</v>
      </c>
      <c r="F430" s="52">
        <v>15257.892</v>
      </c>
      <c r="G430" s="52">
        <v>10720</v>
      </c>
      <c r="H430" s="52">
        <v>16650</v>
      </c>
      <c r="I430" s="52">
        <v>27370</v>
      </c>
      <c r="J430" s="51">
        <v>1</v>
      </c>
      <c r="K430" s="54">
        <v>10000</v>
      </c>
      <c r="L430" s="51">
        <v>0</v>
      </c>
      <c r="M430" s="54">
        <v>0</v>
      </c>
      <c r="N430" s="53">
        <f t="shared" si="12"/>
        <v>10000</v>
      </c>
      <c r="O430" s="53">
        <f t="shared" si="13"/>
        <v>-10000</v>
      </c>
    </row>
    <row r="431" spans="1:15" x14ac:dyDescent="0.2">
      <c r="A431" s="51" t="s">
        <v>3567</v>
      </c>
      <c r="B431" s="51" t="s">
        <v>3568</v>
      </c>
      <c r="C431" s="51" t="s">
        <v>57</v>
      </c>
      <c r="D431" s="51" t="s">
        <v>2616</v>
      </c>
      <c r="E431" s="51" t="s">
        <v>2615</v>
      </c>
      <c r="F431" s="52">
        <v>441.65929999999997</v>
      </c>
      <c r="G431" s="52">
        <v>1445</v>
      </c>
      <c r="H431" s="52">
        <v>2425</v>
      </c>
      <c r="I431" s="52">
        <v>3870</v>
      </c>
      <c r="J431" s="51">
        <v>0</v>
      </c>
      <c r="K431" s="54">
        <v>0</v>
      </c>
      <c r="L431" s="51">
        <v>1</v>
      </c>
      <c r="M431" s="54">
        <v>5000</v>
      </c>
      <c r="N431" s="53">
        <f t="shared" si="12"/>
        <v>-5000</v>
      </c>
      <c r="O431" s="53">
        <f t="shared" si="13"/>
        <v>5000</v>
      </c>
    </row>
    <row r="432" spans="1:15" x14ac:dyDescent="0.2">
      <c r="A432" s="51" t="s">
        <v>3567</v>
      </c>
      <c r="B432" s="51" t="s">
        <v>3568</v>
      </c>
      <c r="C432" s="51" t="s">
        <v>57</v>
      </c>
      <c r="D432" s="51" t="s">
        <v>3126</v>
      </c>
      <c r="E432" s="51" t="s">
        <v>3125</v>
      </c>
      <c r="F432" s="52">
        <v>9152.7440768937704</v>
      </c>
      <c r="G432" s="52">
        <v>3020</v>
      </c>
      <c r="H432" s="52">
        <v>17055</v>
      </c>
      <c r="I432" s="52">
        <v>20075</v>
      </c>
      <c r="J432" s="51">
        <v>0</v>
      </c>
      <c r="K432" s="54">
        <v>0</v>
      </c>
      <c r="L432" s="51">
        <v>1</v>
      </c>
      <c r="M432" s="54">
        <v>5000</v>
      </c>
      <c r="N432" s="53">
        <f t="shared" si="12"/>
        <v>-5000</v>
      </c>
      <c r="O432" s="53">
        <f t="shared" si="13"/>
        <v>5000</v>
      </c>
    </row>
    <row r="433" spans="1:15" x14ac:dyDescent="0.2">
      <c r="A433" s="51" t="s">
        <v>3567</v>
      </c>
      <c r="B433" s="51" t="s">
        <v>3568</v>
      </c>
      <c r="C433" s="51" t="s">
        <v>70</v>
      </c>
      <c r="D433" s="51" t="s">
        <v>1519</v>
      </c>
      <c r="E433" s="51" t="s">
        <v>1518</v>
      </c>
      <c r="F433" s="52">
        <v>27921.573899999999</v>
      </c>
      <c r="G433" s="52">
        <v>3520</v>
      </c>
      <c r="H433" s="52">
        <v>17555</v>
      </c>
      <c r="I433" s="52">
        <v>21075</v>
      </c>
      <c r="J433" s="51">
        <v>0</v>
      </c>
      <c r="K433" s="54">
        <v>0</v>
      </c>
      <c r="L433" s="51">
        <v>1</v>
      </c>
      <c r="M433" s="54">
        <v>13000</v>
      </c>
      <c r="N433" s="53">
        <f t="shared" si="12"/>
        <v>-13000</v>
      </c>
      <c r="O433" s="53">
        <f t="shared" si="13"/>
        <v>13000</v>
      </c>
    </row>
    <row r="434" spans="1:15" x14ac:dyDescent="0.2">
      <c r="A434" s="51" t="s">
        <v>3567</v>
      </c>
      <c r="B434" s="51" t="s">
        <v>3568</v>
      </c>
      <c r="C434" s="51" t="s">
        <v>81</v>
      </c>
      <c r="D434" s="51" t="s">
        <v>1459</v>
      </c>
      <c r="E434" s="51" t="s">
        <v>1458</v>
      </c>
      <c r="F434" s="52">
        <v>7691.3535000000002</v>
      </c>
      <c r="G434" s="52">
        <v>0</v>
      </c>
      <c r="H434" s="52">
        <v>23000</v>
      </c>
      <c r="I434" s="52">
        <v>23000</v>
      </c>
      <c r="J434" s="51">
        <v>0</v>
      </c>
      <c r="K434" s="54">
        <v>0</v>
      </c>
      <c r="L434" s="51">
        <v>1</v>
      </c>
      <c r="M434" s="54">
        <v>23000</v>
      </c>
      <c r="N434" s="53">
        <f t="shared" si="12"/>
        <v>-23000</v>
      </c>
      <c r="O434" s="53">
        <f t="shared" si="13"/>
        <v>23000</v>
      </c>
    </row>
    <row r="435" spans="1:15" x14ac:dyDescent="0.2">
      <c r="A435" s="51" t="s">
        <v>3567</v>
      </c>
      <c r="B435" s="51" t="s">
        <v>3568</v>
      </c>
      <c r="C435" s="51" t="s">
        <v>62</v>
      </c>
      <c r="D435" s="51" t="s">
        <v>2639</v>
      </c>
      <c r="E435" s="51" t="s">
        <v>2638</v>
      </c>
      <c r="F435" s="52">
        <v>36376.463300000003</v>
      </c>
      <c r="G435" s="52">
        <v>11015</v>
      </c>
      <c r="H435" s="52">
        <v>23965</v>
      </c>
      <c r="I435" s="52">
        <v>34980</v>
      </c>
      <c r="J435" s="51">
        <v>0</v>
      </c>
      <c r="K435" s="54">
        <v>0</v>
      </c>
      <c r="L435" s="51">
        <v>1</v>
      </c>
      <c r="M435" s="54">
        <v>10000</v>
      </c>
      <c r="N435" s="53">
        <f t="shared" si="12"/>
        <v>-10000</v>
      </c>
      <c r="O435" s="53">
        <f t="shared" si="13"/>
        <v>10000</v>
      </c>
    </row>
    <row r="436" spans="1:15" x14ac:dyDescent="0.2">
      <c r="A436" s="51" t="s">
        <v>3567</v>
      </c>
      <c r="B436" s="51" t="s">
        <v>3568</v>
      </c>
      <c r="C436" s="51" t="s">
        <v>71</v>
      </c>
      <c r="D436" s="51" t="s">
        <v>902</v>
      </c>
      <c r="E436" s="51" t="s">
        <v>901</v>
      </c>
      <c r="F436" s="52">
        <v>6.6529157773006196</v>
      </c>
      <c r="G436" s="52">
        <v>3035</v>
      </c>
      <c r="H436" s="52">
        <v>5195</v>
      </c>
      <c r="I436" s="52">
        <v>8230</v>
      </c>
      <c r="J436" s="51">
        <v>0</v>
      </c>
      <c r="K436" s="54">
        <v>0</v>
      </c>
      <c r="L436" s="51">
        <v>1</v>
      </c>
      <c r="M436" s="54">
        <v>10000</v>
      </c>
      <c r="N436" s="53">
        <f t="shared" si="12"/>
        <v>-10000</v>
      </c>
      <c r="O436" s="53">
        <f t="shared" si="13"/>
        <v>10000</v>
      </c>
    </row>
    <row r="437" spans="1:15" x14ac:dyDescent="0.2">
      <c r="A437" s="51" t="s">
        <v>3567</v>
      </c>
      <c r="B437" s="51" t="s">
        <v>3568</v>
      </c>
      <c r="C437" s="51" t="s">
        <v>3756</v>
      </c>
      <c r="D437" s="51" t="s">
        <v>3809</v>
      </c>
      <c r="E437" s="51" t="s">
        <v>3810</v>
      </c>
      <c r="F437" s="52">
        <v>0.30088077123484341</v>
      </c>
      <c r="G437" s="52">
        <v>0</v>
      </c>
      <c r="H437" s="52">
        <v>0</v>
      </c>
      <c r="I437" s="52">
        <v>0</v>
      </c>
      <c r="J437" s="51">
        <v>0</v>
      </c>
      <c r="K437" s="54">
        <v>0</v>
      </c>
      <c r="L437" s="51">
        <v>0</v>
      </c>
      <c r="M437" s="54">
        <v>0</v>
      </c>
      <c r="N437" s="53">
        <f t="shared" si="12"/>
        <v>0</v>
      </c>
      <c r="O437" s="53">
        <f t="shared" si="13"/>
        <v>0</v>
      </c>
    </row>
    <row r="438" spans="1:15" x14ac:dyDescent="0.2">
      <c r="A438" s="51" t="s">
        <v>3567</v>
      </c>
      <c r="B438" s="51" t="s">
        <v>3568</v>
      </c>
      <c r="C438" s="51" t="s">
        <v>92</v>
      </c>
      <c r="D438" s="51" t="s">
        <v>690</v>
      </c>
      <c r="E438" s="51" t="s">
        <v>689</v>
      </c>
      <c r="F438" s="52">
        <v>1383.6049</v>
      </c>
      <c r="G438" s="52">
        <v>16731</v>
      </c>
      <c r="H438" s="52">
        <v>8890</v>
      </c>
      <c r="I438" s="52">
        <v>25621</v>
      </c>
      <c r="J438" s="51">
        <v>1</v>
      </c>
      <c r="K438" s="54">
        <v>13000</v>
      </c>
      <c r="L438" s="51">
        <v>1</v>
      </c>
      <c r="M438" s="54">
        <v>8000</v>
      </c>
      <c r="N438" s="53">
        <f t="shared" si="12"/>
        <v>5000</v>
      </c>
      <c r="O438" s="53">
        <f t="shared" si="13"/>
        <v>-5000</v>
      </c>
    </row>
    <row r="439" spans="1:15" x14ac:dyDescent="0.2">
      <c r="A439" s="51" t="s">
        <v>3567</v>
      </c>
      <c r="B439" s="51" t="s">
        <v>3568</v>
      </c>
      <c r="C439" s="51" t="s">
        <v>76</v>
      </c>
      <c r="D439" s="51" t="s">
        <v>2448</v>
      </c>
      <c r="E439" s="51" t="s">
        <v>2447</v>
      </c>
      <c r="F439" s="52">
        <v>6643.1388999999999</v>
      </c>
      <c r="G439" s="52">
        <v>2235</v>
      </c>
      <c r="H439" s="52">
        <v>470</v>
      </c>
      <c r="I439" s="52">
        <v>2705</v>
      </c>
      <c r="J439" s="51">
        <v>2</v>
      </c>
      <c r="K439" s="54">
        <v>6000</v>
      </c>
      <c r="L439" s="51">
        <v>0</v>
      </c>
      <c r="M439" s="54">
        <v>0</v>
      </c>
      <c r="N439" s="53">
        <f t="shared" si="12"/>
        <v>6000</v>
      </c>
      <c r="O439" s="53">
        <f t="shared" si="13"/>
        <v>-6000</v>
      </c>
    </row>
    <row r="440" spans="1:15" x14ac:dyDescent="0.2">
      <c r="A440" s="51" t="s">
        <v>3567</v>
      </c>
      <c r="B440" s="51" t="s">
        <v>3568</v>
      </c>
      <c r="C440" s="51" t="s">
        <v>65</v>
      </c>
      <c r="D440" s="51" t="s">
        <v>2741</v>
      </c>
      <c r="E440" s="51" t="s">
        <v>2740</v>
      </c>
      <c r="F440" s="52">
        <v>120.82881811709289</v>
      </c>
      <c r="G440" s="52">
        <v>305</v>
      </c>
      <c r="H440" s="52">
        <v>0</v>
      </c>
      <c r="I440" s="52">
        <v>305</v>
      </c>
      <c r="J440" s="51">
        <v>0</v>
      </c>
      <c r="K440" s="54">
        <v>0</v>
      </c>
      <c r="L440" s="51">
        <v>0</v>
      </c>
      <c r="M440" s="54">
        <v>0</v>
      </c>
      <c r="N440" s="53">
        <f t="shared" si="12"/>
        <v>0</v>
      </c>
      <c r="O440" s="53">
        <f t="shared" si="13"/>
        <v>0</v>
      </c>
    </row>
    <row r="441" spans="1:15" x14ac:dyDescent="0.2">
      <c r="A441" s="51" t="s">
        <v>3567</v>
      </c>
      <c r="B441" s="51" t="s">
        <v>3568</v>
      </c>
      <c r="C441" s="51" t="s">
        <v>74</v>
      </c>
      <c r="D441" s="51" t="s">
        <v>3150</v>
      </c>
      <c r="E441" s="51" t="s">
        <v>3149</v>
      </c>
      <c r="F441" s="52">
        <v>1917.138448493906</v>
      </c>
      <c r="G441" s="52">
        <v>6810</v>
      </c>
      <c r="H441" s="52">
        <v>27505</v>
      </c>
      <c r="I441" s="52">
        <v>34315</v>
      </c>
      <c r="J441" s="51">
        <v>0</v>
      </c>
      <c r="K441" s="54">
        <v>0</v>
      </c>
      <c r="L441" s="51">
        <v>3</v>
      </c>
      <c r="M441" s="54">
        <v>22000</v>
      </c>
      <c r="N441" s="53">
        <f t="shared" si="12"/>
        <v>-22000</v>
      </c>
      <c r="O441" s="53">
        <f t="shared" si="13"/>
        <v>22000</v>
      </c>
    </row>
    <row r="442" spans="1:15" x14ac:dyDescent="0.2">
      <c r="A442" s="51" t="s">
        <v>3567</v>
      </c>
      <c r="B442" s="51" t="s">
        <v>3568</v>
      </c>
      <c r="C442" s="51" t="s">
        <v>65</v>
      </c>
      <c r="D442" s="51" t="s">
        <v>1469</v>
      </c>
      <c r="E442" s="51" t="s">
        <v>1468</v>
      </c>
      <c r="F442" s="52">
        <v>10215.1699608695</v>
      </c>
      <c r="G442" s="52">
        <v>1010</v>
      </c>
      <c r="H442" s="52">
        <v>2700</v>
      </c>
      <c r="I442" s="52">
        <v>3710</v>
      </c>
      <c r="J442" s="51">
        <v>1</v>
      </c>
      <c r="K442" s="54">
        <v>6000</v>
      </c>
      <c r="L442" s="51">
        <v>0</v>
      </c>
      <c r="M442" s="54">
        <v>0</v>
      </c>
      <c r="N442" s="53">
        <f t="shared" si="12"/>
        <v>6000</v>
      </c>
      <c r="O442" s="53">
        <f t="shared" si="13"/>
        <v>-6000</v>
      </c>
    </row>
    <row r="443" spans="1:15" x14ac:dyDescent="0.2">
      <c r="A443" s="51" t="s">
        <v>3567</v>
      </c>
      <c r="B443" s="51" t="s">
        <v>3568</v>
      </c>
      <c r="C443" s="51" t="s">
        <v>93</v>
      </c>
      <c r="D443" s="51" t="s">
        <v>1322</v>
      </c>
      <c r="E443" s="51" t="s">
        <v>1321</v>
      </c>
      <c r="F443" s="52">
        <v>18704.548338233639</v>
      </c>
      <c r="G443" s="52">
        <v>6000</v>
      </c>
      <c r="H443" s="52">
        <v>1970</v>
      </c>
      <c r="I443" s="52">
        <v>7970</v>
      </c>
      <c r="J443" s="51">
        <v>0</v>
      </c>
      <c r="K443" s="54">
        <v>0</v>
      </c>
      <c r="L443" s="51">
        <v>1</v>
      </c>
      <c r="M443" s="54">
        <v>5000</v>
      </c>
      <c r="N443" s="53">
        <f t="shared" si="12"/>
        <v>-5000</v>
      </c>
      <c r="O443" s="53">
        <f t="shared" si="13"/>
        <v>5000</v>
      </c>
    </row>
    <row r="444" spans="1:15" x14ac:dyDescent="0.2">
      <c r="A444" s="51" t="s">
        <v>3567</v>
      </c>
      <c r="B444" s="51" t="s">
        <v>3568</v>
      </c>
      <c r="C444" s="51" t="s">
        <v>67</v>
      </c>
      <c r="D444" s="51" t="s">
        <v>2082</v>
      </c>
      <c r="E444" s="51" t="s">
        <v>2081</v>
      </c>
      <c r="F444" s="52">
        <v>163.04705000000001</v>
      </c>
      <c r="G444" s="52">
        <v>0</v>
      </c>
      <c r="H444" s="52">
        <v>22351</v>
      </c>
      <c r="I444" s="52">
        <v>22351</v>
      </c>
      <c r="J444" s="51">
        <v>0</v>
      </c>
      <c r="K444" s="54">
        <v>0</v>
      </c>
      <c r="L444" s="51">
        <v>1</v>
      </c>
      <c r="M444" s="54">
        <v>30000</v>
      </c>
      <c r="N444" s="53">
        <f t="shared" si="12"/>
        <v>-30000</v>
      </c>
      <c r="O444" s="53">
        <f t="shared" si="13"/>
        <v>30000</v>
      </c>
    </row>
    <row r="445" spans="1:15" x14ac:dyDescent="0.2">
      <c r="A445" s="51" t="s">
        <v>3567</v>
      </c>
      <c r="B445" s="51" t="s">
        <v>3568</v>
      </c>
      <c r="C445" s="51" t="s">
        <v>82</v>
      </c>
      <c r="D445" s="51" t="s">
        <v>3487</v>
      </c>
      <c r="E445" s="51" t="s">
        <v>3486</v>
      </c>
      <c r="F445" s="52">
        <v>9782.1936000000005</v>
      </c>
      <c r="G445" s="52">
        <v>2710</v>
      </c>
      <c r="H445" s="52">
        <v>14150</v>
      </c>
      <c r="I445" s="52">
        <v>16860</v>
      </c>
      <c r="J445" s="51">
        <v>0</v>
      </c>
      <c r="K445" s="54">
        <v>0</v>
      </c>
      <c r="L445" s="51">
        <v>1</v>
      </c>
      <c r="M445" s="54">
        <v>18000</v>
      </c>
      <c r="N445" s="53">
        <f t="shared" si="12"/>
        <v>-18000</v>
      </c>
      <c r="O445" s="53">
        <f t="shared" si="13"/>
        <v>18000</v>
      </c>
    </row>
    <row r="446" spans="1:15" x14ac:dyDescent="0.2">
      <c r="A446" s="51" t="s">
        <v>3567</v>
      </c>
      <c r="B446" s="51" t="s">
        <v>3568</v>
      </c>
      <c r="C446" s="51" t="s">
        <v>59</v>
      </c>
      <c r="D446" s="51" t="s">
        <v>2936</v>
      </c>
      <c r="E446" s="51" t="s">
        <v>511</v>
      </c>
      <c r="F446" s="52">
        <v>888.94019573726086</v>
      </c>
      <c r="G446" s="52">
        <v>1070</v>
      </c>
      <c r="H446" s="52">
        <v>980</v>
      </c>
      <c r="I446" s="52">
        <v>2050</v>
      </c>
      <c r="J446" s="51">
        <v>0</v>
      </c>
      <c r="K446" s="54">
        <v>0</v>
      </c>
      <c r="L446" s="51">
        <v>1</v>
      </c>
      <c r="M446" s="54">
        <v>21000</v>
      </c>
      <c r="N446" s="53">
        <f t="shared" si="12"/>
        <v>-21000</v>
      </c>
      <c r="O446" s="53">
        <f t="shared" si="13"/>
        <v>21000</v>
      </c>
    </row>
    <row r="447" spans="1:15" x14ac:dyDescent="0.2">
      <c r="A447" s="51" t="s">
        <v>3567</v>
      </c>
      <c r="B447" s="51" t="s">
        <v>3568</v>
      </c>
      <c r="C447" s="51" t="s">
        <v>78</v>
      </c>
      <c r="D447" s="51" t="s">
        <v>3817</v>
      </c>
      <c r="E447" s="51" t="s">
        <v>3818</v>
      </c>
      <c r="F447" s="52">
        <v>0.54846376576564682</v>
      </c>
      <c r="G447" s="52">
        <v>0</v>
      </c>
      <c r="H447" s="52">
        <v>0</v>
      </c>
      <c r="I447" s="52">
        <v>0</v>
      </c>
      <c r="J447" s="51">
        <v>0</v>
      </c>
      <c r="K447" s="54">
        <v>0</v>
      </c>
      <c r="L447" s="51">
        <v>0</v>
      </c>
      <c r="M447" s="54">
        <v>0</v>
      </c>
      <c r="N447" s="53">
        <f t="shared" si="12"/>
        <v>0</v>
      </c>
      <c r="O447" s="53">
        <f t="shared" si="13"/>
        <v>0</v>
      </c>
    </row>
    <row r="448" spans="1:15" x14ac:dyDescent="0.2">
      <c r="A448" s="51" t="s">
        <v>3567</v>
      </c>
      <c r="B448" s="51" t="s">
        <v>3568</v>
      </c>
      <c r="C448" s="51" t="s">
        <v>54</v>
      </c>
      <c r="D448" s="51" t="s">
        <v>3378</v>
      </c>
      <c r="E448" s="51" t="s">
        <v>3377</v>
      </c>
      <c r="F448" s="52">
        <v>54.020910000000001</v>
      </c>
      <c r="G448" s="52">
        <v>65</v>
      </c>
      <c r="H448" s="52">
        <v>5030</v>
      </c>
      <c r="I448" s="52">
        <v>5095</v>
      </c>
      <c r="J448" s="51">
        <v>0</v>
      </c>
      <c r="K448" s="54">
        <v>0</v>
      </c>
      <c r="L448" s="51">
        <v>1</v>
      </c>
      <c r="M448" s="54">
        <v>5000</v>
      </c>
      <c r="N448" s="53">
        <f t="shared" si="12"/>
        <v>-5000</v>
      </c>
      <c r="O448" s="53">
        <f t="shared" si="13"/>
        <v>5000</v>
      </c>
    </row>
    <row r="449" spans="1:15" x14ac:dyDescent="0.2">
      <c r="A449" s="51" t="s">
        <v>3567</v>
      </c>
      <c r="B449" s="51" t="s">
        <v>3568</v>
      </c>
      <c r="C449" s="51" t="s">
        <v>54</v>
      </c>
      <c r="D449" s="51" t="s">
        <v>3243</v>
      </c>
      <c r="E449" s="51" t="s">
        <v>3242</v>
      </c>
      <c r="F449" s="52">
        <v>6610.5953186978059</v>
      </c>
      <c r="G449" s="52">
        <v>16470</v>
      </c>
      <c r="H449" s="52">
        <v>6380</v>
      </c>
      <c r="I449" s="52">
        <v>22850</v>
      </c>
      <c r="J449" s="51">
        <v>3</v>
      </c>
      <c r="K449" s="54">
        <v>16000</v>
      </c>
      <c r="L449" s="51">
        <v>0</v>
      </c>
      <c r="M449" s="54">
        <v>0</v>
      </c>
      <c r="N449" s="53">
        <f t="shared" si="12"/>
        <v>16000</v>
      </c>
      <c r="O449" s="53">
        <f t="shared" si="13"/>
        <v>-16000</v>
      </c>
    </row>
    <row r="450" spans="1:15" x14ac:dyDescent="0.2">
      <c r="A450" s="51" t="s">
        <v>3567</v>
      </c>
      <c r="B450" s="51" t="s">
        <v>3568</v>
      </c>
      <c r="C450" s="51" t="s">
        <v>63</v>
      </c>
      <c r="D450" s="51" t="s">
        <v>619</v>
      </c>
      <c r="E450" s="51" t="s">
        <v>618</v>
      </c>
      <c r="F450" s="52">
        <v>12799.4648</v>
      </c>
      <c r="G450" s="52">
        <v>0</v>
      </c>
      <c r="H450" s="52">
        <v>950</v>
      </c>
      <c r="I450" s="52">
        <v>950</v>
      </c>
      <c r="J450" s="51">
        <v>0</v>
      </c>
      <c r="K450" s="54">
        <v>0</v>
      </c>
      <c r="L450" s="51">
        <v>1</v>
      </c>
      <c r="M450" s="54">
        <v>6000</v>
      </c>
      <c r="N450" s="53">
        <f t="shared" si="12"/>
        <v>-6000</v>
      </c>
      <c r="O450" s="53">
        <f t="shared" si="13"/>
        <v>6000</v>
      </c>
    </row>
    <row r="451" spans="1:15" x14ac:dyDescent="0.2">
      <c r="A451" s="51" t="s">
        <v>3567</v>
      </c>
      <c r="B451" s="51" t="s">
        <v>3568</v>
      </c>
      <c r="C451" s="51" t="s">
        <v>3636</v>
      </c>
      <c r="D451" s="51" t="s">
        <v>3834</v>
      </c>
      <c r="E451" s="51" t="s">
        <v>3835</v>
      </c>
      <c r="F451" s="52">
        <v>4.9248739214302821</v>
      </c>
      <c r="G451" s="52">
        <v>0</v>
      </c>
      <c r="H451" s="52">
        <v>0</v>
      </c>
      <c r="I451" s="52">
        <v>0</v>
      </c>
      <c r="J451" s="51">
        <v>0</v>
      </c>
      <c r="K451" s="54">
        <v>0</v>
      </c>
      <c r="L451" s="51">
        <v>0</v>
      </c>
      <c r="M451" s="54">
        <v>0</v>
      </c>
      <c r="N451" s="53">
        <f t="shared" ref="N451:N514" si="14">K451-M451</f>
        <v>0</v>
      </c>
      <c r="O451" s="53">
        <f t="shared" ref="O451:O514" si="15">M451-K451</f>
        <v>0</v>
      </c>
    </row>
    <row r="452" spans="1:15" x14ac:dyDescent="0.2">
      <c r="A452" s="51" t="s">
        <v>3567</v>
      </c>
      <c r="B452" s="51" t="s">
        <v>3568</v>
      </c>
      <c r="C452" s="51" t="s">
        <v>59</v>
      </c>
      <c r="D452" s="51" t="s">
        <v>3521</v>
      </c>
      <c r="E452" s="51" t="s">
        <v>3520</v>
      </c>
      <c r="F452" s="52">
        <v>9684.2320999999993</v>
      </c>
      <c r="G452" s="52">
        <v>900</v>
      </c>
      <c r="H452" s="52">
        <v>1450</v>
      </c>
      <c r="I452" s="52">
        <v>2350</v>
      </c>
      <c r="J452" s="51">
        <v>1</v>
      </c>
      <c r="K452" s="54">
        <v>5000</v>
      </c>
      <c r="L452" s="51">
        <v>0</v>
      </c>
      <c r="M452" s="54">
        <v>0</v>
      </c>
      <c r="N452" s="53">
        <f t="shared" si="14"/>
        <v>5000</v>
      </c>
      <c r="O452" s="53">
        <f t="shared" si="15"/>
        <v>-5000</v>
      </c>
    </row>
    <row r="453" spans="1:15" x14ac:dyDescent="0.2">
      <c r="A453" s="51" t="s">
        <v>3567</v>
      </c>
      <c r="B453" s="51" t="s">
        <v>3568</v>
      </c>
      <c r="C453" s="51" t="s">
        <v>3786</v>
      </c>
      <c r="D453" s="51" t="s">
        <v>3787</v>
      </c>
      <c r="E453" s="51" t="s">
        <v>2734</v>
      </c>
      <c r="F453" s="52">
        <v>9.8984207129503243</v>
      </c>
      <c r="G453" s="52">
        <v>0</v>
      </c>
      <c r="H453" s="52">
        <v>0</v>
      </c>
      <c r="I453" s="52">
        <v>0</v>
      </c>
      <c r="J453" s="51">
        <v>0</v>
      </c>
      <c r="K453" s="54">
        <v>0</v>
      </c>
      <c r="L453" s="51">
        <v>0</v>
      </c>
      <c r="M453" s="54">
        <v>0</v>
      </c>
      <c r="N453" s="53">
        <f t="shared" si="14"/>
        <v>0</v>
      </c>
      <c r="O453" s="53">
        <f t="shared" si="15"/>
        <v>0</v>
      </c>
    </row>
    <row r="454" spans="1:15" x14ac:dyDescent="0.2">
      <c r="A454" s="51" t="s">
        <v>3567</v>
      </c>
      <c r="B454" s="51" t="s">
        <v>3568</v>
      </c>
      <c r="C454" s="51" t="s">
        <v>64</v>
      </c>
      <c r="D454" s="51" t="s">
        <v>1583</v>
      </c>
      <c r="E454" s="51" t="s">
        <v>1582</v>
      </c>
      <c r="F454" s="52">
        <v>7035.7402291251474</v>
      </c>
      <c r="G454" s="52">
        <v>0</v>
      </c>
      <c r="H454" s="52">
        <v>1495</v>
      </c>
      <c r="I454" s="52">
        <v>1495</v>
      </c>
      <c r="J454" s="51">
        <v>1</v>
      </c>
      <c r="K454" s="54">
        <v>5000</v>
      </c>
      <c r="L454" s="51">
        <v>0</v>
      </c>
      <c r="M454" s="54">
        <v>0</v>
      </c>
      <c r="N454" s="53">
        <f t="shared" si="14"/>
        <v>5000</v>
      </c>
      <c r="O454" s="53">
        <f t="shared" si="15"/>
        <v>-5000</v>
      </c>
    </row>
    <row r="455" spans="1:15" x14ac:dyDescent="0.2">
      <c r="A455" s="51" t="s">
        <v>3567</v>
      </c>
      <c r="B455" s="51" t="s">
        <v>3568</v>
      </c>
      <c r="C455" s="51" t="s">
        <v>3718</v>
      </c>
      <c r="D455" s="51" t="s">
        <v>3765</v>
      </c>
      <c r="E455" s="51" t="s">
        <v>1766</v>
      </c>
      <c r="F455" s="52">
        <v>5.1961217763887406</v>
      </c>
      <c r="G455" s="52">
        <v>0</v>
      </c>
      <c r="H455" s="52">
        <v>0</v>
      </c>
      <c r="I455" s="52">
        <v>0</v>
      </c>
      <c r="J455" s="51">
        <v>0</v>
      </c>
      <c r="K455" s="54">
        <v>0</v>
      </c>
      <c r="L455" s="51">
        <v>0</v>
      </c>
      <c r="M455" s="54">
        <v>0</v>
      </c>
      <c r="N455" s="53">
        <f t="shared" si="14"/>
        <v>0</v>
      </c>
      <c r="O455" s="53">
        <f t="shared" si="15"/>
        <v>0</v>
      </c>
    </row>
    <row r="456" spans="1:15" x14ac:dyDescent="0.2">
      <c r="A456" s="51" t="s">
        <v>3567</v>
      </c>
      <c r="B456" s="51" t="s">
        <v>3568</v>
      </c>
      <c r="C456" s="51" t="s">
        <v>3684</v>
      </c>
      <c r="D456" s="51" t="s">
        <v>3800</v>
      </c>
      <c r="E456" s="51" t="s">
        <v>3801</v>
      </c>
      <c r="F456" s="52">
        <v>16.80499979573948</v>
      </c>
      <c r="G456" s="52">
        <v>0</v>
      </c>
      <c r="H456" s="52">
        <v>0</v>
      </c>
      <c r="I456" s="52">
        <v>0</v>
      </c>
      <c r="J456" s="51">
        <v>0</v>
      </c>
      <c r="K456" s="54">
        <v>0</v>
      </c>
      <c r="L456" s="51">
        <v>0</v>
      </c>
      <c r="M456" s="54">
        <v>0</v>
      </c>
      <c r="N456" s="53">
        <f t="shared" si="14"/>
        <v>0</v>
      </c>
      <c r="O456" s="53">
        <f t="shared" si="15"/>
        <v>0</v>
      </c>
    </row>
    <row r="457" spans="1:15" x14ac:dyDescent="0.2">
      <c r="A457" s="51" t="s">
        <v>3567</v>
      </c>
      <c r="B457" s="51" t="s">
        <v>3568</v>
      </c>
      <c r="C457" s="51" t="s">
        <v>69</v>
      </c>
      <c r="D457" s="51" t="s">
        <v>1940</v>
      </c>
      <c r="E457" s="51" t="s">
        <v>1939</v>
      </c>
      <c r="F457" s="52">
        <v>7447.2391183107693</v>
      </c>
      <c r="G457" s="52">
        <v>0</v>
      </c>
      <c r="H457" s="52">
        <v>2120</v>
      </c>
      <c r="I457" s="52">
        <v>2120</v>
      </c>
      <c r="J457" s="51">
        <v>1</v>
      </c>
      <c r="K457" s="54">
        <v>5000</v>
      </c>
      <c r="L457" s="51">
        <v>0</v>
      </c>
      <c r="M457" s="54">
        <v>0</v>
      </c>
      <c r="N457" s="53">
        <f t="shared" si="14"/>
        <v>5000</v>
      </c>
      <c r="O457" s="53">
        <f t="shared" si="15"/>
        <v>-5000</v>
      </c>
    </row>
    <row r="458" spans="1:15" x14ac:dyDescent="0.2">
      <c r="A458" s="51" t="s">
        <v>3567</v>
      </c>
      <c r="B458" s="51" t="s">
        <v>3568</v>
      </c>
      <c r="C458" s="51" t="s">
        <v>64</v>
      </c>
      <c r="D458" s="51" t="s">
        <v>351</v>
      </c>
      <c r="E458" s="51" t="s">
        <v>350</v>
      </c>
      <c r="F458" s="52">
        <v>62099.875643478299</v>
      </c>
      <c r="G458" s="52">
        <v>88430</v>
      </c>
      <c r="H458" s="52">
        <v>33542</v>
      </c>
      <c r="I458" s="52">
        <v>121972</v>
      </c>
      <c r="J458" s="51">
        <v>2</v>
      </c>
      <c r="K458" s="54">
        <v>58000</v>
      </c>
      <c r="L458" s="51">
        <v>0</v>
      </c>
      <c r="M458" s="54">
        <v>0</v>
      </c>
      <c r="N458" s="53">
        <f t="shared" si="14"/>
        <v>58000</v>
      </c>
      <c r="O458" s="53">
        <f t="shared" si="15"/>
        <v>-58000</v>
      </c>
    </row>
    <row r="459" spans="1:15" x14ac:dyDescent="0.2">
      <c r="A459" s="51" t="s">
        <v>3567</v>
      </c>
      <c r="B459" s="51" t="s">
        <v>3568</v>
      </c>
      <c r="C459" s="51" t="s">
        <v>68</v>
      </c>
      <c r="D459" s="51" t="s">
        <v>1626</v>
      </c>
      <c r="E459" s="51" t="s">
        <v>1625</v>
      </c>
      <c r="F459" s="52">
        <v>13368.0288</v>
      </c>
      <c r="G459" s="52">
        <v>21010</v>
      </c>
      <c r="H459" s="52">
        <v>11980</v>
      </c>
      <c r="I459" s="52">
        <v>32990</v>
      </c>
      <c r="J459" s="51">
        <v>2</v>
      </c>
      <c r="K459" s="54">
        <v>20000</v>
      </c>
      <c r="L459" s="51">
        <v>1</v>
      </c>
      <c r="M459" s="54">
        <v>5000</v>
      </c>
      <c r="N459" s="53">
        <f t="shared" si="14"/>
        <v>15000</v>
      </c>
      <c r="O459" s="53">
        <f t="shared" si="15"/>
        <v>-15000</v>
      </c>
    </row>
    <row r="460" spans="1:15" x14ac:dyDescent="0.2">
      <c r="A460" s="51" t="s">
        <v>3567</v>
      </c>
      <c r="B460" s="51" t="s">
        <v>3568</v>
      </c>
      <c r="C460" s="51" t="s">
        <v>66</v>
      </c>
      <c r="D460" s="51" t="s">
        <v>1104</v>
      </c>
      <c r="E460" s="51" t="s">
        <v>1103</v>
      </c>
      <c r="F460" s="52">
        <v>74.637318579764724</v>
      </c>
      <c r="G460" s="52">
        <v>5310</v>
      </c>
      <c r="H460" s="52">
        <v>14980</v>
      </c>
      <c r="I460" s="52">
        <v>20290</v>
      </c>
      <c r="J460" s="51">
        <v>1</v>
      </c>
      <c r="K460" s="54">
        <v>5000</v>
      </c>
      <c r="L460" s="51">
        <v>1</v>
      </c>
      <c r="M460" s="54">
        <v>15000</v>
      </c>
      <c r="N460" s="53">
        <f t="shared" si="14"/>
        <v>-10000</v>
      </c>
      <c r="O460" s="53">
        <f t="shared" si="15"/>
        <v>10000</v>
      </c>
    </row>
    <row r="461" spans="1:15" x14ac:dyDescent="0.2">
      <c r="A461" s="51" t="s">
        <v>3567</v>
      </c>
      <c r="B461" s="51" t="s">
        <v>3568</v>
      </c>
      <c r="C461" s="51" t="s">
        <v>83</v>
      </c>
      <c r="D461" s="51" t="s">
        <v>3343</v>
      </c>
      <c r="E461" s="51" t="s">
        <v>3342</v>
      </c>
      <c r="F461" s="52">
        <v>1357.315016062078</v>
      </c>
      <c r="G461" s="52">
        <v>200</v>
      </c>
      <c r="H461" s="52">
        <v>5520</v>
      </c>
      <c r="I461" s="52">
        <v>5720</v>
      </c>
      <c r="J461" s="51">
        <v>0</v>
      </c>
      <c r="K461" s="54">
        <v>0</v>
      </c>
      <c r="L461" s="51">
        <v>1</v>
      </c>
      <c r="M461" s="54">
        <v>5000</v>
      </c>
      <c r="N461" s="53">
        <f t="shared" si="14"/>
        <v>-5000</v>
      </c>
      <c r="O461" s="53">
        <f t="shared" si="15"/>
        <v>5000</v>
      </c>
    </row>
    <row r="462" spans="1:15" x14ac:dyDescent="0.2">
      <c r="A462" s="51" t="s">
        <v>3567</v>
      </c>
      <c r="B462" s="51" t="s">
        <v>3568</v>
      </c>
      <c r="C462" s="51" t="s">
        <v>71</v>
      </c>
      <c r="D462" s="51" t="s">
        <v>3425</v>
      </c>
      <c r="E462" s="51" t="s">
        <v>3424</v>
      </c>
      <c r="F462" s="52">
        <v>34887.184600735847</v>
      </c>
      <c r="G462" s="52">
        <v>6270</v>
      </c>
      <c r="H462" s="52">
        <v>18459</v>
      </c>
      <c r="I462" s="52">
        <v>24729</v>
      </c>
      <c r="J462" s="51">
        <v>1</v>
      </c>
      <c r="K462" s="54">
        <v>5000</v>
      </c>
      <c r="L462" s="51">
        <v>1</v>
      </c>
      <c r="M462" s="54">
        <v>30000</v>
      </c>
      <c r="N462" s="53">
        <f t="shared" si="14"/>
        <v>-25000</v>
      </c>
      <c r="O462" s="53">
        <f t="shared" si="15"/>
        <v>25000</v>
      </c>
    </row>
    <row r="463" spans="1:15" x14ac:dyDescent="0.2">
      <c r="A463" s="51" t="s">
        <v>3567</v>
      </c>
      <c r="B463" s="51" t="s">
        <v>3568</v>
      </c>
      <c r="C463" s="51" t="s">
        <v>79</v>
      </c>
      <c r="D463" s="51" t="s">
        <v>2530</v>
      </c>
      <c r="E463" s="51" t="s">
        <v>2529</v>
      </c>
      <c r="F463" s="52">
        <v>7079.0865954980691</v>
      </c>
      <c r="G463" s="52">
        <v>2750</v>
      </c>
      <c r="H463" s="52">
        <v>3300</v>
      </c>
      <c r="I463" s="52">
        <v>6050</v>
      </c>
      <c r="J463" s="51">
        <v>1</v>
      </c>
      <c r="K463" s="54">
        <v>5000</v>
      </c>
      <c r="L463" s="51">
        <v>0</v>
      </c>
      <c r="M463" s="54">
        <v>0</v>
      </c>
      <c r="N463" s="53">
        <f t="shared" si="14"/>
        <v>5000</v>
      </c>
      <c r="O463" s="53">
        <f t="shared" si="15"/>
        <v>-5000</v>
      </c>
    </row>
    <row r="464" spans="1:15" x14ac:dyDescent="0.2">
      <c r="A464" s="51" t="s">
        <v>3567</v>
      </c>
      <c r="B464" s="51" t="s">
        <v>3568</v>
      </c>
      <c r="C464" s="51" t="s">
        <v>71</v>
      </c>
      <c r="D464" s="51" t="s">
        <v>678</v>
      </c>
      <c r="E464" s="51" t="s">
        <v>677</v>
      </c>
      <c r="F464" s="52">
        <v>134.74359999999999</v>
      </c>
      <c r="G464" s="52">
        <v>2050</v>
      </c>
      <c r="H464" s="52">
        <v>7000</v>
      </c>
      <c r="I464" s="52">
        <v>9050</v>
      </c>
      <c r="J464" s="51">
        <v>1</v>
      </c>
      <c r="K464" s="54">
        <v>5000</v>
      </c>
      <c r="L464" s="51">
        <v>1</v>
      </c>
      <c r="M464" s="54">
        <v>10000</v>
      </c>
      <c r="N464" s="53">
        <f t="shared" si="14"/>
        <v>-5000</v>
      </c>
      <c r="O464" s="53">
        <f t="shared" si="15"/>
        <v>5000</v>
      </c>
    </row>
    <row r="465" spans="1:15" x14ac:dyDescent="0.2">
      <c r="A465" s="51" t="s">
        <v>3567</v>
      </c>
      <c r="B465" s="51" t="s">
        <v>3568</v>
      </c>
      <c r="C465" s="51" t="s">
        <v>70</v>
      </c>
      <c r="D465" s="51" t="s">
        <v>916</v>
      </c>
      <c r="E465" s="51" t="s">
        <v>915</v>
      </c>
      <c r="F465" s="52">
        <v>453.14349404158531</v>
      </c>
      <c r="G465" s="52">
        <v>18750</v>
      </c>
      <c r="H465" s="52">
        <v>10065</v>
      </c>
      <c r="I465" s="52">
        <v>28815</v>
      </c>
      <c r="J465" s="51">
        <v>2</v>
      </c>
      <c r="K465" s="54">
        <v>10000</v>
      </c>
      <c r="L465" s="51">
        <v>0</v>
      </c>
      <c r="M465" s="54">
        <v>0</v>
      </c>
      <c r="N465" s="53">
        <f t="shared" si="14"/>
        <v>10000</v>
      </c>
      <c r="O465" s="53">
        <f t="shared" si="15"/>
        <v>-10000</v>
      </c>
    </row>
    <row r="466" spans="1:15" x14ac:dyDescent="0.2">
      <c r="A466" s="51" t="s">
        <v>3567</v>
      </c>
      <c r="B466" s="51" t="s">
        <v>3568</v>
      </c>
      <c r="C466" s="51" t="s">
        <v>71</v>
      </c>
      <c r="D466" s="51" t="s">
        <v>1675</v>
      </c>
      <c r="E466" s="51" t="s">
        <v>1674</v>
      </c>
      <c r="F466" s="52">
        <v>5.6529499999999997</v>
      </c>
      <c r="G466" s="52">
        <v>0</v>
      </c>
      <c r="H466" s="52">
        <v>0</v>
      </c>
      <c r="I466" s="52">
        <v>0</v>
      </c>
      <c r="J466" s="51">
        <v>0</v>
      </c>
      <c r="K466" s="54">
        <v>0</v>
      </c>
      <c r="L466" s="51">
        <v>0</v>
      </c>
      <c r="M466" s="54">
        <v>0</v>
      </c>
      <c r="N466" s="53">
        <f t="shared" si="14"/>
        <v>0</v>
      </c>
      <c r="O466" s="53">
        <f t="shared" si="15"/>
        <v>0</v>
      </c>
    </row>
    <row r="467" spans="1:15" x14ac:dyDescent="0.2">
      <c r="A467" s="51" t="s">
        <v>3567</v>
      </c>
      <c r="B467" s="51" t="s">
        <v>3568</v>
      </c>
      <c r="C467" s="51" t="s">
        <v>68</v>
      </c>
      <c r="D467" s="51" t="s">
        <v>1860</v>
      </c>
      <c r="E467" s="51" t="s">
        <v>1859</v>
      </c>
      <c r="F467" s="52">
        <v>50908.019171117172</v>
      </c>
      <c r="G467" s="52">
        <v>11605</v>
      </c>
      <c r="H467" s="52">
        <v>23050</v>
      </c>
      <c r="I467" s="52">
        <v>34655</v>
      </c>
      <c r="J467" s="51">
        <v>0</v>
      </c>
      <c r="K467" s="54">
        <v>0</v>
      </c>
      <c r="L467" s="51">
        <v>2</v>
      </c>
      <c r="M467" s="54">
        <v>15000</v>
      </c>
      <c r="N467" s="53">
        <f t="shared" si="14"/>
        <v>-15000</v>
      </c>
      <c r="O467" s="53">
        <f t="shared" si="15"/>
        <v>15000</v>
      </c>
    </row>
    <row r="468" spans="1:15" x14ac:dyDescent="0.2">
      <c r="A468" s="51" t="s">
        <v>3567</v>
      </c>
      <c r="B468" s="51" t="s">
        <v>3568</v>
      </c>
      <c r="C468" s="51" t="s">
        <v>83</v>
      </c>
      <c r="D468" s="51" t="s">
        <v>3779</v>
      </c>
      <c r="E468" s="51" t="s">
        <v>3780</v>
      </c>
      <c r="F468" s="52">
        <v>5275.2672053151036</v>
      </c>
      <c r="G468" s="52">
        <v>0</v>
      </c>
      <c r="H468" s="52">
        <v>0</v>
      </c>
      <c r="I468" s="52">
        <v>0</v>
      </c>
      <c r="J468" s="51">
        <v>0</v>
      </c>
      <c r="K468" s="54">
        <v>0</v>
      </c>
      <c r="L468" s="51">
        <v>0</v>
      </c>
      <c r="M468" s="54">
        <v>0</v>
      </c>
      <c r="N468" s="53">
        <f t="shared" si="14"/>
        <v>0</v>
      </c>
      <c r="O468" s="53">
        <f t="shared" si="15"/>
        <v>0</v>
      </c>
    </row>
    <row r="469" spans="1:15" x14ac:dyDescent="0.2">
      <c r="A469" s="51" t="s">
        <v>3567</v>
      </c>
      <c r="B469" s="51" t="s">
        <v>3568</v>
      </c>
      <c r="C469" s="51" t="s">
        <v>85</v>
      </c>
      <c r="D469" s="51" t="s">
        <v>2891</v>
      </c>
      <c r="E469" s="51" t="s">
        <v>2890</v>
      </c>
      <c r="F469" s="52">
        <v>14886.85347458238</v>
      </c>
      <c r="G469" s="52">
        <v>15400</v>
      </c>
      <c r="H469" s="52">
        <v>12660</v>
      </c>
      <c r="I469" s="52">
        <v>28060</v>
      </c>
      <c r="J469" s="51">
        <v>1</v>
      </c>
      <c r="K469" s="54">
        <v>10000</v>
      </c>
      <c r="L469" s="51">
        <v>0</v>
      </c>
      <c r="M469" s="54">
        <v>0</v>
      </c>
      <c r="N469" s="53">
        <f t="shared" si="14"/>
        <v>10000</v>
      </c>
      <c r="O469" s="53">
        <f t="shared" si="15"/>
        <v>-10000</v>
      </c>
    </row>
    <row r="470" spans="1:15" x14ac:dyDescent="0.2">
      <c r="A470" s="51" t="s">
        <v>3567</v>
      </c>
      <c r="B470" s="51" t="s">
        <v>3568</v>
      </c>
      <c r="C470" s="51" t="s">
        <v>83</v>
      </c>
      <c r="D470" s="51" t="s">
        <v>1775</v>
      </c>
      <c r="E470" s="51" t="s">
        <v>1774</v>
      </c>
      <c r="F470" s="52">
        <v>3321.204801289749</v>
      </c>
      <c r="G470" s="52">
        <v>0</v>
      </c>
      <c r="H470" s="52">
        <v>980</v>
      </c>
      <c r="I470" s="52">
        <v>980</v>
      </c>
      <c r="J470" s="51">
        <v>0</v>
      </c>
      <c r="K470" s="54">
        <v>0</v>
      </c>
      <c r="L470" s="51">
        <v>1</v>
      </c>
      <c r="M470" s="54">
        <v>5000</v>
      </c>
      <c r="N470" s="53">
        <f t="shared" si="14"/>
        <v>-5000</v>
      </c>
      <c r="O470" s="53">
        <f t="shared" si="15"/>
        <v>5000</v>
      </c>
    </row>
    <row r="471" spans="1:15" x14ac:dyDescent="0.2">
      <c r="A471" s="51" t="s">
        <v>3567</v>
      </c>
      <c r="B471" s="51" t="s">
        <v>3568</v>
      </c>
      <c r="C471" s="51" t="s">
        <v>55</v>
      </c>
      <c r="D471" s="51" t="s">
        <v>2404</v>
      </c>
      <c r="E471" s="51" t="s">
        <v>2403</v>
      </c>
      <c r="F471" s="52">
        <v>81.311469987448433</v>
      </c>
      <c r="G471" s="52">
        <v>0</v>
      </c>
      <c r="H471" s="52">
        <v>0</v>
      </c>
      <c r="I471" s="52">
        <v>0</v>
      </c>
      <c r="J471" s="51">
        <v>0</v>
      </c>
      <c r="K471" s="54">
        <v>0</v>
      </c>
      <c r="L471" s="51">
        <v>0</v>
      </c>
      <c r="M471" s="54">
        <v>0</v>
      </c>
      <c r="N471" s="53">
        <f t="shared" si="14"/>
        <v>0</v>
      </c>
      <c r="O471" s="53">
        <f t="shared" si="15"/>
        <v>0</v>
      </c>
    </row>
    <row r="472" spans="1:15" x14ac:dyDescent="0.2">
      <c r="A472" s="51" t="s">
        <v>3567</v>
      </c>
      <c r="B472" s="51" t="s">
        <v>3568</v>
      </c>
      <c r="C472" s="51" t="s">
        <v>85</v>
      </c>
      <c r="D472" s="51" t="s">
        <v>2825</v>
      </c>
      <c r="E472" s="51" t="s">
        <v>2824</v>
      </c>
      <c r="F472" s="52">
        <v>58.064100000000003</v>
      </c>
      <c r="G472" s="52">
        <v>500</v>
      </c>
      <c r="H472" s="52">
        <v>3950</v>
      </c>
      <c r="I472" s="52">
        <v>4450</v>
      </c>
      <c r="J472" s="51">
        <v>0</v>
      </c>
      <c r="K472" s="54">
        <v>0</v>
      </c>
      <c r="L472" s="51">
        <v>1</v>
      </c>
      <c r="M472" s="54">
        <v>5000</v>
      </c>
      <c r="N472" s="53">
        <f t="shared" si="14"/>
        <v>-5000</v>
      </c>
      <c r="O472" s="53">
        <f t="shared" si="15"/>
        <v>5000</v>
      </c>
    </row>
    <row r="473" spans="1:15" x14ac:dyDescent="0.2">
      <c r="A473" s="51" t="s">
        <v>3567</v>
      </c>
      <c r="B473" s="51" t="s">
        <v>3568</v>
      </c>
      <c r="C473" s="51" t="s">
        <v>64</v>
      </c>
      <c r="D473" s="51" t="s">
        <v>2599</v>
      </c>
      <c r="E473" s="51" t="s">
        <v>2598</v>
      </c>
      <c r="F473" s="52">
        <v>9.0450320442024079</v>
      </c>
      <c r="G473" s="52">
        <v>0</v>
      </c>
      <c r="H473" s="52">
        <v>0</v>
      </c>
      <c r="I473" s="52">
        <v>0</v>
      </c>
      <c r="J473" s="51">
        <v>0</v>
      </c>
      <c r="K473" s="54">
        <v>0</v>
      </c>
      <c r="L473" s="51">
        <v>0</v>
      </c>
      <c r="M473" s="54">
        <v>0</v>
      </c>
      <c r="N473" s="53">
        <f t="shared" si="14"/>
        <v>0</v>
      </c>
      <c r="O473" s="53">
        <f t="shared" si="15"/>
        <v>0</v>
      </c>
    </row>
    <row r="474" spans="1:15" x14ac:dyDescent="0.2">
      <c r="A474" s="51" t="s">
        <v>3567</v>
      </c>
      <c r="B474" s="51" t="s">
        <v>3568</v>
      </c>
      <c r="C474" s="51" t="s">
        <v>74</v>
      </c>
      <c r="D474" s="51" t="s">
        <v>1822</v>
      </c>
      <c r="E474" s="51" t="s">
        <v>1821</v>
      </c>
      <c r="F474" s="52">
        <v>5103.6949999999997</v>
      </c>
      <c r="G474" s="52">
        <v>9085</v>
      </c>
      <c r="H474" s="52">
        <v>2100</v>
      </c>
      <c r="I474" s="52">
        <v>11185</v>
      </c>
      <c r="J474" s="51">
        <v>1</v>
      </c>
      <c r="K474" s="54">
        <v>5000</v>
      </c>
      <c r="L474" s="51">
        <v>0</v>
      </c>
      <c r="M474" s="54">
        <v>0</v>
      </c>
      <c r="N474" s="53">
        <f t="shared" si="14"/>
        <v>5000</v>
      </c>
      <c r="O474" s="53">
        <f t="shared" si="15"/>
        <v>-5000</v>
      </c>
    </row>
    <row r="475" spans="1:15" x14ac:dyDescent="0.2">
      <c r="A475" s="51" t="s">
        <v>3567</v>
      </c>
      <c r="B475" s="51" t="s">
        <v>3568</v>
      </c>
      <c r="C475" s="51" t="s">
        <v>63</v>
      </c>
      <c r="D475" s="51" t="s">
        <v>2978</v>
      </c>
      <c r="E475" s="51" t="s">
        <v>2977</v>
      </c>
      <c r="F475" s="52">
        <v>22721.708751780021</v>
      </c>
      <c r="G475" s="52">
        <v>2720</v>
      </c>
      <c r="H475" s="52">
        <v>9530</v>
      </c>
      <c r="I475" s="52">
        <v>12250</v>
      </c>
      <c r="J475" s="51">
        <v>0</v>
      </c>
      <c r="K475" s="54">
        <v>0</v>
      </c>
      <c r="L475" s="51">
        <v>1</v>
      </c>
      <c r="M475" s="54">
        <v>20000</v>
      </c>
      <c r="N475" s="53">
        <f t="shared" si="14"/>
        <v>-20000</v>
      </c>
      <c r="O475" s="53">
        <f t="shared" si="15"/>
        <v>20000</v>
      </c>
    </row>
    <row r="476" spans="1:15" x14ac:dyDescent="0.2">
      <c r="A476" s="51" t="s">
        <v>3567</v>
      </c>
      <c r="B476" s="51" t="s">
        <v>3568</v>
      </c>
      <c r="C476" s="51" t="s">
        <v>3864</v>
      </c>
      <c r="D476" s="51" t="s">
        <v>3867</v>
      </c>
      <c r="E476" s="51" t="s">
        <v>3868</v>
      </c>
      <c r="F476" s="52">
        <v>6.3330248256048387</v>
      </c>
      <c r="G476" s="52">
        <v>0</v>
      </c>
      <c r="H476" s="52">
        <v>0</v>
      </c>
      <c r="I476" s="52">
        <v>0</v>
      </c>
      <c r="J476" s="51">
        <v>0</v>
      </c>
      <c r="K476" s="54">
        <v>0</v>
      </c>
      <c r="L476" s="51">
        <v>0</v>
      </c>
      <c r="M476" s="54">
        <v>0</v>
      </c>
      <c r="N476" s="53">
        <f t="shared" si="14"/>
        <v>0</v>
      </c>
      <c r="O476" s="53">
        <f t="shared" si="15"/>
        <v>0</v>
      </c>
    </row>
    <row r="477" spans="1:15" x14ac:dyDescent="0.2">
      <c r="A477" s="51" t="s">
        <v>3567</v>
      </c>
      <c r="B477" s="51" t="s">
        <v>3568</v>
      </c>
      <c r="C477" s="51" t="s">
        <v>69</v>
      </c>
      <c r="D477" s="51" t="s">
        <v>1108</v>
      </c>
      <c r="E477" s="51" t="s">
        <v>1107</v>
      </c>
      <c r="F477" s="52">
        <v>12780.576709556601</v>
      </c>
      <c r="G477" s="52">
        <v>1100</v>
      </c>
      <c r="H477" s="52">
        <v>10714</v>
      </c>
      <c r="I477" s="52">
        <v>11814</v>
      </c>
      <c r="J477" s="51">
        <v>0</v>
      </c>
      <c r="K477" s="54">
        <v>0</v>
      </c>
      <c r="L477" s="51">
        <v>1</v>
      </c>
      <c r="M477" s="54">
        <v>20000</v>
      </c>
      <c r="N477" s="53">
        <f t="shared" si="14"/>
        <v>-20000</v>
      </c>
      <c r="O477" s="53">
        <f t="shared" si="15"/>
        <v>20000</v>
      </c>
    </row>
    <row r="478" spans="1:15" x14ac:dyDescent="0.2">
      <c r="A478" s="51" t="s">
        <v>3567</v>
      </c>
      <c r="B478" s="51" t="s">
        <v>3568</v>
      </c>
      <c r="C478" s="51" t="s">
        <v>93</v>
      </c>
      <c r="D478" s="51" t="s">
        <v>3538</v>
      </c>
      <c r="E478" s="51" t="s">
        <v>3537</v>
      </c>
      <c r="F478" s="52">
        <v>19413.384399999999</v>
      </c>
      <c r="G478" s="52">
        <v>15200</v>
      </c>
      <c r="H478" s="52">
        <v>48040</v>
      </c>
      <c r="I478" s="52">
        <v>63240</v>
      </c>
      <c r="J478" s="51">
        <v>0</v>
      </c>
      <c r="K478" s="54">
        <v>0</v>
      </c>
      <c r="L478" s="51">
        <v>4</v>
      </c>
      <c r="M478" s="54">
        <v>40000</v>
      </c>
      <c r="N478" s="53">
        <f t="shared" si="14"/>
        <v>-40000</v>
      </c>
      <c r="O478" s="53">
        <f t="shared" si="15"/>
        <v>40000</v>
      </c>
    </row>
    <row r="479" spans="1:15" x14ac:dyDescent="0.2">
      <c r="A479" s="51" t="s">
        <v>3567</v>
      </c>
      <c r="B479" s="51" t="s">
        <v>3568</v>
      </c>
      <c r="C479" s="51" t="s">
        <v>84</v>
      </c>
      <c r="D479" s="51" t="s">
        <v>1854</v>
      </c>
      <c r="E479" s="51" t="s">
        <v>1853</v>
      </c>
      <c r="F479" s="52">
        <v>3751.304543015227</v>
      </c>
      <c r="G479" s="52">
        <v>6720</v>
      </c>
      <c r="H479" s="52">
        <v>3320</v>
      </c>
      <c r="I479" s="52">
        <v>10040</v>
      </c>
      <c r="J479" s="51">
        <v>1</v>
      </c>
      <c r="K479" s="54">
        <v>5000</v>
      </c>
      <c r="L479" s="51">
        <v>0</v>
      </c>
      <c r="M479" s="54">
        <v>0</v>
      </c>
      <c r="N479" s="53">
        <f t="shared" si="14"/>
        <v>5000</v>
      </c>
      <c r="O479" s="53">
        <f t="shared" si="15"/>
        <v>-5000</v>
      </c>
    </row>
    <row r="480" spans="1:15" x14ac:dyDescent="0.2">
      <c r="A480" s="51" t="s">
        <v>3567</v>
      </c>
      <c r="B480" s="51" t="s">
        <v>3568</v>
      </c>
      <c r="C480" s="51" t="s">
        <v>62</v>
      </c>
      <c r="D480" s="51" t="s">
        <v>1840</v>
      </c>
      <c r="E480" s="51" t="s">
        <v>1839</v>
      </c>
      <c r="F480" s="52">
        <v>2756.2143994766279</v>
      </c>
      <c r="G480" s="52">
        <v>0</v>
      </c>
      <c r="H480" s="52">
        <v>10000</v>
      </c>
      <c r="I480" s="52">
        <v>10000</v>
      </c>
      <c r="J480" s="51">
        <v>0</v>
      </c>
      <c r="K480" s="54">
        <v>0</v>
      </c>
      <c r="L480" s="51">
        <v>1</v>
      </c>
      <c r="M480" s="54">
        <v>15000</v>
      </c>
      <c r="N480" s="53">
        <f t="shared" si="14"/>
        <v>-15000</v>
      </c>
      <c r="O480" s="53">
        <f t="shared" si="15"/>
        <v>15000</v>
      </c>
    </row>
    <row r="481" spans="1:15" x14ac:dyDescent="0.2">
      <c r="A481" s="51" t="s">
        <v>3567</v>
      </c>
      <c r="B481" s="51" t="s">
        <v>3568</v>
      </c>
      <c r="C481" s="51" t="s">
        <v>3633</v>
      </c>
      <c r="D481" s="51" t="s">
        <v>3840</v>
      </c>
      <c r="E481" s="51" t="s">
        <v>3841</v>
      </c>
      <c r="F481" s="52">
        <v>1.18598602541287</v>
      </c>
      <c r="G481" s="52">
        <v>0</v>
      </c>
      <c r="H481" s="52">
        <v>0</v>
      </c>
      <c r="I481" s="52">
        <v>0</v>
      </c>
      <c r="J481" s="51">
        <v>0</v>
      </c>
      <c r="K481" s="54">
        <v>0</v>
      </c>
      <c r="L481" s="51">
        <v>0</v>
      </c>
      <c r="M481" s="54">
        <v>0</v>
      </c>
      <c r="N481" s="53">
        <f t="shared" si="14"/>
        <v>0</v>
      </c>
      <c r="O481" s="53">
        <f t="shared" si="15"/>
        <v>0</v>
      </c>
    </row>
    <row r="482" spans="1:15" x14ac:dyDescent="0.2">
      <c r="A482" s="51" t="s">
        <v>3567</v>
      </c>
      <c r="B482" s="51" t="s">
        <v>3568</v>
      </c>
      <c r="C482" s="51" t="s">
        <v>3607</v>
      </c>
      <c r="D482" s="51" t="s">
        <v>3844</v>
      </c>
      <c r="E482" s="51" t="s">
        <v>3845</v>
      </c>
      <c r="F482" s="52">
        <v>13.014406856410259</v>
      </c>
      <c r="G482" s="52">
        <v>0</v>
      </c>
      <c r="H482" s="52">
        <v>0</v>
      </c>
      <c r="I482" s="52">
        <v>0</v>
      </c>
      <c r="J482" s="51">
        <v>0</v>
      </c>
      <c r="K482" s="54">
        <v>0</v>
      </c>
      <c r="L482" s="51">
        <v>0</v>
      </c>
      <c r="M482" s="54">
        <v>0</v>
      </c>
      <c r="N482" s="53">
        <f t="shared" si="14"/>
        <v>0</v>
      </c>
      <c r="O482" s="53">
        <f t="shared" si="15"/>
        <v>0</v>
      </c>
    </row>
    <row r="483" spans="1:15" x14ac:dyDescent="0.2">
      <c r="A483" s="51" t="s">
        <v>3567</v>
      </c>
      <c r="B483" s="51" t="s">
        <v>3568</v>
      </c>
      <c r="C483" s="51" t="s">
        <v>81</v>
      </c>
      <c r="D483" s="51" t="s">
        <v>359</v>
      </c>
      <c r="E483" s="51" t="s">
        <v>358</v>
      </c>
      <c r="F483" s="52">
        <v>12928.620460298571</v>
      </c>
      <c r="G483" s="52">
        <v>0</v>
      </c>
      <c r="H483" s="52">
        <v>3200</v>
      </c>
      <c r="I483" s="52">
        <v>3200</v>
      </c>
      <c r="J483" s="51">
        <v>1</v>
      </c>
      <c r="K483" s="54">
        <v>5000</v>
      </c>
      <c r="L483" s="51">
        <v>0</v>
      </c>
      <c r="M483" s="54">
        <v>0</v>
      </c>
      <c r="N483" s="53">
        <f t="shared" si="14"/>
        <v>5000</v>
      </c>
      <c r="O483" s="53">
        <f t="shared" si="15"/>
        <v>-5000</v>
      </c>
    </row>
    <row r="484" spans="1:15" x14ac:dyDescent="0.2">
      <c r="A484" s="51" t="s">
        <v>3567</v>
      </c>
      <c r="B484" s="51" t="s">
        <v>3568</v>
      </c>
      <c r="C484" s="51" t="s">
        <v>68</v>
      </c>
      <c r="D484" s="51" t="s">
        <v>3832</v>
      </c>
      <c r="E484" s="51" t="s">
        <v>3833</v>
      </c>
      <c r="F484" s="52">
        <v>4.2443</v>
      </c>
      <c r="G484" s="52">
        <v>0</v>
      </c>
      <c r="H484" s="52">
        <v>0</v>
      </c>
      <c r="I484" s="52">
        <v>0</v>
      </c>
      <c r="J484" s="51">
        <v>0</v>
      </c>
      <c r="K484" s="54">
        <v>0</v>
      </c>
      <c r="L484" s="51">
        <v>0</v>
      </c>
      <c r="M484" s="54">
        <v>0</v>
      </c>
      <c r="N484" s="53">
        <f t="shared" si="14"/>
        <v>0</v>
      </c>
      <c r="O484" s="53">
        <f t="shared" si="15"/>
        <v>0</v>
      </c>
    </row>
    <row r="485" spans="1:15" x14ac:dyDescent="0.2">
      <c r="A485" s="51" t="s">
        <v>3567</v>
      </c>
      <c r="B485" s="51" t="s">
        <v>3568</v>
      </c>
      <c r="C485" s="51" t="s">
        <v>82</v>
      </c>
      <c r="D485" s="51" t="s">
        <v>2098</v>
      </c>
      <c r="E485" s="51" t="s">
        <v>2097</v>
      </c>
      <c r="F485" s="52">
        <v>370.01384999999999</v>
      </c>
      <c r="G485" s="52">
        <v>17800</v>
      </c>
      <c r="H485" s="52">
        <v>15700</v>
      </c>
      <c r="I485" s="52">
        <v>33500</v>
      </c>
      <c r="J485" s="51">
        <v>1</v>
      </c>
      <c r="K485" s="54">
        <v>5000</v>
      </c>
      <c r="L485" s="51">
        <v>1</v>
      </c>
      <c r="M485" s="54">
        <v>10000</v>
      </c>
      <c r="N485" s="53">
        <f t="shared" si="14"/>
        <v>-5000</v>
      </c>
      <c r="O485" s="53">
        <f t="shared" si="15"/>
        <v>5000</v>
      </c>
    </row>
    <row r="486" spans="1:15" x14ac:dyDescent="0.2">
      <c r="A486" s="51" t="s">
        <v>3567</v>
      </c>
      <c r="B486" s="51" t="s">
        <v>3568</v>
      </c>
      <c r="C486" s="51" t="s">
        <v>67</v>
      </c>
      <c r="D486" s="51" t="s">
        <v>2427</v>
      </c>
      <c r="E486" s="51" t="s">
        <v>2426</v>
      </c>
      <c r="F486" s="52">
        <v>22503.181916461541</v>
      </c>
      <c r="G486" s="52">
        <v>5900</v>
      </c>
      <c r="H486" s="52">
        <v>25290</v>
      </c>
      <c r="I486" s="52">
        <v>31190</v>
      </c>
      <c r="J486" s="51">
        <v>0</v>
      </c>
      <c r="K486" s="54">
        <v>0</v>
      </c>
      <c r="L486" s="51">
        <v>1</v>
      </c>
      <c r="M486" s="54">
        <v>5000</v>
      </c>
      <c r="N486" s="53">
        <f t="shared" si="14"/>
        <v>-5000</v>
      </c>
      <c r="O486" s="53">
        <f t="shared" si="15"/>
        <v>5000</v>
      </c>
    </row>
    <row r="487" spans="1:15" x14ac:dyDescent="0.2">
      <c r="A487" s="51" t="s">
        <v>3567</v>
      </c>
      <c r="B487" s="51" t="s">
        <v>3568</v>
      </c>
      <c r="C487" s="51" t="s">
        <v>3614</v>
      </c>
      <c r="D487" s="51" t="s">
        <v>3856</v>
      </c>
      <c r="E487" s="51" t="s">
        <v>3857</v>
      </c>
      <c r="F487" s="52">
        <v>8.333521269858867</v>
      </c>
      <c r="G487" s="52">
        <v>0</v>
      </c>
      <c r="H487" s="52">
        <v>0</v>
      </c>
      <c r="I487" s="52">
        <v>0</v>
      </c>
      <c r="J487" s="51">
        <v>0</v>
      </c>
      <c r="K487" s="54">
        <v>0</v>
      </c>
      <c r="L487" s="51">
        <v>0</v>
      </c>
      <c r="M487" s="54">
        <v>0</v>
      </c>
      <c r="N487" s="53">
        <f t="shared" si="14"/>
        <v>0</v>
      </c>
      <c r="O487" s="53">
        <f t="shared" si="15"/>
        <v>0</v>
      </c>
    </row>
    <row r="488" spans="1:15" x14ac:dyDescent="0.2">
      <c r="A488" s="51" t="s">
        <v>3567</v>
      </c>
      <c r="B488" s="51" t="s">
        <v>3568</v>
      </c>
      <c r="C488" s="51" t="s">
        <v>60</v>
      </c>
      <c r="D488" s="51" t="s">
        <v>1875</v>
      </c>
      <c r="E488" s="51" t="s">
        <v>1874</v>
      </c>
      <c r="F488" s="52">
        <v>869.61635000000001</v>
      </c>
      <c r="G488" s="52">
        <v>300</v>
      </c>
      <c r="H488" s="52">
        <v>0</v>
      </c>
      <c r="I488" s="52">
        <v>300</v>
      </c>
      <c r="J488" s="51">
        <v>0</v>
      </c>
      <c r="K488" s="54">
        <v>0</v>
      </c>
      <c r="L488" s="51">
        <v>0</v>
      </c>
      <c r="M488" s="54">
        <v>0</v>
      </c>
      <c r="N488" s="53">
        <f t="shared" si="14"/>
        <v>0</v>
      </c>
      <c r="O488" s="53">
        <f t="shared" si="15"/>
        <v>0</v>
      </c>
    </row>
    <row r="489" spans="1:15" x14ac:dyDescent="0.2">
      <c r="A489" s="51" t="s">
        <v>3567</v>
      </c>
      <c r="B489" s="51" t="s">
        <v>3568</v>
      </c>
      <c r="C489" s="51" t="s">
        <v>73</v>
      </c>
      <c r="D489" s="51" t="s">
        <v>2831</v>
      </c>
      <c r="E489" s="51" t="s">
        <v>2830</v>
      </c>
      <c r="F489" s="52">
        <v>6297.7263030818331</v>
      </c>
      <c r="G489" s="52">
        <v>0</v>
      </c>
      <c r="H489" s="52">
        <v>500</v>
      </c>
      <c r="I489" s="52">
        <v>500</v>
      </c>
      <c r="J489" s="51">
        <v>1</v>
      </c>
      <c r="K489" s="54">
        <v>5000</v>
      </c>
      <c r="L489" s="51">
        <v>0</v>
      </c>
      <c r="M489" s="54">
        <v>0</v>
      </c>
      <c r="N489" s="53">
        <f t="shared" si="14"/>
        <v>5000</v>
      </c>
      <c r="O489" s="53">
        <f t="shared" si="15"/>
        <v>-5000</v>
      </c>
    </row>
    <row r="490" spans="1:15" x14ac:dyDescent="0.2">
      <c r="A490" s="51" t="s">
        <v>3567</v>
      </c>
      <c r="B490" s="51" t="s">
        <v>3568</v>
      </c>
      <c r="C490" s="51" t="s">
        <v>52</v>
      </c>
      <c r="D490" s="51" t="s">
        <v>1463</v>
      </c>
      <c r="E490" s="51" t="s">
        <v>1462</v>
      </c>
      <c r="F490" s="52">
        <v>554.58055972000273</v>
      </c>
      <c r="G490" s="52">
        <v>2945</v>
      </c>
      <c r="H490" s="52">
        <v>3826</v>
      </c>
      <c r="I490" s="52">
        <v>6771</v>
      </c>
      <c r="J490" s="51">
        <v>0</v>
      </c>
      <c r="K490" s="54">
        <v>0</v>
      </c>
      <c r="L490" s="51">
        <v>1</v>
      </c>
      <c r="M490" s="54">
        <v>5000</v>
      </c>
      <c r="N490" s="53">
        <f t="shared" si="14"/>
        <v>-5000</v>
      </c>
      <c r="O490" s="53">
        <f t="shared" si="15"/>
        <v>5000</v>
      </c>
    </row>
    <row r="491" spans="1:15" x14ac:dyDescent="0.2">
      <c r="A491" s="51" t="s">
        <v>3567</v>
      </c>
      <c r="B491" s="51" t="s">
        <v>3568</v>
      </c>
      <c r="C491" s="51" t="s">
        <v>70</v>
      </c>
      <c r="D491" s="51" t="s">
        <v>802</v>
      </c>
      <c r="E491" s="51" t="s">
        <v>801</v>
      </c>
      <c r="F491" s="52">
        <v>18768.38332124415</v>
      </c>
      <c r="G491" s="52">
        <v>59010</v>
      </c>
      <c r="H491" s="52">
        <v>35790</v>
      </c>
      <c r="I491" s="52">
        <v>94800</v>
      </c>
      <c r="J491" s="51">
        <v>2</v>
      </c>
      <c r="K491" s="54">
        <v>12000</v>
      </c>
      <c r="L491" s="51">
        <v>1</v>
      </c>
      <c r="M491" s="54">
        <v>7000</v>
      </c>
      <c r="N491" s="53">
        <f t="shared" si="14"/>
        <v>5000</v>
      </c>
      <c r="O491" s="53">
        <f t="shared" si="15"/>
        <v>-5000</v>
      </c>
    </row>
    <row r="492" spans="1:15" x14ac:dyDescent="0.2">
      <c r="A492" s="51" t="s">
        <v>3567</v>
      </c>
      <c r="B492" s="51" t="s">
        <v>3568</v>
      </c>
      <c r="C492" s="51" t="s">
        <v>63</v>
      </c>
      <c r="D492" s="51" t="s">
        <v>1958</v>
      </c>
      <c r="E492" s="51" t="s">
        <v>1957</v>
      </c>
      <c r="F492" s="52">
        <v>26054.673936828131</v>
      </c>
      <c r="G492" s="52">
        <v>2710</v>
      </c>
      <c r="H492" s="52">
        <v>5400</v>
      </c>
      <c r="I492" s="52">
        <v>8110</v>
      </c>
      <c r="J492" s="51">
        <v>0</v>
      </c>
      <c r="K492" s="54">
        <v>0</v>
      </c>
      <c r="L492" s="51">
        <v>1</v>
      </c>
      <c r="M492" s="54">
        <v>10000</v>
      </c>
      <c r="N492" s="53">
        <f t="shared" si="14"/>
        <v>-10000</v>
      </c>
      <c r="O492" s="53">
        <f t="shared" si="15"/>
        <v>10000</v>
      </c>
    </row>
    <row r="493" spans="1:15" x14ac:dyDescent="0.2">
      <c r="A493" s="51" t="s">
        <v>3567</v>
      </c>
      <c r="B493" s="51" t="s">
        <v>3568</v>
      </c>
      <c r="C493" s="51" t="s">
        <v>65</v>
      </c>
      <c r="D493" s="51" t="s">
        <v>174</v>
      </c>
      <c r="E493" s="51" t="s">
        <v>173</v>
      </c>
      <c r="F493" s="52">
        <v>14096.7470488214</v>
      </c>
      <c r="G493" s="52">
        <v>16525</v>
      </c>
      <c r="H493" s="52">
        <v>13195</v>
      </c>
      <c r="I493" s="52">
        <v>29720</v>
      </c>
      <c r="J493" s="51">
        <v>2</v>
      </c>
      <c r="K493" s="54">
        <v>30000</v>
      </c>
      <c r="L493" s="51">
        <v>0</v>
      </c>
      <c r="M493" s="54">
        <v>0</v>
      </c>
      <c r="N493" s="53">
        <f t="shared" si="14"/>
        <v>30000</v>
      </c>
      <c r="O493" s="53">
        <f t="shared" si="15"/>
        <v>-30000</v>
      </c>
    </row>
    <row r="494" spans="1:15" x14ac:dyDescent="0.2">
      <c r="A494" s="51" t="s">
        <v>3567</v>
      </c>
      <c r="B494" s="51" t="s">
        <v>3568</v>
      </c>
      <c r="C494" s="51" t="s">
        <v>77</v>
      </c>
      <c r="D494" s="51" t="s">
        <v>2811</v>
      </c>
      <c r="E494" s="51" t="s">
        <v>2810</v>
      </c>
      <c r="F494" s="52">
        <v>15.521100001400001</v>
      </c>
      <c r="G494" s="52">
        <v>0</v>
      </c>
      <c r="H494" s="52">
        <v>0</v>
      </c>
      <c r="I494" s="52">
        <v>0</v>
      </c>
      <c r="J494" s="51">
        <v>0</v>
      </c>
      <c r="K494" s="54">
        <v>0</v>
      </c>
      <c r="L494" s="51">
        <v>0</v>
      </c>
      <c r="M494" s="54">
        <v>0</v>
      </c>
      <c r="N494" s="53">
        <f t="shared" si="14"/>
        <v>0</v>
      </c>
      <c r="O494" s="53">
        <f t="shared" si="15"/>
        <v>0</v>
      </c>
    </row>
    <row r="495" spans="1:15" x14ac:dyDescent="0.2">
      <c r="A495" s="51" t="s">
        <v>3567</v>
      </c>
      <c r="B495" s="51" t="s">
        <v>3568</v>
      </c>
      <c r="C495" s="51" t="s">
        <v>53</v>
      </c>
      <c r="D495" s="51" t="s">
        <v>2222</v>
      </c>
      <c r="E495" s="51" t="s">
        <v>2221</v>
      </c>
      <c r="F495" s="52">
        <v>29680.842359999999</v>
      </c>
      <c r="G495" s="52">
        <v>0</v>
      </c>
      <c r="H495" s="52">
        <v>29550</v>
      </c>
      <c r="I495" s="52">
        <v>29550</v>
      </c>
      <c r="J495" s="51">
        <v>0</v>
      </c>
      <c r="K495" s="54">
        <v>0</v>
      </c>
      <c r="L495" s="51">
        <v>1</v>
      </c>
      <c r="M495" s="54">
        <v>7000</v>
      </c>
      <c r="N495" s="53">
        <f t="shared" si="14"/>
        <v>-7000</v>
      </c>
      <c r="O495" s="53">
        <f t="shared" si="15"/>
        <v>7000</v>
      </c>
    </row>
    <row r="496" spans="1:15" x14ac:dyDescent="0.2">
      <c r="A496" s="51" t="s">
        <v>3567</v>
      </c>
      <c r="B496" s="51" t="s">
        <v>3568</v>
      </c>
      <c r="C496" s="51" t="s">
        <v>3763</v>
      </c>
      <c r="D496" s="51" t="s">
        <v>3794</v>
      </c>
      <c r="E496" s="51" t="s">
        <v>3795</v>
      </c>
      <c r="F496" s="52">
        <v>3.7183143036785409</v>
      </c>
      <c r="G496" s="52">
        <v>0</v>
      </c>
      <c r="H496" s="52">
        <v>0</v>
      </c>
      <c r="I496" s="52">
        <v>0</v>
      </c>
      <c r="J496" s="51">
        <v>0</v>
      </c>
      <c r="K496" s="54">
        <v>0</v>
      </c>
      <c r="L496" s="51">
        <v>0</v>
      </c>
      <c r="M496" s="54">
        <v>0</v>
      </c>
      <c r="N496" s="53">
        <f t="shared" si="14"/>
        <v>0</v>
      </c>
      <c r="O496" s="53">
        <f t="shared" si="15"/>
        <v>0</v>
      </c>
    </row>
    <row r="497" spans="1:15" x14ac:dyDescent="0.2">
      <c r="A497" s="51" t="s">
        <v>3567</v>
      </c>
      <c r="B497" s="51" t="s">
        <v>3568</v>
      </c>
      <c r="C497" s="51" t="s">
        <v>57</v>
      </c>
      <c r="D497" s="51" t="s">
        <v>2821</v>
      </c>
      <c r="E497" s="51" t="s">
        <v>2820</v>
      </c>
      <c r="F497" s="52">
        <v>6578.7795738594396</v>
      </c>
      <c r="G497" s="52">
        <v>1500</v>
      </c>
      <c r="H497" s="52">
        <v>7795</v>
      </c>
      <c r="I497" s="52">
        <v>9295</v>
      </c>
      <c r="J497" s="51">
        <v>0</v>
      </c>
      <c r="K497" s="54">
        <v>0</v>
      </c>
      <c r="L497" s="51">
        <v>1</v>
      </c>
      <c r="M497" s="54">
        <v>20000</v>
      </c>
      <c r="N497" s="53">
        <f t="shared" si="14"/>
        <v>-20000</v>
      </c>
      <c r="O497" s="53">
        <f t="shared" si="15"/>
        <v>20000</v>
      </c>
    </row>
    <row r="498" spans="1:15" x14ac:dyDescent="0.2">
      <c r="A498" s="51" t="s">
        <v>3567</v>
      </c>
      <c r="B498" s="51" t="s">
        <v>3568</v>
      </c>
      <c r="C498" s="51" t="s">
        <v>77</v>
      </c>
      <c r="D498" s="51" t="s">
        <v>3430</v>
      </c>
      <c r="E498" s="51" t="s">
        <v>1803</v>
      </c>
      <c r="F498" s="52">
        <v>741.38220386824332</v>
      </c>
      <c r="G498" s="52">
        <v>805</v>
      </c>
      <c r="H498" s="52">
        <v>0</v>
      </c>
      <c r="I498" s="52">
        <v>805</v>
      </c>
      <c r="J498" s="51">
        <v>0</v>
      </c>
      <c r="K498" s="54">
        <v>0</v>
      </c>
      <c r="L498" s="51">
        <v>1</v>
      </c>
      <c r="M498" s="54">
        <v>4000</v>
      </c>
      <c r="N498" s="53">
        <f t="shared" si="14"/>
        <v>-4000</v>
      </c>
      <c r="O498" s="53">
        <f t="shared" si="15"/>
        <v>4000</v>
      </c>
    </row>
    <row r="499" spans="1:15" x14ac:dyDescent="0.2">
      <c r="A499" s="51" t="s">
        <v>3567</v>
      </c>
      <c r="B499" s="51" t="s">
        <v>3568</v>
      </c>
      <c r="C499" s="51" t="s">
        <v>3580</v>
      </c>
      <c r="D499" s="51" t="s">
        <v>3815</v>
      </c>
      <c r="E499" s="51" t="s">
        <v>3816</v>
      </c>
      <c r="F499" s="52">
        <v>0.55699046125746909</v>
      </c>
      <c r="G499" s="52">
        <v>0</v>
      </c>
      <c r="H499" s="52">
        <v>0</v>
      </c>
      <c r="I499" s="52">
        <v>0</v>
      </c>
      <c r="J499" s="51">
        <v>0</v>
      </c>
      <c r="K499" s="54">
        <v>0</v>
      </c>
      <c r="L499" s="51">
        <v>0</v>
      </c>
      <c r="M499" s="54">
        <v>0</v>
      </c>
      <c r="N499" s="53">
        <f t="shared" si="14"/>
        <v>0</v>
      </c>
      <c r="O499" s="53">
        <f t="shared" si="15"/>
        <v>0</v>
      </c>
    </row>
    <row r="500" spans="1:15" x14ac:dyDescent="0.2">
      <c r="A500" s="51" t="s">
        <v>3567</v>
      </c>
      <c r="B500" s="51" t="s">
        <v>3568</v>
      </c>
      <c r="C500" s="51" t="s">
        <v>77</v>
      </c>
      <c r="D500" s="51" t="s">
        <v>2354</v>
      </c>
      <c r="E500" s="51" t="s">
        <v>2353</v>
      </c>
      <c r="F500" s="52">
        <v>630.23825068530721</v>
      </c>
      <c r="G500" s="52">
        <v>1560</v>
      </c>
      <c r="H500" s="52">
        <v>5060</v>
      </c>
      <c r="I500" s="52">
        <v>6620</v>
      </c>
      <c r="J500" s="51">
        <v>2</v>
      </c>
      <c r="K500" s="54">
        <v>7000</v>
      </c>
      <c r="L500" s="51">
        <v>1</v>
      </c>
      <c r="M500" s="54">
        <v>10000</v>
      </c>
      <c r="N500" s="53">
        <f t="shared" si="14"/>
        <v>-3000</v>
      </c>
      <c r="O500" s="53">
        <f t="shared" si="15"/>
        <v>3000</v>
      </c>
    </row>
    <row r="501" spans="1:15" x14ac:dyDescent="0.2">
      <c r="A501" s="51" t="s">
        <v>3567</v>
      </c>
      <c r="B501" s="51" t="s">
        <v>3568</v>
      </c>
      <c r="C501" s="51" t="s">
        <v>71</v>
      </c>
      <c r="D501" s="51" t="s">
        <v>2856</v>
      </c>
      <c r="E501" s="51" t="s">
        <v>2855</v>
      </c>
      <c r="F501" s="52">
        <v>21653.42094354513</v>
      </c>
      <c r="G501" s="52">
        <v>7400</v>
      </c>
      <c r="H501" s="52">
        <v>7550</v>
      </c>
      <c r="I501" s="52">
        <v>14950</v>
      </c>
      <c r="J501" s="51">
        <v>1</v>
      </c>
      <c r="K501" s="54">
        <v>5000</v>
      </c>
      <c r="L501" s="51">
        <v>0</v>
      </c>
      <c r="M501" s="54">
        <v>0</v>
      </c>
      <c r="N501" s="53">
        <f t="shared" si="14"/>
        <v>5000</v>
      </c>
      <c r="O501" s="53">
        <f t="shared" si="15"/>
        <v>-5000</v>
      </c>
    </row>
    <row r="502" spans="1:15" x14ac:dyDescent="0.2">
      <c r="A502" s="51" t="s">
        <v>3567</v>
      </c>
      <c r="B502" s="51" t="s">
        <v>3568</v>
      </c>
      <c r="C502" s="51" t="s">
        <v>78</v>
      </c>
      <c r="D502" s="51" t="s">
        <v>1034</v>
      </c>
      <c r="E502" s="51" t="s">
        <v>1033</v>
      </c>
      <c r="F502" s="52">
        <v>33657.993882502109</v>
      </c>
      <c r="G502" s="52">
        <v>19050</v>
      </c>
      <c r="H502" s="52">
        <v>41212</v>
      </c>
      <c r="I502" s="52">
        <v>60262</v>
      </c>
      <c r="J502" s="51">
        <v>0</v>
      </c>
      <c r="K502" s="54">
        <v>0</v>
      </c>
      <c r="L502" s="51">
        <v>1</v>
      </c>
      <c r="M502" s="54">
        <v>50000</v>
      </c>
      <c r="N502" s="53">
        <f t="shared" si="14"/>
        <v>-50000</v>
      </c>
      <c r="O502" s="53">
        <f t="shared" si="15"/>
        <v>50000</v>
      </c>
    </row>
    <row r="503" spans="1:15" x14ac:dyDescent="0.2">
      <c r="A503" s="51" t="s">
        <v>3567</v>
      </c>
      <c r="B503" s="51" t="s">
        <v>3568</v>
      </c>
      <c r="C503" s="51" t="s">
        <v>75</v>
      </c>
      <c r="D503" s="51" t="s">
        <v>3846</v>
      </c>
      <c r="E503" s="51" t="s">
        <v>3847</v>
      </c>
      <c r="F503" s="52">
        <v>15.601599999999999</v>
      </c>
      <c r="G503" s="52">
        <v>0</v>
      </c>
      <c r="H503" s="52">
        <v>0</v>
      </c>
      <c r="I503" s="52">
        <v>0</v>
      </c>
      <c r="J503" s="51">
        <v>0</v>
      </c>
      <c r="K503" s="54">
        <v>0</v>
      </c>
      <c r="L503" s="51">
        <v>0</v>
      </c>
      <c r="M503" s="54">
        <v>0</v>
      </c>
      <c r="N503" s="53">
        <f t="shared" si="14"/>
        <v>0</v>
      </c>
      <c r="O503" s="53">
        <f t="shared" si="15"/>
        <v>0</v>
      </c>
    </row>
    <row r="504" spans="1:15" x14ac:dyDescent="0.2">
      <c r="A504" s="51" t="s">
        <v>3567</v>
      </c>
      <c r="B504" s="51" t="s">
        <v>3568</v>
      </c>
      <c r="C504" s="51" t="s">
        <v>55</v>
      </c>
      <c r="D504" s="51" t="s">
        <v>2304</v>
      </c>
      <c r="E504" s="51" t="s">
        <v>2303</v>
      </c>
      <c r="F504" s="52">
        <v>12132.190997676011</v>
      </c>
      <c r="G504" s="52">
        <v>4010</v>
      </c>
      <c r="H504" s="52">
        <v>21265</v>
      </c>
      <c r="I504" s="52">
        <v>25275</v>
      </c>
      <c r="J504" s="51">
        <v>0</v>
      </c>
      <c r="K504" s="54">
        <v>0</v>
      </c>
      <c r="L504" s="51">
        <v>2</v>
      </c>
      <c r="M504" s="54">
        <v>24000</v>
      </c>
      <c r="N504" s="53">
        <f t="shared" si="14"/>
        <v>-24000</v>
      </c>
      <c r="O504" s="53">
        <f t="shared" si="15"/>
        <v>24000</v>
      </c>
    </row>
    <row r="505" spans="1:15" x14ac:dyDescent="0.2">
      <c r="A505" s="51" t="s">
        <v>3567</v>
      </c>
      <c r="B505" s="51" t="s">
        <v>3568</v>
      </c>
      <c r="C505" s="51" t="s">
        <v>3630</v>
      </c>
      <c r="D505" s="51" t="s">
        <v>3807</v>
      </c>
      <c r="E505" s="51" t="s">
        <v>3808</v>
      </c>
      <c r="F505" s="52">
        <v>8.1420999999999992</v>
      </c>
      <c r="G505" s="52">
        <v>0</v>
      </c>
      <c r="H505" s="52">
        <v>0</v>
      </c>
      <c r="I505" s="52">
        <v>0</v>
      </c>
      <c r="J505" s="51">
        <v>0</v>
      </c>
      <c r="K505" s="54">
        <v>0</v>
      </c>
      <c r="L505" s="51">
        <v>0</v>
      </c>
      <c r="M505" s="54">
        <v>0</v>
      </c>
      <c r="N505" s="53">
        <f t="shared" si="14"/>
        <v>0</v>
      </c>
      <c r="O505" s="53">
        <f t="shared" si="15"/>
        <v>0</v>
      </c>
    </row>
    <row r="506" spans="1:15" x14ac:dyDescent="0.2">
      <c r="A506" s="51" t="s">
        <v>3567</v>
      </c>
      <c r="B506" s="51" t="s">
        <v>3568</v>
      </c>
      <c r="C506" s="51" t="s">
        <v>52</v>
      </c>
      <c r="D506" s="51" t="s">
        <v>720</v>
      </c>
      <c r="E506" s="51" t="s">
        <v>719</v>
      </c>
      <c r="F506" s="52">
        <v>1427.26685</v>
      </c>
      <c r="G506" s="52">
        <v>3540</v>
      </c>
      <c r="H506" s="52">
        <v>14350</v>
      </c>
      <c r="I506" s="52">
        <v>17890</v>
      </c>
      <c r="J506" s="51">
        <v>1</v>
      </c>
      <c r="K506" s="54">
        <v>5000</v>
      </c>
      <c r="L506" s="51">
        <v>2</v>
      </c>
      <c r="M506" s="54">
        <v>35000</v>
      </c>
      <c r="N506" s="53">
        <f t="shared" si="14"/>
        <v>-30000</v>
      </c>
      <c r="O506" s="53">
        <f t="shared" si="15"/>
        <v>30000</v>
      </c>
    </row>
    <row r="507" spans="1:15" x14ac:dyDescent="0.2">
      <c r="A507" s="51" t="s">
        <v>3567</v>
      </c>
      <c r="B507" s="51" t="s">
        <v>3568</v>
      </c>
      <c r="C507" s="51" t="s">
        <v>69</v>
      </c>
      <c r="D507" s="51" t="s">
        <v>3842</v>
      </c>
      <c r="E507" s="51" t="s">
        <v>3843</v>
      </c>
      <c r="F507" s="52">
        <v>8.8988352986784243</v>
      </c>
      <c r="G507" s="52">
        <v>0</v>
      </c>
      <c r="H507" s="52">
        <v>0</v>
      </c>
      <c r="I507" s="52">
        <v>0</v>
      </c>
      <c r="J507" s="51">
        <v>0</v>
      </c>
      <c r="K507" s="54">
        <v>0</v>
      </c>
      <c r="L507" s="51">
        <v>0</v>
      </c>
      <c r="M507" s="54">
        <v>0</v>
      </c>
      <c r="N507" s="53">
        <f t="shared" si="14"/>
        <v>0</v>
      </c>
      <c r="O507" s="53">
        <f t="shared" si="15"/>
        <v>0</v>
      </c>
    </row>
    <row r="508" spans="1:15" x14ac:dyDescent="0.2">
      <c r="A508" s="51" t="s">
        <v>3567</v>
      </c>
      <c r="B508" s="51" t="s">
        <v>3568</v>
      </c>
      <c r="C508" s="51" t="s">
        <v>3756</v>
      </c>
      <c r="D508" s="51" t="s">
        <v>3825</v>
      </c>
      <c r="E508" s="51" t="s">
        <v>3826</v>
      </c>
      <c r="F508" s="52">
        <v>2.6070221622480552</v>
      </c>
      <c r="G508" s="52">
        <v>0</v>
      </c>
      <c r="H508" s="52">
        <v>0</v>
      </c>
      <c r="I508" s="52">
        <v>0</v>
      </c>
      <c r="J508" s="51">
        <v>0</v>
      </c>
      <c r="K508" s="54">
        <v>0</v>
      </c>
      <c r="L508" s="51">
        <v>0</v>
      </c>
      <c r="M508" s="54">
        <v>0</v>
      </c>
      <c r="N508" s="53">
        <f t="shared" si="14"/>
        <v>0</v>
      </c>
      <c r="O508" s="53">
        <f t="shared" si="15"/>
        <v>0</v>
      </c>
    </row>
    <row r="509" spans="1:15" x14ac:dyDescent="0.2">
      <c r="A509" s="51" t="s">
        <v>3567</v>
      </c>
      <c r="B509" s="51" t="s">
        <v>3568</v>
      </c>
      <c r="C509" s="51" t="s">
        <v>60</v>
      </c>
      <c r="D509" s="51" t="s">
        <v>1109</v>
      </c>
      <c r="E509" s="51" t="s">
        <v>881</v>
      </c>
      <c r="F509" s="52">
        <v>5223.3950000000004</v>
      </c>
      <c r="G509" s="52">
        <v>0</v>
      </c>
      <c r="H509" s="52">
        <v>0</v>
      </c>
      <c r="I509" s="52">
        <v>0</v>
      </c>
      <c r="J509" s="51">
        <v>1</v>
      </c>
      <c r="K509" s="54">
        <v>5000</v>
      </c>
      <c r="L509" s="51">
        <v>0</v>
      </c>
      <c r="M509" s="54">
        <v>0</v>
      </c>
      <c r="N509" s="53">
        <f t="shared" si="14"/>
        <v>5000</v>
      </c>
      <c r="O509" s="53">
        <f t="shared" si="15"/>
        <v>-5000</v>
      </c>
    </row>
    <row r="510" spans="1:15" x14ac:dyDescent="0.2">
      <c r="A510" s="51" t="s">
        <v>3567</v>
      </c>
      <c r="B510" s="51" t="s">
        <v>3568</v>
      </c>
      <c r="C510" s="51" t="s">
        <v>81</v>
      </c>
      <c r="D510" s="51" t="s">
        <v>224</v>
      </c>
      <c r="E510" s="51" t="s">
        <v>223</v>
      </c>
      <c r="F510" s="52">
        <v>30.613803999999998</v>
      </c>
      <c r="G510" s="52">
        <v>203</v>
      </c>
      <c r="H510" s="52">
        <v>200</v>
      </c>
      <c r="I510" s="52">
        <v>403</v>
      </c>
      <c r="J510" s="51">
        <v>0</v>
      </c>
      <c r="K510" s="54">
        <v>0</v>
      </c>
      <c r="L510" s="51">
        <v>0</v>
      </c>
      <c r="M510" s="54">
        <v>0</v>
      </c>
      <c r="N510" s="53">
        <f t="shared" si="14"/>
        <v>0</v>
      </c>
      <c r="O510" s="53">
        <f t="shared" si="15"/>
        <v>0</v>
      </c>
    </row>
    <row r="511" spans="1:15" x14ac:dyDescent="0.2">
      <c r="A511" s="51" t="s">
        <v>3567</v>
      </c>
      <c r="B511" s="51" t="s">
        <v>3568</v>
      </c>
      <c r="C511" s="51" t="s">
        <v>57</v>
      </c>
      <c r="D511" s="51" t="s">
        <v>242</v>
      </c>
      <c r="E511" s="51" t="s">
        <v>241</v>
      </c>
      <c r="F511" s="52">
        <v>12.964318</v>
      </c>
      <c r="G511" s="52">
        <v>0</v>
      </c>
      <c r="H511" s="52">
        <v>0</v>
      </c>
      <c r="I511" s="52">
        <v>0</v>
      </c>
      <c r="J511" s="51">
        <v>0</v>
      </c>
      <c r="K511" s="54">
        <v>0</v>
      </c>
      <c r="L511" s="51">
        <v>0</v>
      </c>
      <c r="M511" s="54">
        <v>0</v>
      </c>
      <c r="N511" s="53">
        <f t="shared" si="14"/>
        <v>0</v>
      </c>
      <c r="O511" s="53">
        <f t="shared" si="15"/>
        <v>0</v>
      </c>
    </row>
    <row r="512" spans="1:15" x14ac:dyDescent="0.2">
      <c r="A512" s="51" t="s">
        <v>3567</v>
      </c>
      <c r="B512" s="51" t="s">
        <v>3568</v>
      </c>
      <c r="C512" s="51" t="s">
        <v>82</v>
      </c>
      <c r="D512" s="51" t="s">
        <v>2512</v>
      </c>
      <c r="E512" s="51" t="s">
        <v>959</v>
      </c>
      <c r="F512" s="52">
        <v>18.131867606242981</v>
      </c>
      <c r="G512" s="52">
        <v>0</v>
      </c>
      <c r="H512" s="52">
        <v>0</v>
      </c>
      <c r="I512" s="52">
        <v>0</v>
      </c>
      <c r="J512" s="51">
        <v>0</v>
      </c>
      <c r="K512" s="54">
        <v>0</v>
      </c>
      <c r="L512" s="51">
        <v>0</v>
      </c>
      <c r="M512" s="54">
        <v>0</v>
      </c>
      <c r="N512" s="53">
        <f t="shared" si="14"/>
        <v>0</v>
      </c>
      <c r="O512" s="53">
        <f t="shared" si="15"/>
        <v>0</v>
      </c>
    </row>
    <row r="513" spans="1:15" x14ac:dyDescent="0.2">
      <c r="A513" s="51" t="s">
        <v>3567</v>
      </c>
      <c r="B513" s="51" t="s">
        <v>3568</v>
      </c>
      <c r="C513" s="51" t="s">
        <v>78</v>
      </c>
      <c r="D513" s="51" t="s">
        <v>2815</v>
      </c>
      <c r="E513" s="51" t="s">
        <v>765</v>
      </c>
      <c r="F513" s="52">
        <v>10458.467608262899</v>
      </c>
      <c r="G513" s="52">
        <v>3510</v>
      </c>
      <c r="H513" s="52">
        <v>12615</v>
      </c>
      <c r="I513" s="52">
        <v>16125</v>
      </c>
      <c r="J513" s="51">
        <v>0</v>
      </c>
      <c r="K513" s="54">
        <v>0</v>
      </c>
      <c r="L513" s="51">
        <v>1</v>
      </c>
      <c r="M513" s="54">
        <v>10000</v>
      </c>
      <c r="N513" s="53">
        <f t="shared" si="14"/>
        <v>-10000</v>
      </c>
      <c r="O513" s="53">
        <f t="shared" si="15"/>
        <v>10000</v>
      </c>
    </row>
    <row r="514" spans="1:15" x14ac:dyDescent="0.2">
      <c r="A514" s="51" t="s">
        <v>3567</v>
      </c>
      <c r="B514" s="51" t="s">
        <v>3568</v>
      </c>
      <c r="C514" s="51" t="s">
        <v>3786</v>
      </c>
      <c r="D514" s="51" t="s">
        <v>3836</v>
      </c>
      <c r="E514" s="51" t="s">
        <v>3837</v>
      </c>
      <c r="F514" s="52">
        <v>12.0447739725</v>
      </c>
      <c r="G514" s="52">
        <v>0</v>
      </c>
      <c r="H514" s="52">
        <v>0</v>
      </c>
      <c r="I514" s="52">
        <v>0</v>
      </c>
      <c r="J514" s="51">
        <v>0</v>
      </c>
      <c r="K514" s="54">
        <v>0</v>
      </c>
      <c r="L514" s="51">
        <v>0</v>
      </c>
      <c r="M514" s="54">
        <v>0</v>
      </c>
      <c r="N514" s="53">
        <f t="shared" si="14"/>
        <v>0</v>
      </c>
      <c r="O514" s="53">
        <f t="shared" si="15"/>
        <v>0</v>
      </c>
    </row>
    <row r="515" spans="1:15" x14ac:dyDescent="0.2">
      <c r="A515" s="51" t="s">
        <v>3567</v>
      </c>
      <c r="B515" s="51" t="s">
        <v>3568</v>
      </c>
      <c r="C515" s="51" t="s">
        <v>79</v>
      </c>
      <c r="D515" s="51" t="s">
        <v>3489</v>
      </c>
      <c r="E515" s="51" t="s">
        <v>3488</v>
      </c>
      <c r="F515" s="52">
        <v>83.673000000000002</v>
      </c>
      <c r="G515" s="52">
        <v>1300</v>
      </c>
      <c r="H515" s="52">
        <v>0</v>
      </c>
      <c r="I515" s="52">
        <v>1300</v>
      </c>
      <c r="J515" s="51">
        <v>0</v>
      </c>
      <c r="K515" s="54">
        <v>0</v>
      </c>
      <c r="L515" s="51">
        <v>1</v>
      </c>
      <c r="M515" s="54">
        <v>10000</v>
      </c>
      <c r="N515" s="53">
        <f t="shared" ref="N515:N578" si="16">K515-M515</f>
        <v>-10000</v>
      </c>
      <c r="O515" s="53">
        <f t="shared" ref="O515:O578" si="17">M515-K515</f>
        <v>10000</v>
      </c>
    </row>
    <row r="516" spans="1:15" x14ac:dyDescent="0.2">
      <c r="A516" s="51" t="s">
        <v>3567</v>
      </c>
      <c r="B516" s="51" t="s">
        <v>3568</v>
      </c>
      <c r="C516" s="51" t="s">
        <v>93</v>
      </c>
      <c r="D516" s="51" t="s">
        <v>804</v>
      </c>
      <c r="E516" s="51" t="s">
        <v>803</v>
      </c>
      <c r="F516" s="52">
        <v>3568.670752956024</v>
      </c>
      <c r="G516" s="52">
        <v>5000</v>
      </c>
      <c r="H516" s="52">
        <v>11500</v>
      </c>
      <c r="I516" s="52">
        <v>16500</v>
      </c>
      <c r="J516" s="51">
        <v>1</v>
      </c>
      <c r="K516" s="54">
        <v>5000</v>
      </c>
      <c r="L516" s="51">
        <v>1</v>
      </c>
      <c r="M516" s="54">
        <v>11500</v>
      </c>
      <c r="N516" s="53">
        <f t="shared" si="16"/>
        <v>-6500</v>
      </c>
      <c r="O516" s="53">
        <f t="shared" si="17"/>
        <v>6500</v>
      </c>
    </row>
    <row r="517" spans="1:15" x14ac:dyDescent="0.2">
      <c r="A517" s="51" t="s">
        <v>3567</v>
      </c>
      <c r="B517" s="51" t="s">
        <v>3568</v>
      </c>
      <c r="C517" s="51" t="s">
        <v>69</v>
      </c>
      <c r="D517" s="51" t="s">
        <v>2858</v>
      </c>
      <c r="E517" s="51" t="s">
        <v>2857</v>
      </c>
      <c r="F517" s="52">
        <v>94.471291890334413</v>
      </c>
      <c r="G517" s="52">
        <v>1900</v>
      </c>
      <c r="H517" s="52">
        <v>0</v>
      </c>
      <c r="I517" s="52">
        <v>1900</v>
      </c>
      <c r="J517" s="51">
        <v>0</v>
      </c>
      <c r="K517" s="54">
        <v>0</v>
      </c>
      <c r="L517" s="51">
        <v>0</v>
      </c>
      <c r="M517" s="54">
        <v>0</v>
      </c>
      <c r="N517" s="53">
        <f t="shared" si="16"/>
        <v>0</v>
      </c>
      <c r="O517" s="53">
        <f t="shared" si="17"/>
        <v>0</v>
      </c>
    </row>
    <row r="518" spans="1:15" x14ac:dyDescent="0.2">
      <c r="A518" s="51" t="s">
        <v>3567</v>
      </c>
      <c r="B518" s="51" t="s">
        <v>3568</v>
      </c>
      <c r="C518" s="51" t="s">
        <v>62</v>
      </c>
      <c r="D518" s="51" t="s">
        <v>1873</v>
      </c>
      <c r="E518" s="51" t="s">
        <v>1872</v>
      </c>
      <c r="F518" s="52">
        <v>4.6153000000000004</v>
      </c>
      <c r="G518" s="52">
        <v>0</v>
      </c>
      <c r="H518" s="52">
        <v>0</v>
      </c>
      <c r="I518" s="52">
        <v>0</v>
      </c>
      <c r="J518" s="51">
        <v>0</v>
      </c>
      <c r="K518" s="54">
        <v>0</v>
      </c>
      <c r="L518" s="51">
        <v>0</v>
      </c>
      <c r="M518" s="54">
        <v>0</v>
      </c>
      <c r="N518" s="53">
        <f t="shared" si="16"/>
        <v>0</v>
      </c>
      <c r="O518" s="53">
        <f t="shared" si="17"/>
        <v>0</v>
      </c>
    </row>
    <row r="519" spans="1:15" x14ac:dyDescent="0.2">
      <c r="A519" s="51" t="s">
        <v>3567</v>
      </c>
      <c r="B519" s="51" t="s">
        <v>3568</v>
      </c>
      <c r="C519" s="51" t="s">
        <v>84</v>
      </c>
      <c r="D519" s="51" t="s">
        <v>3078</v>
      </c>
      <c r="E519" s="51" t="s">
        <v>3077</v>
      </c>
      <c r="F519" s="52">
        <v>7194.3175000000001</v>
      </c>
      <c r="G519" s="52">
        <v>100</v>
      </c>
      <c r="H519" s="52">
        <v>3900</v>
      </c>
      <c r="I519" s="52">
        <v>4000</v>
      </c>
      <c r="J519" s="51">
        <v>0</v>
      </c>
      <c r="K519" s="54">
        <v>0</v>
      </c>
      <c r="L519" s="51">
        <v>1</v>
      </c>
      <c r="M519" s="54">
        <v>15000</v>
      </c>
      <c r="N519" s="53">
        <f t="shared" si="16"/>
        <v>-15000</v>
      </c>
      <c r="O519" s="53">
        <f t="shared" si="17"/>
        <v>15000</v>
      </c>
    </row>
    <row r="520" spans="1:15" x14ac:dyDescent="0.2">
      <c r="A520" s="51" t="s">
        <v>3567</v>
      </c>
      <c r="B520" s="51" t="s">
        <v>3568</v>
      </c>
      <c r="C520" s="51" t="s">
        <v>67</v>
      </c>
      <c r="D520" s="51" t="s">
        <v>762</v>
      </c>
      <c r="E520" s="51" t="s">
        <v>761</v>
      </c>
      <c r="F520" s="52">
        <v>12671.542299999999</v>
      </c>
      <c r="G520" s="52">
        <v>910</v>
      </c>
      <c r="H520" s="52">
        <v>4300</v>
      </c>
      <c r="I520" s="52">
        <v>5210</v>
      </c>
      <c r="J520" s="51">
        <v>1</v>
      </c>
      <c r="K520" s="54">
        <v>5000</v>
      </c>
      <c r="L520" s="51">
        <v>0</v>
      </c>
      <c r="M520" s="54">
        <v>0</v>
      </c>
      <c r="N520" s="53">
        <f t="shared" si="16"/>
        <v>5000</v>
      </c>
      <c r="O520" s="53">
        <f t="shared" si="17"/>
        <v>-5000</v>
      </c>
    </row>
    <row r="521" spans="1:15" x14ac:dyDescent="0.2">
      <c r="A521" s="51" t="s">
        <v>3567</v>
      </c>
      <c r="B521" s="51" t="s">
        <v>3568</v>
      </c>
      <c r="C521" s="51" t="s">
        <v>87</v>
      </c>
      <c r="D521" s="51" t="s">
        <v>2142</v>
      </c>
      <c r="E521" s="51" t="s">
        <v>2141</v>
      </c>
      <c r="F521" s="52">
        <v>18462.545495493108</v>
      </c>
      <c r="G521" s="52">
        <v>3950</v>
      </c>
      <c r="H521" s="52">
        <v>2020</v>
      </c>
      <c r="I521" s="52">
        <v>5970</v>
      </c>
      <c r="J521" s="51">
        <v>2</v>
      </c>
      <c r="K521" s="54">
        <v>11000</v>
      </c>
      <c r="L521" s="51">
        <v>1</v>
      </c>
      <c r="M521" s="54">
        <v>6000</v>
      </c>
      <c r="N521" s="53">
        <f t="shared" si="16"/>
        <v>5000</v>
      </c>
      <c r="O521" s="53">
        <f t="shared" si="17"/>
        <v>-5000</v>
      </c>
    </row>
    <row r="522" spans="1:15" x14ac:dyDescent="0.2">
      <c r="A522" s="51" t="s">
        <v>3567</v>
      </c>
      <c r="B522" s="51" t="s">
        <v>3568</v>
      </c>
      <c r="C522" s="51" t="s">
        <v>52</v>
      </c>
      <c r="D522" s="51" t="s">
        <v>530</v>
      </c>
      <c r="E522" s="51" t="s">
        <v>529</v>
      </c>
      <c r="F522" s="52">
        <v>43930.026327521657</v>
      </c>
      <c r="G522" s="52">
        <v>1090</v>
      </c>
      <c r="H522" s="52">
        <v>150</v>
      </c>
      <c r="I522" s="52">
        <v>1240</v>
      </c>
      <c r="J522" s="51">
        <v>1</v>
      </c>
      <c r="K522" s="54">
        <v>5000</v>
      </c>
      <c r="L522" s="51">
        <v>1</v>
      </c>
      <c r="M522" s="54">
        <v>13000</v>
      </c>
      <c r="N522" s="53">
        <f t="shared" si="16"/>
        <v>-8000</v>
      </c>
      <c r="O522" s="53">
        <f t="shared" si="17"/>
        <v>8000</v>
      </c>
    </row>
    <row r="523" spans="1:15" x14ac:dyDescent="0.2">
      <c r="A523" s="51" t="s">
        <v>3567</v>
      </c>
      <c r="B523" s="51" t="s">
        <v>3568</v>
      </c>
      <c r="C523" s="51" t="s">
        <v>69</v>
      </c>
      <c r="D523" s="51" t="s">
        <v>1341</v>
      </c>
      <c r="E523" s="51" t="s">
        <v>1340</v>
      </c>
      <c r="F523" s="52">
        <v>0.29465000000000002</v>
      </c>
      <c r="G523" s="52">
        <v>0</v>
      </c>
      <c r="H523" s="52">
        <v>0</v>
      </c>
      <c r="I523" s="52">
        <v>0</v>
      </c>
      <c r="J523" s="51">
        <v>0</v>
      </c>
      <c r="K523" s="54">
        <v>0</v>
      </c>
      <c r="L523" s="51">
        <v>0</v>
      </c>
      <c r="M523" s="54">
        <v>0</v>
      </c>
      <c r="N523" s="53">
        <f t="shared" si="16"/>
        <v>0</v>
      </c>
      <c r="O523" s="53">
        <f t="shared" si="17"/>
        <v>0</v>
      </c>
    </row>
    <row r="524" spans="1:15" x14ac:dyDescent="0.2">
      <c r="A524" s="51" t="s">
        <v>3567</v>
      </c>
      <c r="B524" s="51" t="s">
        <v>3568</v>
      </c>
      <c r="C524" s="51" t="s">
        <v>93</v>
      </c>
      <c r="D524" s="51" t="s">
        <v>784</v>
      </c>
      <c r="E524" s="51" t="s">
        <v>783</v>
      </c>
      <c r="F524" s="52">
        <v>1266.2697403301599</v>
      </c>
      <c r="G524" s="52">
        <v>9515</v>
      </c>
      <c r="H524" s="52">
        <v>2130</v>
      </c>
      <c r="I524" s="52">
        <v>11645</v>
      </c>
      <c r="J524" s="51">
        <v>1</v>
      </c>
      <c r="K524" s="54">
        <v>10000</v>
      </c>
      <c r="L524" s="51">
        <v>1</v>
      </c>
      <c r="M524" s="54">
        <v>3000</v>
      </c>
      <c r="N524" s="53">
        <f t="shared" si="16"/>
        <v>7000</v>
      </c>
      <c r="O524" s="53">
        <f t="shared" si="17"/>
        <v>-7000</v>
      </c>
    </row>
    <row r="525" spans="1:15" x14ac:dyDescent="0.2">
      <c r="A525" s="51" t="s">
        <v>3567</v>
      </c>
      <c r="B525" s="51" t="s">
        <v>3568</v>
      </c>
      <c r="C525" s="51" t="s">
        <v>93</v>
      </c>
      <c r="D525" s="51" t="s">
        <v>2324</v>
      </c>
      <c r="E525" s="51" t="s">
        <v>509</v>
      </c>
      <c r="F525" s="52">
        <v>3387.9364</v>
      </c>
      <c r="G525" s="52">
        <v>19705</v>
      </c>
      <c r="H525" s="52">
        <v>22101</v>
      </c>
      <c r="I525" s="52">
        <v>41806</v>
      </c>
      <c r="J525" s="51">
        <v>0</v>
      </c>
      <c r="K525" s="54">
        <v>0</v>
      </c>
      <c r="L525" s="51">
        <v>2</v>
      </c>
      <c r="M525" s="54">
        <v>15000</v>
      </c>
      <c r="N525" s="53">
        <f t="shared" si="16"/>
        <v>-15000</v>
      </c>
      <c r="O525" s="53">
        <f t="shared" si="17"/>
        <v>15000</v>
      </c>
    </row>
    <row r="526" spans="1:15" x14ac:dyDescent="0.2">
      <c r="A526" s="51" t="s">
        <v>3567</v>
      </c>
      <c r="B526" s="51" t="s">
        <v>3568</v>
      </c>
      <c r="C526" s="51" t="s">
        <v>60</v>
      </c>
      <c r="D526" s="51" t="s">
        <v>3423</v>
      </c>
      <c r="E526" s="51" t="s">
        <v>3422</v>
      </c>
      <c r="F526" s="52">
        <v>11387.4089</v>
      </c>
      <c r="G526" s="52">
        <v>14610</v>
      </c>
      <c r="H526" s="52">
        <v>17860</v>
      </c>
      <c r="I526" s="52">
        <v>32470</v>
      </c>
      <c r="J526" s="51">
        <v>0</v>
      </c>
      <c r="K526" s="54">
        <v>0</v>
      </c>
      <c r="L526" s="51">
        <v>1</v>
      </c>
      <c r="M526" s="54">
        <v>15000</v>
      </c>
      <c r="N526" s="53">
        <f t="shared" si="16"/>
        <v>-15000</v>
      </c>
      <c r="O526" s="53">
        <f t="shared" si="17"/>
        <v>15000</v>
      </c>
    </row>
    <row r="527" spans="1:15" x14ac:dyDescent="0.2">
      <c r="A527" s="51" t="s">
        <v>3567</v>
      </c>
      <c r="B527" s="51" t="s">
        <v>3568</v>
      </c>
      <c r="C527" s="51" t="s">
        <v>52</v>
      </c>
      <c r="D527" s="51" t="s">
        <v>1054</v>
      </c>
      <c r="E527" s="51" t="s">
        <v>1053</v>
      </c>
      <c r="F527" s="52">
        <v>502.98669999999998</v>
      </c>
      <c r="G527" s="52">
        <v>0</v>
      </c>
      <c r="H527" s="52">
        <v>6270</v>
      </c>
      <c r="I527" s="52">
        <v>6270</v>
      </c>
      <c r="J527" s="51">
        <v>0</v>
      </c>
      <c r="K527" s="54">
        <v>0</v>
      </c>
      <c r="L527" s="51">
        <v>1</v>
      </c>
      <c r="M527" s="54">
        <v>7000</v>
      </c>
      <c r="N527" s="53">
        <f t="shared" si="16"/>
        <v>-7000</v>
      </c>
      <c r="O527" s="53">
        <f t="shared" si="17"/>
        <v>7000</v>
      </c>
    </row>
    <row r="528" spans="1:15" x14ac:dyDescent="0.2">
      <c r="A528" s="51" t="s">
        <v>3567</v>
      </c>
      <c r="B528" s="51" t="s">
        <v>3568</v>
      </c>
      <c r="C528" s="51" t="s">
        <v>84</v>
      </c>
      <c r="D528" s="51" t="s">
        <v>1703</v>
      </c>
      <c r="E528" s="51" t="s">
        <v>1702</v>
      </c>
      <c r="F528" s="52">
        <v>95.189058148740855</v>
      </c>
      <c r="G528" s="52">
        <v>0</v>
      </c>
      <c r="H528" s="52">
        <v>0</v>
      </c>
      <c r="I528" s="52">
        <v>0</v>
      </c>
      <c r="J528" s="51">
        <v>0</v>
      </c>
      <c r="K528" s="54">
        <v>0</v>
      </c>
      <c r="L528" s="51">
        <v>0</v>
      </c>
      <c r="M528" s="54">
        <v>0</v>
      </c>
      <c r="N528" s="53">
        <f t="shared" si="16"/>
        <v>0</v>
      </c>
      <c r="O528" s="53">
        <f t="shared" si="17"/>
        <v>0</v>
      </c>
    </row>
    <row r="529" spans="1:15" x14ac:dyDescent="0.2">
      <c r="A529" s="51" t="s">
        <v>3567</v>
      </c>
      <c r="B529" s="51" t="s">
        <v>3568</v>
      </c>
      <c r="C529" s="51" t="s">
        <v>79</v>
      </c>
      <c r="D529" s="51" t="s">
        <v>3075</v>
      </c>
      <c r="E529" s="51" t="s">
        <v>3074</v>
      </c>
      <c r="F529" s="52">
        <v>19.4846</v>
      </c>
      <c r="G529" s="52">
        <v>0</v>
      </c>
      <c r="H529" s="52">
        <v>0</v>
      </c>
      <c r="I529" s="52">
        <v>0</v>
      </c>
      <c r="J529" s="51">
        <v>0</v>
      </c>
      <c r="K529" s="54">
        <v>0</v>
      </c>
      <c r="L529" s="51">
        <v>0</v>
      </c>
      <c r="M529" s="54">
        <v>0</v>
      </c>
      <c r="N529" s="53">
        <f t="shared" si="16"/>
        <v>0</v>
      </c>
      <c r="O529" s="53">
        <f t="shared" si="17"/>
        <v>0</v>
      </c>
    </row>
    <row r="530" spans="1:15" x14ac:dyDescent="0.2">
      <c r="A530" s="51" t="s">
        <v>3567</v>
      </c>
      <c r="B530" s="51" t="s">
        <v>3568</v>
      </c>
      <c r="C530" s="51" t="s">
        <v>73</v>
      </c>
      <c r="D530" s="51" t="s">
        <v>398</v>
      </c>
      <c r="E530" s="51" t="s">
        <v>397</v>
      </c>
      <c r="F530" s="52">
        <v>4347.5663775139928</v>
      </c>
      <c r="G530" s="52">
        <v>0</v>
      </c>
      <c r="H530" s="52">
        <v>9240</v>
      </c>
      <c r="I530" s="52">
        <v>9240</v>
      </c>
      <c r="J530" s="51">
        <v>0</v>
      </c>
      <c r="K530" s="54">
        <v>0</v>
      </c>
      <c r="L530" s="51">
        <v>1</v>
      </c>
      <c r="M530" s="54">
        <v>5000</v>
      </c>
      <c r="N530" s="53">
        <f t="shared" si="16"/>
        <v>-5000</v>
      </c>
      <c r="O530" s="53">
        <f t="shared" si="17"/>
        <v>5000</v>
      </c>
    </row>
    <row r="531" spans="1:15" x14ac:dyDescent="0.2">
      <c r="A531" s="51" t="s">
        <v>3567</v>
      </c>
      <c r="B531" s="51" t="s">
        <v>3568</v>
      </c>
      <c r="C531" s="51" t="s">
        <v>59</v>
      </c>
      <c r="D531" s="51" t="s">
        <v>3452</v>
      </c>
      <c r="E531" s="51" t="s">
        <v>3451</v>
      </c>
      <c r="F531" s="52">
        <v>11038.96861755889</v>
      </c>
      <c r="G531" s="52">
        <v>0</v>
      </c>
      <c r="H531" s="52">
        <v>23000</v>
      </c>
      <c r="I531" s="52">
        <v>23000</v>
      </c>
      <c r="J531" s="51">
        <v>0</v>
      </c>
      <c r="K531" s="54">
        <v>0</v>
      </c>
      <c r="L531" s="51">
        <v>1</v>
      </c>
      <c r="M531" s="54">
        <v>20000</v>
      </c>
      <c r="N531" s="53">
        <f t="shared" si="16"/>
        <v>-20000</v>
      </c>
      <c r="O531" s="53">
        <f t="shared" si="17"/>
        <v>20000</v>
      </c>
    </row>
    <row r="532" spans="1:15" x14ac:dyDescent="0.2">
      <c r="A532" s="51" t="s">
        <v>3567</v>
      </c>
      <c r="B532" s="51" t="s">
        <v>3568</v>
      </c>
      <c r="C532" s="51" t="s">
        <v>93</v>
      </c>
      <c r="D532" s="51" t="s">
        <v>3362</v>
      </c>
      <c r="E532" s="51" t="s">
        <v>3361</v>
      </c>
      <c r="F532" s="52">
        <v>1162.9021332223019</v>
      </c>
      <c r="G532" s="52">
        <v>5040</v>
      </c>
      <c r="H532" s="52">
        <v>0</v>
      </c>
      <c r="I532" s="52">
        <v>5040</v>
      </c>
      <c r="J532" s="51">
        <v>1</v>
      </c>
      <c r="K532" s="54">
        <v>5000</v>
      </c>
      <c r="L532" s="51">
        <v>0</v>
      </c>
      <c r="M532" s="54">
        <v>0</v>
      </c>
      <c r="N532" s="53">
        <f t="shared" si="16"/>
        <v>5000</v>
      </c>
      <c r="O532" s="53">
        <f t="shared" si="17"/>
        <v>-5000</v>
      </c>
    </row>
    <row r="533" spans="1:15" x14ac:dyDescent="0.2">
      <c r="A533" s="51" t="s">
        <v>3567</v>
      </c>
      <c r="B533" s="51" t="s">
        <v>3568</v>
      </c>
      <c r="C533" s="51" t="s">
        <v>74</v>
      </c>
      <c r="D533" s="51" t="s">
        <v>2323</v>
      </c>
      <c r="E533" s="51" t="s">
        <v>2322</v>
      </c>
      <c r="F533" s="52">
        <v>3849.4664432740351</v>
      </c>
      <c r="G533" s="52">
        <v>5680</v>
      </c>
      <c r="H533" s="52">
        <v>12620</v>
      </c>
      <c r="I533" s="52">
        <v>18300</v>
      </c>
      <c r="J533" s="51">
        <v>1</v>
      </c>
      <c r="K533" s="54">
        <v>5000</v>
      </c>
      <c r="L533" s="51">
        <v>1</v>
      </c>
      <c r="M533" s="54">
        <v>15000</v>
      </c>
      <c r="N533" s="53">
        <f t="shared" si="16"/>
        <v>-10000</v>
      </c>
      <c r="O533" s="53">
        <f t="shared" si="17"/>
        <v>10000</v>
      </c>
    </row>
    <row r="534" spans="1:15" x14ac:dyDescent="0.2">
      <c r="A534" s="51" t="s">
        <v>3567</v>
      </c>
      <c r="B534" s="51" t="s">
        <v>3568</v>
      </c>
      <c r="C534" s="51" t="s">
        <v>80</v>
      </c>
      <c r="D534" s="51" t="s">
        <v>1042</v>
      </c>
      <c r="E534" s="51" t="s">
        <v>1041</v>
      </c>
      <c r="F534" s="52">
        <v>12077.30947187333</v>
      </c>
      <c r="G534" s="52">
        <v>4795</v>
      </c>
      <c r="H534" s="52">
        <v>27860</v>
      </c>
      <c r="I534" s="52">
        <v>32655</v>
      </c>
      <c r="J534" s="51">
        <v>0</v>
      </c>
      <c r="K534" s="54">
        <v>0</v>
      </c>
      <c r="L534" s="51">
        <v>3</v>
      </c>
      <c r="M534" s="54">
        <v>45000</v>
      </c>
      <c r="N534" s="53">
        <f t="shared" si="16"/>
        <v>-45000</v>
      </c>
      <c r="O534" s="53">
        <f t="shared" si="17"/>
        <v>45000</v>
      </c>
    </row>
    <row r="535" spans="1:15" x14ac:dyDescent="0.2">
      <c r="A535" s="51" t="s">
        <v>3567</v>
      </c>
      <c r="B535" s="51" t="s">
        <v>3568</v>
      </c>
      <c r="C535" s="51" t="s">
        <v>52</v>
      </c>
      <c r="D535" s="51" t="s">
        <v>335</v>
      </c>
      <c r="E535" s="51" t="s">
        <v>334</v>
      </c>
      <c r="F535" s="52">
        <v>16820.224000000901</v>
      </c>
      <c r="G535" s="52">
        <v>6590</v>
      </c>
      <c r="H535" s="52">
        <v>17080</v>
      </c>
      <c r="I535" s="52">
        <v>23670</v>
      </c>
      <c r="J535" s="51">
        <v>1</v>
      </c>
      <c r="K535" s="54">
        <v>5000</v>
      </c>
      <c r="L535" s="51">
        <v>0</v>
      </c>
      <c r="M535" s="54">
        <v>0</v>
      </c>
      <c r="N535" s="53">
        <f t="shared" si="16"/>
        <v>5000</v>
      </c>
      <c r="O535" s="53">
        <f t="shared" si="17"/>
        <v>-5000</v>
      </c>
    </row>
    <row r="536" spans="1:15" x14ac:dyDescent="0.2">
      <c r="A536" s="51" t="s">
        <v>3567</v>
      </c>
      <c r="B536" s="51" t="s">
        <v>3568</v>
      </c>
      <c r="C536" s="51" t="s">
        <v>70</v>
      </c>
      <c r="D536" s="51" t="s">
        <v>158</v>
      </c>
      <c r="E536" s="51" t="s">
        <v>157</v>
      </c>
      <c r="F536" s="52">
        <v>918.59026996652108</v>
      </c>
      <c r="G536" s="52">
        <v>1200</v>
      </c>
      <c r="H536" s="52">
        <v>100</v>
      </c>
      <c r="I536" s="52">
        <v>1300</v>
      </c>
      <c r="J536" s="51">
        <v>0</v>
      </c>
      <c r="K536" s="54">
        <v>0</v>
      </c>
      <c r="L536" s="51">
        <v>0</v>
      </c>
      <c r="M536" s="54">
        <v>0</v>
      </c>
      <c r="N536" s="53">
        <f t="shared" si="16"/>
        <v>0</v>
      </c>
      <c r="O536" s="53">
        <f t="shared" si="17"/>
        <v>0</v>
      </c>
    </row>
    <row r="537" spans="1:15" x14ac:dyDescent="0.2">
      <c r="A537" s="51" t="s">
        <v>3567</v>
      </c>
      <c r="B537" s="51" t="s">
        <v>3568</v>
      </c>
      <c r="C537" s="51" t="s">
        <v>86</v>
      </c>
      <c r="D537" s="51" t="s">
        <v>3281</v>
      </c>
      <c r="E537" s="51" t="s">
        <v>3280</v>
      </c>
      <c r="F537" s="52">
        <v>8504.830475942561</v>
      </c>
      <c r="G537" s="52">
        <v>200</v>
      </c>
      <c r="H537" s="52">
        <v>49330</v>
      </c>
      <c r="I537" s="52">
        <v>49530</v>
      </c>
      <c r="J537" s="51">
        <v>0</v>
      </c>
      <c r="K537" s="54">
        <v>0</v>
      </c>
      <c r="L537" s="51">
        <v>3</v>
      </c>
      <c r="M537" s="54">
        <v>70000</v>
      </c>
      <c r="N537" s="53">
        <f t="shared" si="16"/>
        <v>-70000</v>
      </c>
      <c r="O537" s="53">
        <f t="shared" si="17"/>
        <v>70000</v>
      </c>
    </row>
    <row r="538" spans="1:15" x14ac:dyDescent="0.2">
      <c r="A538" s="51" t="s">
        <v>3567</v>
      </c>
      <c r="B538" s="51" t="s">
        <v>3568</v>
      </c>
      <c r="C538" s="51" t="s">
        <v>71</v>
      </c>
      <c r="D538" s="51" t="s">
        <v>3830</v>
      </c>
      <c r="E538" s="51" t="s">
        <v>3831</v>
      </c>
      <c r="F538" s="52">
        <v>33.011299999999999</v>
      </c>
      <c r="G538" s="52">
        <v>0</v>
      </c>
      <c r="H538" s="52">
        <v>0</v>
      </c>
      <c r="I538" s="52">
        <v>0</v>
      </c>
      <c r="J538" s="51">
        <v>0</v>
      </c>
      <c r="K538" s="54">
        <v>0</v>
      </c>
      <c r="L538" s="51">
        <v>0</v>
      </c>
      <c r="M538" s="54">
        <v>0</v>
      </c>
      <c r="N538" s="53">
        <f t="shared" si="16"/>
        <v>0</v>
      </c>
      <c r="O538" s="53">
        <f t="shared" si="17"/>
        <v>0</v>
      </c>
    </row>
    <row r="539" spans="1:15" x14ac:dyDescent="0.2">
      <c r="A539" s="51" t="s">
        <v>3567</v>
      </c>
      <c r="B539" s="51" t="s">
        <v>3568</v>
      </c>
      <c r="C539" s="51" t="s">
        <v>3647</v>
      </c>
      <c r="D539" s="51" t="s">
        <v>3828</v>
      </c>
      <c r="E539" s="51" t="s">
        <v>3829</v>
      </c>
      <c r="F539" s="52">
        <v>6.9138043615835523</v>
      </c>
      <c r="G539" s="52">
        <v>0</v>
      </c>
      <c r="H539" s="52">
        <v>0</v>
      </c>
      <c r="I539" s="52">
        <v>0</v>
      </c>
      <c r="J539" s="51">
        <v>0</v>
      </c>
      <c r="K539" s="54">
        <v>0</v>
      </c>
      <c r="L539" s="51">
        <v>0</v>
      </c>
      <c r="M539" s="54">
        <v>0</v>
      </c>
      <c r="N539" s="53">
        <f t="shared" si="16"/>
        <v>0</v>
      </c>
      <c r="O539" s="53">
        <f t="shared" si="17"/>
        <v>0</v>
      </c>
    </row>
    <row r="540" spans="1:15" x14ac:dyDescent="0.2">
      <c r="A540" s="51" t="s">
        <v>3567</v>
      </c>
      <c r="B540" s="51" t="s">
        <v>3568</v>
      </c>
      <c r="C540" s="51" t="s">
        <v>54</v>
      </c>
      <c r="D540" s="51" t="s">
        <v>122</v>
      </c>
      <c r="E540" s="51" t="s">
        <v>121</v>
      </c>
      <c r="F540" s="52">
        <v>7352.7067367837108</v>
      </c>
      <c r="G540" s="52">
        <v>3900</v>
      </c>
      <c r="H540" s="52">
        <v>20250</v>
      </c>
      <c r="I540" s="52">
        <v>24150</v>
      </c>
      <c r="J540" s="51">
        <v>0</v>
      </c>
      <c r="K540" s="54">
        <v>0</v>
      </c>
      <c r="L540" s="51">
        <v>1</v>
      </c>
      <c r="M540" s="54">
        <v>15000</v>
      </c>
      <c r="N540" s="53">
        <f t="shared" si="16"/>
        <v>-15000</v>
      </c>
      <c r="O540" s="53">
        <f t="shared" si="17"/>
        <v>15000</v>
      </c>
    </row>
    <row r="541" spans="1:15" x14ac:dyDescent="0.2">
      <c r="A541" s="51" t="s">
        <v>3567</v>
      </c>
      <c r="B541" s="51" t="s">
        <v>3568</v>
      </c>
      <c r="C541" s="51" t="s">
        <v>3876</v>
      </c>
      <c r="D541" s="51" t="s">
        <v>3877</v>
      </c>
      <c r="E541" s="51" t="s">
        <v>3878</v>
      </c>
      <c r="F541" s="52">
        <v>4.2563132881484682</v>
      </c>
      <c r="G541" s="52">
        <v>0</v>
      </c>
      <c r="H541" s="52">
        <v>0</v>
      </c>
      <c r="I541" s="52">
        <v>0</v>
      </c>
      <c r="J541" s="51">
        <v>0</v>
      </c>
      <c r="K541" s="54">
        <v>0</v>
      </c>
      <c r="L541" s="51">
        <v>0</v>
      </c>
      <c r="M541" s="54">
        <v>0</v>
      </c>
      <c r="N541" s="53">
        <f t="shared" si="16"/>
        <v>0</v>
      </c>
      <c r="O541" s="53">
        <f t="shared" si="17"/>
        <v>0</v>
      </c>
    </row>
    <row r="542" spans="1:15" x14ac:dyDescent="0.2">
      <c r="A542" s="51" t="s">
        <v>3567</v>
      </c>
      <c r="B542" s="51" t="s">
        <v>3568</v>
      </c>
      <c r="C542" s="51" t="s">
        <v>61</v>
      </c>
      <c r="D542" s="51" t="s">
        <v>4823</v>
      </c>
      <c r="E542" s="51" t="s">
        <v>4824</v>
      </c>
      <c r="F542" s="52">
        <v>6704.7776000000003</v>
      </c>
      <c r="G542" s="52">
        <v>22730</v>
      </c>
      <c r="H542" s="52">
        <v>1500</v>
      </c>
      <c r="I542" s="52">
        <v>24230</v>
      </c>
      <c r="J542" s="51">
        <v>3</v>
      </c>
      <c r="K542" s="54">
        <v>20000</v>
      </c>
      <c r="L542" s="51">
        <v>0</v>
      </c>
      <c r="M542" s="54">
        <v>0</v>
      </c>
      <c r="N542" s="53">
        <f t="shared" si="16"/>
        <v>20000</v>
      </c>
      <c r="O542" s="53">
        <f t="shared" si="17"/>
        <v>-20000</v>
      </c>
    </row>
    <row r="543" spans="1:15" x14ac:dyDescent="0.2">
      <c r="A543" s="51" t="s">
        <v>3567</v>
      </c>
      <c r="B543" s="51" t="s">
        <v>3568</v>
      </c>
      <c r="C543" s="51" t="s">
        <v>52</v>
      </c>
      <c r="D543" s="51" t="s">
        <v>3384</v>
      </c>
      <c r="E543" s="51" t="s">
        <v>3383</v>
      </c>
      <c r="F543" s="52">
        <v>19847.657200000001</v>
      </c>
      <c r="G543" s="52">
        <v>0</v>
      </c>
      <c r="H543" s="52">
        <v>0</v>
      </c>
      <c r="I543" s="52">
        <v>0</v>
      </c>
      <c r="J543" s="51">
        <v>0</v>
      </c>
      <c r="K543" s="54">
        <v>0</v>
      </c>
      <c r="L543" s="51">
        <v>1</v>
      </c>
      <c r="M543" s="54">
        <v>10000</v>
      </c>
      <c r="N543" s="53">
        <f t="shared" si="16"/>
        <v>-10000</v>
      </c>
      <c r="O543" s="53">
        <f t="shared" si="17"/>
        <v>10000</v>
      </c>
    </row>
    <row r="544" spans="1:15" x14ac:dyDescent="0.2">
      <c r="A544" s="51" t="s">
        <v>3567</v>
      </c>
      <c r="B544" s="51" t="s">
        <v>3568</v>
      </c>
      <c r="C544" s="51" t="s">
        <v>3786</v>
      </c>
      <c r="D544" s="51" t="s">
        <v>3823</v>
      </c>
      <c r="E544" s="51" t="s">
        <v>3824</v>
      </c>
      <c r="F544" s="52">
        <v>1005.9105832934</v>
      </c>
      <c r="G544" s="52">
        <v>0</v>
      </c>
      <c r="H544" s="52">
        <v>0</v>
      </c>
      <c r="I544" s="52">
        <v>0</v>
      </c>
      <c r="J544" s="51">
        <v>0</v>
      </c>
      <c r="K544" s="54">
        <v>0</v>
      </c>
      <c r="L544" s="51">
        <v>0</v>
      </c>
      <c r="M544" s="54">
        <v>0</v>
      </c>
      <c r="N544" s="53">
        <f t="shared" si="16"/>
        <v>0</v>
      </c>
      <c r="O544" s="53">
        <f t="shared" si="17"/>
        <v>0</v>
      </c>
    </row>
    <row r="545" spans="1:15" x14ac:dyDescent="0.2">
      <c r="A545" s="51" t="s">
        <v>3567</v>
      </c>
      <c r="B545" s="51" t="s">
        <v>3568</v>
      </c>
      <c r="C545" s="51" t="s">
        <v>62</v>
      </c>
      <c r="D545" s="51" t="s">
        <v>1671</v>
      </c>
      <c r="E545" s="51" t="s">
        <v>1670</v>
      </c>
      <c r="F545" s="52">
        <v>12835.48581870952</v>
      </c>
      <c r="G545" s="52">
        <v>960</v>
      </c>
      <c r="H545" s="52">
        <v>25110</v>
      </c>
      <c r="I545" s="52">
        <v>26070</v>
      </c>
      <c r="J545" s="51">
        <v>0</v>
      </c>
      <c r="K545" s="54">
        <v>0</v>
      </c>
      <c r="L545" s="51">
        <v>1</v>
      </c>
      <c r="M545" s="54">
        <v>26000</v>
      </c>
      <c r="N545" s="53">
        <f t="shared" si="16"/>
        <v>-26000</v>
      </c>
      <c r="O545" s="53">
        <f t="shared" si="17"/>
        <v>26000</v>
      </c>
    </row>
    <row r="546" spans="1:15" x14ac:dyDescent="0.2">
      <c r="A546" s="51" t="s">
        <v>3567</v>
      </c>
      <c r="B546" s="51" t="s">
        <v>3568</v>
      </c>
      <c r="C546" s="51" t="s">
        <v>60</v>
      </c>
      <c r="D546" s="51" t="s">
        <v>2358</v>
      </c>
      <c r="E546" s="51" t="s">
        <v>2357</v>
      </c>
      <c r="F546" s="52">
        <v>17218.244841030129</v>
      </c>
      <c r="G546" s="52">
        <v>2910</v>
      </c>
      <c r="H546" s="52">
        <v>17360</v>
      </c>
      <c r="I546" s="52">
        <v>20270</v>
      </c>
      <c r="J546" s="51">
        <v>0</v>
      </c>
      <c r="K546" s="54">
        <v>0</v>
      </c>
      <c r="L546" s="51">
        <v>1</v>
      </c>
      <c r="M546" s="54">
        <v>20000</v>
      </c>
      <c r="N546" s="53">
        <f t="shared" si="16"/>
        <v>-20000</v>
      </c>
      <c r="O546" s="53">
        <f t="shared" si="17"/>
        <v>20000</v>
      </c>
    </row>
    <row r="547" spans="1:15" x14ac:dyDescent="0.2">
      <c r="A547" s="51" t="s">
        <v>3567</v>
      </c>
      <c r="B547" s="51" t="s">
        <v>3568</v>
      </c>
      <c r="C547" s="51" t="s">
        <v>64</v>
      </c>
      <c r="D547" s="51" t="s">
        <v>319</v>
      </c>
      <c r="E547" s="51" t="s">
        <v>318</v>
      </c>
      <c r="F547" s="52">
        <v>0.84075</v>
      </c>
      <c r="G547" s="52">
        <v>0</v>
      </c>
      <c r="H547" s="52">
        <v>0</v>
      </c>
      <c r="I547" s="52">
        <v>0</v>
      </c>
      <c r="J547" s="51">
        <v>0</v>
      </c>
      <c r="K547" s="54">
        <v>0</v>
      </c>
      <c r="L547" s="51">
        <v>0</v>
      </c>
      <c r="M547" s="54">
        <v>0</v>
      </c>
      <c r="N547" s="53">
        <f t="shared" si="16"/>
        <v>0</v>
      </c>
      <c r="O547" s="53">
        <f t="shared" si="17"/>
        <v>0</v>
      </c>
    </row>
    <row r="548" spans="1:15" x14ac:dyDescent="0.2">
      <c r="A548" s="51" t="s">
        <v>3567</v>
      </c>
      <c r="B548" s="51" t="s">
        <v>3568</v>
      </c>
      <c r="C548" s="51" t="s">
        <v>79</v>
      </c>
      <c r="D548" s="51" t="s">
        <v>1820</v>
      </c>
      <c r="E548" s="51" t="s">
        <v>1819</v>
      </c>
      <c r="F548" s="52">
        <v>18415.0766043478</v>
      </c>
      <c r="G548" s="52">
        <v>500</v>
      </c>
      <c r="H548" s="52">
        <v>14160</v>
      </c>
      <c r="I548" s="52">
        <v>14660</v>
      </c>
      <c r="J548" s="51">
        <v>1</v>
      </c>
      <c r="K548" s="54">
        <v>5000</v>
      </c>
      <c r="L548" s="51">
        <v>0</v>
      </c>
      <c r="M548" s="54">
        <v>0</v>
      </c>
      <c r="N548" s="53">
        <f t="shared" si="16"/>
        <v>5000</v>
      </c>
      <c r="O548" s="53">
        <f t="shared" si="17"/>
        <v>-5000</v>
      </c>
    </row>
    <row r="549" spans="1:15" x14ac:dyDescent="0.2">
      <c r="A549" s="51" t="s">
        <v>3567</v>
      </c>
      <c r="B549" s="51" t="s">
        <v>3568</v>
      </c>
      <c r="C549" s="51" t="s">
        <v>3610</v>
      </c>
      <c r="D549" s="51" t="s">
        <v>3871</v>
      </c>
      <c r="E549" s="51" t="s">
        <v>3872</v>
      </c>
      <c r="F549" s="52">
        <v>8.621901719751099</v>
      </c>
      <c r="G549" s="52">
        <v>0</v>
      </c>
      <c r="H549" s="52">
        <v>0</v>
      </c>
      <c r="I549" s="52">
        <v>0</v>
      </c>
      <c r="J549" s="51">
        <v>0</v>
      </c>
      <c r="K549" s="54">
        <v>0</v>
      </c>
      <c r="L549" s="51">
        <v>0</v>
      </c>
      <c r="M549" s="54">
        <v>0</v>
      </c>
      <c r="N549" s="53">
        <f t="shared" si="16"/>
        <v>0</v>
      </c>
      <c r="O549" s="53">
        <f t="shared" si="17"/>
        <v>0</v>
      </c>
    </row>
    <row r="550" spans="1:15" x14ac:dyDescent="0.2">
      <c r="A550" s="51" t="s">
        <v>3567</v>
      </c>
      <c r="B550" s="51" t="s">
        <v>3568</v>
      </c>
      <c r="C550" s="51" t="s">
        <v>59</v>
      </c>
      <c r="D550" s="51" t="s">
        <v>3349</v>
      </c>
      <c r="E550" s="51" t="s">
        <v>3348</v>
      </c>
      <c r="F550" s="52">
        <v>6318.1434723678731</v>
      </c>
      <c r="G550" s="52">
        <v>3025</v>
      </c>
      <c r="H550" s="52">
        <v>5580</v>
      </c>
      <c r="I550" s="52">
        <v>8605</v>
      </c>
      <c r="J550" s="51">
        <v>1</v>
      </c>
      <c r="K550" s="54">
        <v>5000</v>
      </c>
      <c r="L550" s="51">
        <v>1</v>
      </c>
      <c r="M550" s="54">
        <v>10000</v>
      </c>
      <c r="N550" s="53">
        <f t="shared" si="16"/>
        <v>-5000</v>
      </c>
      <c r="O550" s="53">
        <f t="shared" si="17"/>
        <v>5000</v>
      </c>
    </row>
    <row r="551" spans="1:15" x14ac:dyDescent="0.2">
      <c r="A551" s="51" t="s">
        <v>3567</v>
      </c>
      <c r="B551" s="51" t="s">
        <v>3568</v>
      </c>
      <c r="C551" s="51" t="s">
        <v>3571</v>
      </c>
      <c r="D551" s="51" t="s">
        <v>3850</v>
      </c>
      <c r="E551" s="51" t="s">
        <v>3851</v>
      </c>
      <c r="F551" s="52">
        <v>0.66478210827037343</v>
      </c>
      <c r="G551" s="52">
        <v>0</v>
      </c>
      <c r="H551" s="52">
        <v>0</v>
      </c>
      <c r="I551" s="52">
        <v>0</v>
      </c>
      <c r="J551" s="51">
        <v>0</v>
      </c>
      <c r="K551" s="54">
        <v>0</v>
      </c>
      <c r="L551" s="51">
        <v>0</v>
      </c>
      <c r="M551" s="54">
        <v>0</v>
      </c>
      <c r="N551" s="53">
        <f t="shared" si="16"/>
        <v>0</v>
      </c>
      <c r="O551" s="53">
        <f t="shared" si="17"/>
        <v>0</v>
      </c>
    </row>
    <row r="552" spans="1:15" x14ac:dyDescent="0.2">
      <c r="A552" s="51" t="s">
        <v>3567</v>
      </c>
      <c r="B552" s="51" t="s">
        <v>3568</v>
      </c>
      <c r="C552" s="51" t="s">
        <v>83</v>
      </c>
      <c r="D552" s="51" t="s">
        <v>1914</v>
      </c>
      <c r="E552" s="51" t="s">
        <v>1913</v>
      </c>
      <c r="F552" s="52">
        <v>467.62843543075422</v>
      </c>
      <c r="G552" s="52">
        <v>1300</v>
      </c>
      <c r="H552" s="52">
        <v>2590</v>
      </c>
      <c r="I552" s="52">
        <v>3890</v>
      </c>
      <c r="J552" s="51">
        <v>0</v>
      </c>
      <c r="K552" s="54">
        <v>0</v>
      </c>
      <c r="L552" s="51">
        <v>1</v>
      </c>
      <c r="M552" s="54">
        <v>6000</v>
      </c>
      <c r="N552" s="53">
        <f t="shared" si="16"/>
        <v>-6000</v>
      </c>
      <c r="O552" s="53">
        <f t="shared" si="17"/>
        <v>6000</v>
      </c>
    </row>
    <row r="553" spans="1:15" x14ac:dyDescent="0.2">
      <c r="A553" s="51" t="s">
        <v>3567</v>
      </c>
      <c r="B553" s="51" t="s">
        <v>3568</v>
      </c>
      <c r="C553" s="51" t="s">
        <v>79</v>
      </c>
      <c r="D553" s="51" t="s">
        <v>2964</v>
      </c>
      <c r="E553" s="51" t="s">
        <v>2963</v>
      </c>
      <c r="F553" s="52">
        <v>47.205719999999999</v>
      </c>
      <c r="G553" s="52">
        <v>0</v>
      </c>
      <c r="H553" s="52">
        <v>0</v>
      </c>
      <c r="I553" s="52">
        <v>0</v>
      </c>
      <c r="J553" s="51">
        <v>0</v>
      </c>
      <c r="K553" s="54">
        <v>0</v>
      </c>
      <c r="L553" s="51">
        <v>0</v>
      </c>
      <c r="M553" s="54">
        <v>0</v>
      </c>
      <c r="N553" s="53">
        <f t="shared" si="16"/>
        <v>0</v>
      </c>
      <c r="O553" s="53">
        <f t="shared" si="17"/>
        <v>0</v>
      </c>
    </row>
    <row r="554" spans="1:15" x14ac:dyDescent="0.2">
      <c r="A554" s="51" t="s">
        <v>3567</v>
      </c>
      <c r="B554" s="51" t="s">
        <v>3568</v>
      </c>
      <c r="C554" s="51" t="s">
        <v>92</v>
      </c>
      <c r="D554" s="51" t="s">
        <v>2558</v>
      </c>
      <c r="E554" s="51" t="s">
        <v>2557</v>
      </c>
      <c r="F554" s="52">
        <v>420.692881</v>
      </c>
      <c r="G554" s="52">
        <v>0</v>
      </c>
      <c r="H554" s="52">
        <v>0</v>
      </c>
      <c r="I554" s="52">
        <v>0</v>
      </c>
      <c r="J554" s="51">
        <v>0</v>
      </c>
      <c r="K554" s="54">
        <v>0</v>
      </c>
      <c r="L554" s="51">
        <v>0</v>
      </c>
      <c r="M554" s="54">
        <v>0</v>
      </c>
      <c r="N554" s="53">
        <f t="shared" si="16"/>
        <v>0</v>
      </c>
      <c r="O554" s="53">
        <f t="shared" si="17"/>
        <v>0</v>
      </c>
    </row>
    <row r="555" spans="1:15" x14ac:dyDescent="0.2">
      <c r="A555" s="51" t="s">
        <v>3567</v>
      </c>
      <c r="B555" s="51" t="s">
        <v>3568</v>
      </c>
      <c r="C555" s="51" t="s">
        <v>78</v>
      </c>
      <c r="D555" s="51" t="s">
        <v>3848</v>
      </c>
      <c r="E555" s="51" t="s">
        <v>3849</v>
      </c>
      <c r="F555" s="52">
        <v>8.7518579105077183</v>
      </c>
      <c r="G555" s="52">
        <v>0</v>
      </c>
      <c r="H555" s="52">
        <v>0</v>
      </c>
      <c r="I555" s="52">
        <v>0</v>
      </c>
      <c r="J555" s="51">
        <v>0</v>
      </c>
      <c r="K555" s="54">
        <v>0</v>
      </c>
      <c r="L555" s="51">
        <v>0</v>
      </c>
      <c r="M555" s="54">
        <v>0</v>
      </c>
      <c r="N555" s="53">
        <f t="shared" si="16"/>
        <v>0</v>
      </c>
      <c r="O555" s="53">
        <f t="shared" si="17"/>
        <v>0</v>
      </c>
    </row>
    <row r="556" spans="1:15" x14ac:dyDescent="0.2">
      <c r="A556" s="51" t="s">
        <v>3567</v>
      </c>
      <c r="B556" s="51" t="s">
        <v>3568</v>
      </c>
      <c r="C556" s="51" t="s">
        <v>53</v>
      </c>
      <c r="D556" s="51" t="s">
        <v>192</v>
      </c>
      <c r="E556" s="51" t="s">
        <v>191</v>
      </c>
      <c r="F556" s="52">
        <v>3826.1637227824999</v>
      </c>
      <c r="G556" s="52">
        <v>28640</v>
      </c>
      <c r="H556" s="52">
        <v>59120</v>
      </c>
      <c r="I556" s="52">
        <v>87760</v>
      </c>
      <c r="J556" s="51">
        <v>0</v>
      </c>
      <c r="K556" s="54">
        <v>0</v>
      </c>
      <c r="L556" s="51">
        <v>2</v>
      </c>
      <c r="M556" s="54">
        <v>45000</v>
      </c>
      <c r="N556" s="53">
        <f t="shared" si="16"/>
        <v>-45000</v>
      </c>
      <c r="O556" s="53">
        <f t="shared" si="17"/>
        <v>45000</v>
      </c>
    </row>
    <row r="557" spans="1:15" x14ac:dyDescent="0.2">
      <c r="A557" s="51" t="s">
        <v>3567</v>
      </c>
      <c r="B557" s="51" t="s">
        <v>3568</v>
      </c>
      <c r="C557" s="51" t="s">
        <v>3583</v>
      </c>
      <c r="D557" s="51" t="s">
        <v>3879</v>
      </c>
      <c r="E557" s="51" t="s">
        <v>3880</v>
      </c>
      <c r="F557" s="52">
        <v>35.707112766621321</v>
      </c>
      <c r="G557" s="52">
        <v>0</v>
      </c>
      <c r="H557" s="52">
        <v>0</v>
      </c>
      <c r="I557" s="52">
        <v>0</v>
      </c>
      <c r="J557" s="51">
        <v>0</v>
      </c>
      <c r="K557" s="54">
        <v>0</v>
      </c>
      <c r="L557" s="51">
        <v>0</v>
      </c>
      <c r="M557" s="54">
        <v>0</v>
      </c>
      <c r="N557" s="53">
        <f t="shared" si="16"/>
        <v>0</v>
      </c>
      <c r="O557" s="53">
        <f t="shared" si="17"/>
        <v>0</v>
      </c>
    </row>
    <row r="558" spans="1:15" x14ac:dyDescent="0.2">
      <c r="A558" s="51" t="s">
        <v>3567</v>
      </c>
      <c r="B558" s="51" t="s">
        <v>3568</v>
      </c>
      <c r="C558" s="51" t="s">
        <v>92</v>
      </c>
      <c r="D558" s="51" t="s">
        <v>3324</v>
      </c>
      <c r="E558" s="51" t="s">
        <v>3323</v>
      </c>
      <c r="F558" s="52">
        <v>21970.532371280049</v>
      </c>
      <c r="G558" s="52">
        <v>5370</v>
      </c>
      <c r="H558" s="52">
        <v>52930</v>
      </c>
      <c r="I558" s="52">
        <v>58300</v>
      </c>
      <c r="J558" s="51">
        <v>0</v>
      </c>
      <c r="K558" s="54">
        <v>0</v>
      </c>
      <c r="L558" s="51">
        <v>2</v>
      </c>
      <c r="M558" s="54">
        <v>90000</v>
      </c>
      <c r="N558" s="53">
        <f t="shared" si="16"/>
        <v>-90000</v>
      </c>
      <c r="O558" s="53">
        <f t="shared" si="17"/>
        <v>90000</v>
      </c>
    </row>
    <row r="559" spans="1:15" x14ac:dyDescent="0.2">
      <c r="A559" s="51" t="s">
        <v>3567</v>
      </c>
      <c r="B559" s="51" t="s">
        <v>3568</v>
      </c>
      <c r="C559" s="51" t="s">
        <v>75</v>
      </c>
      <c r="D559" s="51" t="s">
        <v>3123</v>
      </c>
      <c r="E559" s="51" t="s">
        <v>3122</v>
      </c>
      <c r="F559" s="52">
        <v>7985.5821591574713</v>
      </c>
      <c r="G559" s="52">
        <v>15610</v>
      </c>
      <c r="H559" s="52">
        <v>8110</v>
      </c>
      <c r="I559" s="52">
        <v>23720</v>
      </c>
      <c r="J559" s="51">
        <v>2</v>
      </c>
      <c r="K559" s="54">
        <v>15000</v>
      </c>
      <c r="L559" s="51">
        <v>0</v>
      </c>
      <c r="M559" s="54">
        <v>0</v>
      </c>
      <c r="N559" s="53">
        <f t="shared" si="16"/>
        <v>15000</v>
      </c>
      <c r="O559" s="53">
        <f t="shared" si="17"/>
        <v>-15000</v>
      </c>
    </row>
    <row r="560" spans="1:15" x14ac:dyDescent="0.2">
      <c r="A560" s="51" t="s">
        <v>3567</v>
      </c>
      <c r="B560" s="51" t="s">
        <v>3568</v>
      </c>
      <c r="C560" s="51" t="s">
        <v>62</v>
      </c>
      <c r="D560" s="51" t="s">
        <v>581</v>
      </c>
      <c r="E560" s="51" t="s">
        <v>580</v>
      </c>
      <c r="F560" s="52">
        <v>38.796700000000001</v>
      </c>
      <c r="G560" s="52">
        <v>5240</v>
      </c>
      <c r="H560" s="52">
        <v>240</v>
      </c>
      <c r="I560" s="52">
        <v>5480</v>
      </c>
      <c r="J560" s="51">
        <v>1</v>
      </c>
      <c r="K560" s="54">
        <v>5000</v>
      </c>
      <c r="L560" s="51">
        <v>0</v>
      </c>
      <c r="M560" s="54">
        <v>0</v>
      </c>
      <c r="N560" s="53">
        <f t="shared" si="16"/>
        <v>5000</v>
      </c>
      <c r="O560" s="53">
        <f t="shared" si="17"/>
        <v>-5000</v>
      </c>
    </row>
    <row r="561" spans="1:15" x14ac:dyDescent="0.2">
      <c r="A561" s="51" t="s">
        <v>3567</v>
      </c>
      <c r="B561" s="51" t="s">
        <v>3568</v>
      </c>
      <c r="C561" s="51" t="s">
        <v>62</v>
      </c>
      <c r="D561" s="51" t="s">
        <v>1158</v>
      </c>
      <c r="E561" s="51" t="s">
        <v>1157</v>
      </c>
      <c r="F561" s="52">
        <v>11304.766971733219</v>
      </c>
      <c r="G561" s="52">
        <v>100</v>
      </c>
      <c r="H561" s="52">
        <v>25510</v>
      </c>
      <c r="I561" s="52">
        <v>25610</v>
      </c>
      <c r="J561" s="51">
        <v>0</v>
      </c>
      <c r="K561" s="54">
        <v>0</v>
      </c>
      <c r="L561" s="51">
        <v>1</v>
      </c>
      <c r="M561" s="54">
        <v>20000</v>
      </c>
      <c r="N561" s="53">
        <f t="shared" si="16"/>
        <v>-20000</v>
      </c>
      <c r="O561" s="53">
        <f t="shared" si="17"/>
        <v>20000</v>
      </c>
    </row>
    <row r="562" spans="1:15" x14ac:dyDescent="0.2">
      <c r="A562" s="51" t="s">
        <v>3567</v>
      </c>
      <c r="B562" s="51" t="s">
        <v>3568</v>
      </c>
      <c r="C562" s="51" t="s">
        <v>82</v>
      </c>
      <c r="D562" s="51" t="s">
        <v>1496</v>
      </c>
      <c r="E562" s="51" t="s">
        <v>1495</v>
      </c>
      <c r="F562" s="52">
        <v>5877.31309028338</v>
      </c>
      <c r="G562" s="52">
        <v>3360</v>
      </c>
      <c r="H562" s="52">
        <v>6350</v>
      </c>
      <c r="I562" s="52">
        <v>9710</v>
      </c>
      <c r="J562" s="51">
        <v>0</v>
      </c>
      <c r="K562" s="54">
        <v>0</v>
      </c>
      <c r="L562" s="51">
        <v>1</v>
      </c>
      <c r="M562" s="54">
        <v>10000</v>
      </c>
      <c r="N562" s="53">
        <f t="shared" si="16"/>
        <v>-10000</v>
      </c>
      <c r="O562" s="53">
        <f t="shared" si="17"/>
        <v>10000</v>
      </c>
    </row>
    <row r="563" spans="1:15" x14ac:dyDescent="0.2">
      <c r="A563" s="51" t="s">
        <v>3567</v>
      </c>
      <c r="B563" s="51" t="s">
        <v>3568</v>
      </c>
      <c r="C563" s="51" t="s">
        <v>53</v>
      </c>
      <c r="D563" s="51" t="s">
        <v>345</v>
      </c>
      <c r="E563" s="51" t="s">
        <v>344</v>
      </c>
      <c r="F563" s="52">
        <v>3383.2426500000001</v>
      </c>
      <c r="G563" s="52">
        <v>900</v>
      </c>
      <c r="H563" s="52">
        <v>240</v>
      </c>
      <c r="I563" s="52">
        <v>1140</v>
      </c>
      <c r="J563" s="51">
        <v>1</v>
      </c>
      <c r="K563" s="54">
        <v>5000</v>
      </c>
      <c r="L563" s="51">
        <v>0</v>
      </c>
      <c r="M563" s="54">
        <v>0</v>
      </c>
      <c r="N563" s="53">
        <f t="shared" si="16"/>
        <v>5000</v>
      </c>
      <c r="O563" s="53">
        <f t="shared" si="17"/>
        <v>-5000</v>
      </c>
    </row>
    <row r="564" spans="1:15" x14ac:dyDescent="0.2">
      <c r="A564" s="51" t="s">
        <v>3567</v>
      </c>
      <c r="B564" s="51" t="s">
        <v>3568</v>
      </c>
      <c r="C564" s="51" t="s">
        <v>80</v>
      </c>
      <c r="D564" s="51" t="s">
        <v>1614</v>
      </c>
      <c r="E564" s="51" t="s">
        <v>1613</v>
      </c>
      <c r="F564" s="52">
        <v>3515.0475999999999</v>
      </c>
      <c r="G564" s="52">
        <v>0</v>
      </c>
      <c r="H564" s="52">
        <v>2000</v>
      </c>
      <c r="I564" s="52">
        <v>2000</v>
      </c>
      <c r="J564" s="51">
        <v>0</v>
      </c>
      <c r="K564" s="54">
        <v>0</v>
      </c>
      <c r="L564" s="51">
        <v>0</v>
      </c>
      <c r="M564" s="54">
        <v>0</v>
      </c>
      <c r="N564" s="53">
        <f t="shared" si="16"/>
        <v>0</v>
      </c>
      <c r="O564" s="53">
        <f t="shared" si="17"/>
        <v>0</v>
      </c>
    </row>
    <row r="565" spans="1:15" x14ac:dyDescent="0.2">
      <c r="A565" s="51" t="s">
        <v>3567</v>
      </c>
      <c r="B565" s="51" t="s">
        <v>3568</v>
      </c>
      <c r="C565" s="51" t="s">
        <v>84</v>
      </c>
      <c r="D565" s="51" t="s">
        <v>234</v>
      </c>
      <c r="E565" s="51" t="s">
        <v>233</v>
      </c>
      <c r="F565" s="52">
        <v>7.6929762235890484</v>
      </c>
      <c r="G565" s="52">
        <v>0</v>
      </c>
      <c r="H565" s="52">
        <v>0</v>
      </c>
      <c r="I565" s="52">
        <v>0</v>
      </c>
      <c r="J565" s="51">
        <v>0</v>
      </c>
      <c r="K565" s="54">
        <v>0</v>
      </c>
      <c r="L565" s="51">
        <v>0</v>
      </c>
      <c r="M565" s="54">
        <v>0</v>
      </c>
      <c r="N565" s="53">
        <f t="shared" si="16"/>
        <v>0</v>
      </c>
      <c r="O565" s="53">
        <f t="shared" si="17"/>
        <v>0</v>
      </c>
    </row>
    <row r="566" spans="1:15" x14ac:dyDescent="0.2">
      <c r="A566" s="51" t="s">
        <v>3567</v>
      </c>
      <c r="B566" s="51" t="s">
        <v>3568</v>
      </c>
      <c r="C566" s="51" t="s">
        <v>75</v>
      </c>
      <c r="D566" s="51" t="s">
        <v>1131</v>
      </c>
      <c r="E566" s="51" t="s">
        <v>1130</v>
      </c>
      <c r="F566" s="52">
        <v>117.6844</v>
      </c>
      <c r="G566" s="52">
        <v>6800</v>
      </c>
      <c r="H566" s="52">
        <v>11600</v>
      </c>
      <c r="I566" s="52">
        <v>18400</v>
      </c>
      <c r="J566" s="51">
        <v>0</v>
      </c>
      <c r="K566" s="54">
        <v>0</v>
      </c>
      <c r="L566" s="51">
        <v>2</v>
      </c>
      <c r="M566" s="54">
        <v>21000</v>
      </c>
      <c r="N566" s="53">
        <f t="shared" si="16"/>
        <v>-21000</v>
      </c>
      <c r="O566" s="53">
        <f t="shared" si="17"/>
        <v>21000</v>
      </c>
    </row>
    <row r="567" spans="1:15" x14ac:dyDescent="0.2">
      <c r="A567" s="51" t="s">
        <v>3567</v>
      </c>
      <c r="B567" s="51" t="s">
        <v>3568</v>
      </c>
      <c r="C567" s="51" t="s">
        <v>3718</v>
      </c>
      <c r="D567" s="51" t="s">
        <v>3862</v>
      </c>
      <c r="E567" s="51" t="s">
        <v>3863</v>
      </c>
      <c r="F567" s="52">
        <v>63.324599999999997</v>
      </c>
      <c r="G567" s="52">
        <v>0</v>
      </c>
      <c r="H567" s="52">
        <v>0</v>
      </c>
      <c r="I567" s="52">
        <v>0</v>
      </c>
      <c r="J567" s="51">
        <v>0</v>
      </c>
      <c r="K567" s="54">
        <v>0</v>
      </c>
      <c r="L567" s="51">
        <v>0</v>
      </c>
      <c r="M567" s="54">
        <v>0</v>
      </c>
      <c r="N567" s="53">
        <f t="shared" si="16"/>
        <v>0</v>
      </c>
      <c r="O567" s="53">
        <f t="shared" si="17"/>
        <v>0</v>
      </c>
    </row>
    <row r="568" spans="1:15" x14ac:dyDescent="0.2">
      <c r="A568" s="51" t="s">
        <v>3567</v>
      </c>
      <c r="B568" s="51" t="s">
        <v>3568</v>
      </c>
      <c r="C568" s="51" t="s">
        <v>3707</v>
      </c>
      <c r="D568" s="51" t="s">
        <v>3838</v>
      </c>
      <c r="E568" s="51" t="s">
        <v>3839</v>
      </c>
      <c r="F568" s="52">
        <v>1.223761979421305</v>
      </c>
      <c r="G568" s="52">
        <v>0</v>
      </c>
      <c r="H568" s="52">
        <v>0</v>
      </c>
      <c r="I568" s="52">
        <v>0</v>
      </c>
      <c r="J568" s="51">
        <v>0</v>
      </c>
      <c r="K568" s="54">
        <v>0</v>
      </c>
      <c r="L568" s="51">
        <v>0</v>
      </c>
      <c r="M568" s="54">
        <v>0</v>
      </c>
      <c r="N568" s="53">
        <f t="shared" si="16"/>
        <v>0</v>
      </c>
      <c r="O568" s="53">
        <f t="shared" si="17"/>
        <v>0</v>
      </c>
    </row>
    <row r="569" spans="1:15" x14ac:dyDescent="0.2">
      <c r="A569" s="51" t="s">
        <v>3567</v>
      </c>
      <c r="B569" s="51" t="s">
        <v>3568</v>
      </c>
      <c r="C569" s="51" t="s">
        <v>3864</v>
      </c>
      <c r="D569" s="51" t="s">
        <v>3865</v>
      </c>
      <c r="E569" s="51" t="s">
        <v>3866</v>
      </c>
      <c r="F569" s="52">
        <v>7.1386389935295998E-3</v>
      </c>
      <c r="G569" s="52">
        <v>0</v>
      </c>
      <c r="H569" s="52">
        <v>0</v>
      </c>
      <c r="I569" s="52">
        <v>0</v>
      </c>
      <c r="J569" s="51">
        <v>0</v>
      </c>
      <c r="K569" s="54">
        <v>0</v>
      </c>
      <c r="L569" s="51">
        <v>0</v>
      </c>
      <c r="M569" s="54">
        <v>0</v>
      </c>
      <c r="N569" s="53">
        <f t="shared" si="16"/>
        <v>0</v>
      </c>
      <c r="O569" s="53">
        <f t="shared" si="17"/>
        <v>0</v>
      </c>
    </row>
    <row r="570" spans="1:15" x14ac:dyDescent="0.2">
      <c r="A570" s="51" t="s">
        <v>3567</v>
      </c>
      <c r="B570" s="51" t="s">
        <v>3568</v>
      </c>
      <c r="C570" s="51" t="s">
        <v>54</v>
      </c>
      <c r="D570" s="51" t="s">
        <v>1663</v>
      </c>
      <c r="E570" s="51" t="s">
        <v>1662</v>
      </c>
      <c r="F570" s="52">
        <v>16871.4509</v>
      </c>
      <c r="G570" s="52">
        <v>2480</v>
      </c>
      <c r="H570" s="52">
        <v>3250</v>
      </c>
      <c r="I570" s="52">
        <v>5730</v>
      </c>
      <c r="J570" s="51">
        <v>1</v>
      </c>
      <c r="K570" s="54">
        <v>5000</v>
      </c>
      <c r="L570" s="51">
        <v>0</v>
      </c>
      <c r="M570" s="54">
        <v>0</v>
      </c>
      <c r="N570" s="53">
        <f t="shared" si="16"/>
        <v>5000</v>
      </c>
      <c r="O570" s="53">
        <f t="shared" si="17"/>
        <v>-5000</v>
      </c>
    </row>
    <row r="571" spans="1:15" x14ac:dyDescent="0.2">
      <c r="A571" s="51" t="s">
        <v>3567</v>
      </c>
      <c r="B571" s="51" t="s">
        <v>3568</v>
      </c>
      <c r="C571" s="51" t="s">
        <v>58</v>
      </c>
      <c r="D571" s="51" t="s">
        <v>1997</v>
      </c>
      <c r="E571" s="51" t="s">
        <v>1996</v>
      </c>
      <c r="F571" s="52">
        <v>167.15696193354691</v>
      </c>
      <c r="G571" s="52">
        <v>7679</v>
      </c>
      <c r="H571" s="52">
        <v>100</v>
      </c>
      <c r="I571" s="52">
        <v>7779</v>
      </c>
      <c r="J571" s="51">
        <v>1</v>
      </c>
      <c r="K571" s="54">
        <v>5000</v>
      </c>
      <c r="L571" s="51">
        <v>0</v>
      </c>
      <c r="M571" s="54">
        <v>0</v>
      </c>
      <c r="N571" s="53">
        <f t="shared" si="16"/>
        <v>5000</v>
      </c>
      <c r="O571" s="53">
        <f t="shared" si="17"/>
        <v>-5000</v>
      </c>
    </row>
    <row r="572" spans="1:15" x14ac:dyDescent="0.2">
      <c r="A572" s="51" t="s">
        <v>3567</v>
      </c>
      <c r="B572" s="51" t="s">
        <v>3568</v>
      </c>
      <c r="C572" s="51" t="s">
        <v>74</v>
      </c>
      <c r="D572" s="51" t="s">
        <v>548</v>
      </c>
      <c r="E572" s="51" t="s">
        <v>547</v>
      </c>
      <c r="F572" s="52">
        <v>20130.559500000902</v>
      </c>
      <c r="G572" s="52">
        <v>20495</v>
      </c>
      <c r="H572" s="52">
        <v>19930</v>
      </c>
      <c r="I572" s="52">
        <v>40425</v>
      </c>
      <c r="J572" s="51">
        <v>0</v>
      </c>
      <c r="K572" s="54">
        <v>0</v>
      </c>
      <c r="L572" s="51">
        <v>1</v>
      </c>
      <c r="M572" s="54">
        <v>10000</v>
      </c>
      <c r="N572" s="53">
        <f t="shared" si="16"/>
        <v>-10000</v>
      </c>
      <c r="O572" s="53">
        <f t="shared" si="17"/>
        <v>10000</v>
      </c>
    </row>
    <row r="573" spans="1:15" x14ac:dyDescent="0.2">
      <c r="A573" s="51" t="s">
        <v>3567</v>
      </c>
      <c r="B573" s="51" t="s">
        <v>3568</v>
      </c>
      <c r="C573" s="51" t="s">
        <v>65</v>
      </c>
      <c r="D573" s="51" t="s">
        <v>752</v>
      </c>
      <c r="E573" s="51" t="s">
        <v>751</v>
      </c>
      <c r="F573" s="52">
        <v>6372.199504023336</v>
      </c>
      <c r="G573" s="52">
        <v>1750</v>
      </c>
      <c r="H573" s="52">
        <v>13700</v>
      </c>
      <c r="I573" s="52">
        <v>15450</v>
      </c>
      <c r="J573" s="51">
        <v>0</v>
      </c>
      <c r="K573" s="54">
        <v>0</v>
      </c>
      <c r="L573" s="51">
        <v>1</v>
      </c>
      <c r="M573" s="54">
        <v>8000</v>
      </c>
      <c r="N573" s="53">
        <f t="shared" si="16"/>
        <v>-8000</v>
      </c>
      <c r="O573" s="53">
        <f t="shared" si="17"/>
        <v>8000</v>
      </c>
    </row>
    <row r="574" spans="1:15" x14ac:dyDescent="0.2">
      <c r="A574" s="51" t="s">
        <v>3567</v>
      </c>
      <c r="B574" s="51" t="s">
        <v>3568</v>
      </c>
      <c r="C574" s="51" t="s">
        <v>86</v>
      </c>
      <c r="D574" s="51" t="s">
        <v>3503</v>
      </c>
      <c r="E574" s="51" t="s">
        <v>3502</v>
      </c>
      <c r="F574" s="52">
        <v>24.607399999999998</v>
      </c>
      <c r="G574" s="52">
        <v>0</v>
      </c>
      <c r="H574" s="52">
        <v>0</v>
      </c>
      <c r="I574" s="52">
        <v>0</v>
      </c>
      <c r="J574" s="51">
        <v>0</v>
      </c>
      <c r="K574" s="54">
        <v>0</v>
      </c>
      <c r="L574" s="51">
        <v>0</v>
      </c>
      <c r="M574" s="54">
        <v>0</v>
      </c>
      <c r="N574" s="53">
        <f t="shared" si="16"/>
        <v>0</v>
      </c>
      <c r="O574" s="53">
        <f t="shared" si="17"/>
        <v>0</v>
      </c>
    </row>
    <row r="575" spans="1:15" x14ac:dyDescent="0.2">
      <c r="A575" s="51" t="s">
        <v>3567</v>
      </c>
      <c r="B575" s="51" t="s">
        <v>3568</v>
      </c>
      <c r="C575" s="51" t="s">
        <v>55</v>
      </c>
      <c r="D575" s="51" t="s">
        <v>544</v>
      </c>
      <c r="E575" s="51" t="s">
        <v>543</v>
      </c>
      <c r="F575" s="52">
        <v>4141.1457824757381</v>
      </c>
      <c r="G575" s="52">
        <v>800</v>
      </c>
      <c r="H575" s="52">
        <v>2550</v>
      </c>
      <c r="I575" s="52">
        <v>3350</v>
      </c>
      <c r="J575" s="51">
        <v>0</v>
      </c>
      <c r="K575" s="54">
        <v>0</v>
      </c>
      <c r="L575" s="51">
        <v>1</v>
      </c>
      <c r="M575" s="54">
        <v>9000</v>
      </c>
      <c r="N575" s="53">
        <f t="shared" si="16"/>
        <v>-9000</v>
      </c>
      <c r="O575" s="53">
        <f t="shared" si="17"/>
        <v>9000</v>
      </c>
    </row>
    <row r="576" spans="1:15" x14ac:dyDescent="0.2">
      <c r="A576" s="51" t="s">
        <v>3567</v>
      </c>
      <c r="B576" s="51" t="s">
        <v>3568</v>
      </c>
      <c r="C576" s="51" t="s">
        <v>80</v>
      </c>
      <c r="D576" s="51" t="s">
        <v>2649</v>
      </c>
      <c r="E576" s="51" t="s">
        <v>2648</v>
      </c>
      <c r="F576" s="52">
        <v>12041.012000000001</v>
      </c>
      <c r="G576" s="52">
        <v>2520</v>
      </c>
      <c r="H576" s="52">
        <v>1980</v>
      </c>
      <c r="I576" s="52">
        <v>4500</v>
      </c>
      <c r="J576" s="51">
        <v>1</v>
      </c>
      <c r="K576" s="54">
        <v>5000</v>
      </c>
      <c r="L576" s="51">
        <v>0</v>
      </c>
      <c r="M576" s="54">
        <v>0</v>
      </c>
      <c r="N576" s="53">
        <f t="shared" si="16"/>
        <v>5000</v>
      </c>
      <c r="O576" s="53">
        <f t="shared" si="17"/>
        <v>-5000</v>
      </c>
    </row>
    <row r="577" spans="1:15" x14ac:dyDescent="0.2">
      <c r="A577" s="51" t="s">
        <v>3567</v>
      </c>
      <c r="B577" s="51" t="s">
        <v>3568</v>
      </c>
      <c r="C577" s="51" t="s">
        <v>70</v>
      </c>
      <c r="D577" s="51" t="s">
        <v>3525</v>
      </c>
      <c r="E577" s="51" t="s">
        <v>3524</v>
      </c>
      <c r="F577" s="52">
        <v>5001.9129999999996</v>
      </c>
      <c r="G577" s="52">
        <v>0</v>
      </c>
      <c r="H577" s="52">
        <v>0</v>
      </c>
      <c r="I577" s="52">
        <v>0</v>
      </c>
      <c r="J577" s="51">
        <v>1</v>
      </c>
      <c r="K577" s="54">
        <v>5000</v>
      </c>
      <c r="L577" s="51">
        <v>0</v>
      </c>
      <c r="M577" s="54">
        <v>0</v>
      </c>
      <c r="N577" s="53">
        <f t="shared" si="16"/>
        <v>5000</v>
      </c>
      <c r="O577" s="53">
        <f t="shared" si="17"/>
        <v>-5000</v>
      </c>
    </row>
    <row r="578" spans="1:15" x14ac:dyDescent="0.2">
      <c r="A578" s="51" t="s">
        <v>3567</v>
      </c>
      <c r="B578" s="51" t="s">
        <v>3568</v>
      </c>
      <c r="C578" s="51" t="s">
        <v>86</v>
      </c>
      <c r="D578" s="51" t="s">
        <v>3009</v>
      </c>
      <c r="E578" s="51" t="s">
        <v>3008</v>
      </c>
      <c r="F578" s="52">
        <v>2096.5798416520661</v>
      </c>
      <c r="G578" s="52">
        <v>0</v>
      </c>
      <c r="H578" s="52">
        <v>480</v>
      </c>
      <c r="I578" s="52">
        <v>480</v>
      </c>
      <c r="J578" s="51">
        <v>0</v>
      </c>
      <c r="K578" s="54">
        <v>0</v>
      </c>
      <c r="L578" s="51">
        <v>0</v>
      </c>
      <c r="M578" s="54">
        <v>0</v>
      </c>
      <c r="N578" s="53">
        <f t="shared" si="16"/>
        <v>0</v>
      </c>
      <c r="O578" s="53">
        <f t="shared" si="17"/>
        <v>0</v>
      </c>
    </row>
    <row r="579" spans="1:15" x14ac:dyDescent="0.2">
      <c r="A579" s="51" t="s">
        <v>3567</v>
      </c>
      <c r="B579" s="51" t="s">
        <v>3568</v>
      </c>
      <c r="C579" s="51" t="s">
        <v>61</v>
      </c>
      <c r="D579" s="51" t="s">
        <v>3827</v>
      </c>
      <c r="E579" s="51" t="s">
        <v>511</v>
      </c>
      <c r="F579" s="52">
        <v>1.060203452029288</v>
      </c>
      <c r="G579" s="52">
        <v>0</v>
      </c>
      <c r="H579" s="52">
        <v>0</v>
      </c>
      <c r="I579" s="52">
        <v>0</v>
      </c>
      <c r="J579" s="51">
        <v>0</v>
      </c>
      <c r="K579" s="54">
        <v>0</v>
      </c>
      <c r="L579" s="51">
        <v>0</v>
      </c>
      <c r="M579" s="54">
        <v>0</v>
      </c>
      <c r="N579" s="53">
        <f t="shared" ref="N579:N642" si="18">K579-M579</f>
        <v>0</v>
      </c>
      <c r="O579" s="53">
        <f t="shared" ref="O579:O642" si="19">M579-K579</f>
        <v>0</v>
      </c>
    </row>
    <row r="580" spans="1:15" x14ac:dyDescent="0.2">
      <c r="A580" s="51" t="s">
        <v>3567</v>
      </c>
      <c r="B580" s="51" t="s">
        <v>3568</v>
      </c>
      <c r="C580" s="51" t="s">
        <v>54</v>
      </c>
      <c r="D580" s="51" t="s">
        <v>1938</v>
      </c>
      <c r="E580" s="51" t="s">
        <v>1937</v>
      </c>
      <c r="F580" s="52">
        <v>6.2230999999999996</v>
      </c>
      <c r="G580" s="52">
        <v>0</v>
      </c>
      <c r="H580" s="52">
        <v>0</v>
      </c>
      <c r="I580" s="52">
        <v>0</v>
      </c>
      <c r="J580" s="51">
        <v>0</v>
      </c>
      <c r="K580" s="54">
        <v>0</v>
      </c>
      <c r="L580" s="51">
        <v>0</v>
      </c>
      <c r="M580" s="54">
        <v>0</v>
      </c>
      <c r="N580" s="53">
        <f t="shared" si="18"/>
        <v>0</v>
      </c>
      <c r="O580" s="53">
        <f t="shared" si="19"/>
        <v>0</v>
      </c>
    </row>
    <row r="581" spans="1:15" x14ac:dyDescent="0.2">
      <c r="A581" s="51" t="s">
        <v>3567</v>
      </c>
      <c r="B581" s="51" t="s">
        <v>3568</v>
      </c>
      <c r="C581" s="51" t="s">
        <v>54</v>
      </c>
      <c r="D581" s="51" t="s">
        <v>114</v>
      </c>
      <c r="E581" s="51" t="s">
        <v>113</v>
      </c>
      <c r="F581" s="52">
        <v>4236.0748911656792</v>
      </c>
      <c r="G581" s="52">
        <v>800</v>
      </c>
      <c r="H581" s="52">
        <v>3780</v>
      </c>
      <c r="I581" s="52">
        <v>4580</v>
      </c>
      <c r="J581" s="51">
        <v>0</v>
      </c>
      <c r="K581" s="54">
        <v>0</v>
      </c>
      <c r="L581" s="51">
        <v>1</v>
      </c>
      <c r="M581" s="54">
        <v>35000</v>
      </c>
      <c r="N581" s="53">
        <f t="shared" si="18"/>
        <v>-35000</v>
      </c>
      <c r="O581" s="53">
        <f t="shared" si="19"/>
        <v>35000</v>
      </c>
    </row>
    <row r="582" spans="1:15" x14ac:dyDescent="0.2">
      <c r="A582" s="51" t="s">
        <v>3567</v>
      </c>
      <c r="B582" s="51" t="s">
        <v>3568</v>
      </c>
      <c r="C582" s="51" t="s">
        <v>57</v>
      </c>
      <c r="D582" s="51" t="s">
        <v>3339</v>
      </c>
      <c r="E582" s="51" t="s">
        <v>3338</v>
      </c>
      <c r="F582" s="52">
        <v>3584.4516745257661</v>
      </c>
      <c r="G582" s="52">
        <v>0</v>
      </c>
      <c r="H582" s="52">
        <v>9420</v>
      </c>
      <c r="I582" s="52">
        <v>9420</v>
      </c>
      <c r="J582" s="51">
        <v>0</v>
      </c>
      <c r="K582" s="54">
        <v>0</v>
      </c>
      <c r="L582" s="51">
        <v>2</v>
      </c>
      <c r="M582" s="54">
        <v>17000</v>
      </c>
      <c r="N582" s="53">
        <f t="shared" si="18"/>
        <v>-17000</v>
      </c>
      <c r="O582" s="53">
        <f t="shared" si="19"/>
        <v>17000</v>
      </c>
    </row>
    <row r="583" spans="1:15" x14ac:dyDescent="0.2">
      <c r="A583" s="51" t="s">
        <v>3567</v>
      </c>
      <c r="B583" s="51" t="s">
        <v>3568</v>
      </c>
      <c r="C583" s="51" t="s">
        <v>3647</v>
      </c>
      <c r="D583" s="51" t="s">
        <v>3869</v>
      </c>
      <c r="E583" s="51" t="s">
        <v>3870</v>
      </c>
      <c r="F583" s="52">
        <v>7.4042080808000001</v>
      </c>
      <c r="G583" s="52">
        <v>0</v>
      </c>
      <c r="H583" s="52">
        <v>0</v>
      </c>
      <c r="I583" s="52">
        <v>0</v>
      </c>
      <c r="J583" s="51">
        <v>0</v>
      </c>
      <c r="K583" s="54">
        <v>0</v>
      </c>
      <c r="L583" s="51">
        <v>0</v>
      </c>
      <c r="M583" s="54">
        <v>0</v>
      </c>
      <c r="N583" s="53">
        <f t="shared" si="18"/>
        <v>0</v>
      </c>
      <c r="O583" s="53">
        <f t="shared" si="19"/>
        <v>0</v>
      </c>
    </row>
    <row r="584" spans="1:15" x14ac:dyDescent="0.2">
      <c r="A584" s="51" t="s">
        <v>3567</v>
      </c>
      <c r="B584" s="51" t="s">
        <v>3568</v>
      </c>
      <c r="C584" s="51" t="s">
        <v>86</v>
      </c>
      <c r="D584" s="51" t="s">
        <v>2196</v>
      </c>
      <c r="E584" s="51" t="s">
        <v>2195</v>
      </c>
      <c r="F584" s="52">
        <v>2232.1750957880081</v>
      </c>
      <c r="G584" s="52">
        <v>2875</v>
      </c>
      <c r="H584" s="52">
        <v>3900</v>
      </c>
      <c r="I584" s="52">
        <v>6775</v>
      </c>
      <c r="J584" s="51">
        <v>0</v>
      </c>
      <c r="K584" s="54">
        <v>0</v>
      </c>
      <c r="L584" s="51">
        <v>1</v>
      </c>
      <c r="M584" s="54">
        <v>8000</v>
      </c>
      <c r="N584" s="53">
        <f t="shared" si="18"/>
        <v>-8000</v>
      </c>
      <c r="O584" s="53">
        <f t="shared" si="19"/>
        <v>8000</v>
      </c>
    </row>
    <row r="585" spans="1:15" x14ac:dyDescent="0.2">
      <c r="A585" s="51" t="s">
        <v>3567</v>
      </c>
      <c r="B585" s="51" t="s">
        <v>3568</v>
      </c>
      <c r="C585" s="51" t="s">
        <v>3653</v>
      </c>
      <c r="D585" s="51" t="s">
        <v>3901</v>
      </c>
      <c r="E585" s="51" t="s">
        <v>3902</v>
      </c>
      <c r="F585" s="52">
        <v>9.4114044202931364</v>
      </c>
      <c r="G585" s="52">
        <v>0</v>
      </c>
      <c r="H585" s="52">
        <v>0</v>
      </c>
      <c r="I585" s="52">
        <v>0</v>
      </c>
      <c r="J585" s="51">
        <v>0</v>
      </c>
      <c r="K585" s="54">
        <v>0</v>
      </c>
      <c r="L585" s="51">
        <v>0</v>
      </c>
      <c r="M585" s="54">
        <v>0</v>
      </c>
      <c r="N585" s="53">
        <f t="shared" si="18"/>
        <v>0</v>
      </c>
      <c r="O585" s="53">
        <f t="shared" si="19"/>
        <v>0</v>
      </c>
    </row>
    <row r="586" spans="1:15" x14ac:dyDescent="0.2">
      <c r="A586" s="51" t="s">
        <v>3567</v>
      </c>
      <c r="B586" s="51" t="s">
        <v>3568</v>
      </c>
      <c r="C586" s="51" t="s">
        <v>3666</v>
      </c>
      <c r="D586" s="51" t="s">
        <v>3892</v>
      </c>
      <c r="E586" s="51" t="s">
        <v>3893</v>
      </c>
      <c r="F586" s="52">
        <v>6.6283500000000002</v>
      </c>
      <c r="G586" s="52">
        <v>0</v>
      </c>
      <c r="H586" s="52">
        <v>0</v>
      </c>
      <c r="I586" s="52">
        <v>0</v>
      </c>
      <c r="J586" s="51">
        <v>0</v>
      </c>
      <c r="K586" s="54">
        <v>0</v>
      </c>
      <c r="L586" s="51">
        <v>0</v>
      </c>
      <c r="M586" s="54">
        <v>0</v>
      </c>
      <c r="N586" s="53">
        <f t="shared" si="18"/>
        <v>0</v>
      </c>
      <c r="O586" s="53">
        <f t="shared" si="19"/>
        <v>0</v>
      </c>
    </row>
    <row r="587" spans="1:15" x14ac:dyDescent="0.2">
      <c r="A587" s="51" t="s">
        <v>3567</v>
      </c>
      <c r="B587" s="51" t="s">
        <v>3568</v>
      </c>
      <c r="C587" s="51" t="s">
        <v>85</v>
      </c>
      <c r="D587" s="51" t="s">
        <v>2251</v>
      </c>
      <c r="E587" s="51" t="s">
        <v>881</v>
      </c>
      <c r="F587" s="52">
        <v>22842.62648199503</v>
      </c>
      <c r="G587" s="52">
        <v>4240</v>
      </c>
      <c r="H587" s="52">
        <v>14250</v>
      </c>
      <c r="I587" s="52">
        <v>18490</v>
      </c>
      <c r="J587" s="51">
        <v>1</v>
      </c>
      <c r="K587" s="54">
        <v>5000</v>
      </c>
      <c r="L587" s="51">
        <v>0</v>
      </c>
      <c r="M587" s="54">
        <v>0</v>
      </c>
      <c r="N587" s="53">
        <f t="shared" si="18"/>
        <v>5000</v>
      </c>
      <c r="O587" s="53">
        <f t="shared" si="19"/>
        <v>-5000</v>
      </c>
    </row>
    <row r="588" spans="1:15" x14ac:dyDescent="0.2">
      <c r="A588" s="51" t="s">
        <v>3567</v>
      </c>
      <c r="B588" s="51" t="s">
        <v>3568</v>
      </c>
      <c r="C588" s="51" t="s">
        <v>79</v>
      </c>
      <c r="D588" s="51" t="s">
        <v>1647</v>
      </c>
      <c r="E588" s="51" t="s">
        <v>314</v>
      </c>
      <c r="F588" s="52">
        <v>9.9242000000000008</v>
      </c>
      <c r="G588" s="52">
        <v>0</v>
      </c>
      <c r="H588" s="52">
        <v>0</v>
      </c>
      <c r="I588" s="52">
        <v>0</v>
      </c>
      <c r="J588" s="51">
        <v>0</v>
      </c>
      <c r="K588" s="54">
        <v>0</v>
      </c>
      <c r="L588" s="51">
        <v>0</v>
      </c>
      <c r="M588" s="54">
        <v>0</v>
      </c>
      <c r="N588" s="53">
        <f t="shared" si="18"/>
        <v>0</v>
      </c>
      <c r="O588" s="53">
        <f t="shared" si="19"/>
        <v>0</v>
      </c>
    </row>
    <row r="589" spans="1:15" x14ac:dyDescent="0.2">
      <c r="A589" s="51" t="s">
        <v>3567</v>
      </c>
      <c r="B589" s="51" t="s">
        <v>3568</v>
      </c>
      <c r="C589" s="51" t="s">
        <v>3571</v>
      </c>
      <c r="D589" s="51" t="s">
        <v>3903</v>
      </c>
      <c r="E589" s="51" t="s">
        <v>3904</v>
      </c>
      <c r="F589" s="52">
        <v>1.412578364756661</v>
      </c>
      <c r="G589" s="52">
        <v>0</v>
      </c>
      <c r="H589" s="52">
        <v>0</v>
      </c>
      <c r="I589" s="52">
        <v>0</v>
      </c>
      <c r="J589" s="51">
        <v>0</v>
      </c>
      <c r="K589" s="54">
        <v>0</v>
      </c>
      <c r="L589" s="51">
        <v>0</v>
      </c>
      <c r="M589" s="54">
        <v>0</v>
      </c>
      <c r="N589" s="53">
        <f t="shared" si="18"/>
        <v>0</v>
      </c>
      <c r="O589" s="53">
        <f t="shared" si="19"/>
        <v>0</v>
      </c>
    </row>
    <row r="590" spans="1:15" x14ac:dyDescent="0.2">
      <c r="A590" s="51" t="s">
        <v>3567</v>
      </c>
      <c r="B590" s="51" t="s">
        <v>3568</v>
      </c>
      <c r="C590" s="51" t="s">
        <v>3636</v>
      </c>
      <c r="D590" s="51" t="s">
        <v>3860</v>
      </c>
      <c r="E590" s="51" t="s">
        <v>3861</v>
      </c>
      <c r="F590" s="52">
        <v>0.92730000000000001</v>
      </c>
      <c r="G590" s="52">
        <v>0</v>
      </c>
      <c r="H590" s="52">
        <v>0</v>
      </c>
      <c r="I590" s="52">
        <v>0</v>
      </c>
      <c r="J590" s="51">
        <v>0</v>
      </c>
      <c r="K590" s="54">
        <v>0</v>
      </c>
      <c r="L590" s="51">
        <v>0</v>
      </c>
      <c r="M590" s="54">
        <v>0</v>
      </c>
      <c r="N590" s="53">
        <f t="shared" si="18"/>
        <v>0</v>
      </c>
      <c r="O590" s="53">
        <f t="shared" si="19"/>
        <v>0</v>
      </c>
    </row>
    <row r="591" spans="1:15" x14ac:dyDescent="0.2">
      <c r="A591" s="51" t="s">
        <v>3567</v>
      </c>
      <c r="B591" s="51" t="s">
        <v>3568</v>
      </c>
      <c r="C591" s="51" t="s">
        <v>63</v>
      </c>
      <c r="D591" s="51" t="s">
        <v>2751</v>
      </c>
      <c r="E591" s="51" t="s">
        <v>2750</v>
      </c>
      <c r="F591" s="52">
        <v>132.6913672571101</v>
      </c>
      <c r="G591" s="52">
        <v>0</v>
      </c>
      <c r="H591" s="52">
        <v>4000</v>
      </c>
      <c r="I591" s="52">
        <v>4000</v>
      </c>
      <c r="J591" s="51">
        <v>0</v>
      </c>
      <c r="K591" s="54">
        <v>0</v>
      </c>
      <c r="L591" s="51">
        <v>1</v>
      </c>
      <c r="M591" s="54">
        <v>4000</v>
      </c>
      <c r="N591" s="53">
        <f t="shared" si="18"/>
        <v>-4000</v>
      </c>
      <c r="O591" s="53">
        <f t="shared" si="19"/>
        <v>4000</v>
      </c>
    </row>
    <row r="592" spans="1:15" x14ac:dyDescent="0.2">
      <c r="A592" s="51" t="s">
        <v>3567</v>
      </c>
      <c r="B592" s="51" t="s">
        <v>3568</v>
      </c>
      <c r="C592" s="51" t="s">
        <v>64</v>
      </c>
      <c r="D592" s="51" t="s">
        <v>3069</v>
      </c>
      <c r="E592" s="51" t="s">
        <v>3068</v>
      </c>
      <c r="F592" s="52">
        <v>2984.808001862019</v>
      </c>
      <c r="G592" s="52">
        <v>21910</v>
      </c>
      <c r="H592" s="52">
        <v>9800</v>
      </c>
      <c r="I592" s="52">
        <v>31710</v>
      </c>
      <c r="J592" s="51">
        <v>1</v>
      </c>
      <c r="K592" s="54">
        <v>5000</v>
      </c>
      <c r="L592" s="51">
        <v>0</v>
      </c>
      <c r="M592" s="54">
        <v>0</v>
      </c>
      <c r="N592" s="53">
        <f t="shared" si="18"/>
        <v>5000</v>
      </c>
      <c r="O592" s="53">
        <f t="shared" si="19"/>
        <v>-5000</v>
      </c>
    </row>
    <row r="593" spans="1:15" x14ac:dyDescent="0.2">
      <c r="A593" s="51" t="s">
        <v>3567</v>
      </c>
      <c r="B593" s="51" t="s">
        <v>3568</v>
      </c>
      <c r="C593" s="51" t="s">
        <v>79</v>
      </c>
      <c r="D593" s="51" t="s">
        <v>1763</v>
      </c>
      <c r="E593" s="51" t="s">
        <v>1762</v>
      </c>
      <c r="F593" s="52">
        <v>5520.8080998108226</v>
      </c>
      <c r="G593" s="52">
        <v>500</v>
      </c>
      <c r="H593" s="52">
        <v>400</v>
      </c>
      <c r="I593" s="52">
        <v>900</v>
      </c>
      <c r="J593" s="51">
        <v>1</v>
      </c>
      <c r="K593" s="54">
        <v>5000</v>
      </c>
      <c r="L593" s="51">
        <v>0</v>
      </c>
      <c r="M593" s="54">
        <v>0</v>
      </c>
      <c r="N593" s="53">
        <f t="shared" si="18"/>
        <v>5000</v>
      </c>
      <c r="O593" s="53">
        <f t="shared" si="19"/>
        <v>-5000</v>
      </c>
    </row>
    <row r="594" spans="1:15" x14ac:dyDescent="0.2">
      <c r="A594" s="51" t="s">
        <v>3567</v>
      </c>
      <c r="B594" s="51" t="s">
        <v>3568</v>
      </c>
      <c r="C594" s="51" t="s">
        <v>85</v>
      </c>
      <c r="D594" s="51" t="s">
        <v>611</v>
      </c>
      <c r="E594" s="51" t="s">
        <v>610</v>
      </c>
      <c r="F594" s="52">
        <v>2884.9014999999999</v>
      </c>
      <c r="G594" s="52">
        <v>0</v>
      </c>
      <c r="H594" s="52">
        <v>0</v>
      </c>
      <c r="I594" s="52">
        <v>0</v>
      </c>
      <c r="J594" s="51">
        <v>0</v>
      </c>
      <c r="K594" s="54">
        <v>0</v>
      </c>
      <c r="L594" s="51">
        <v>0</v>
      </c>
      <c r="M594" s="54">
        <v>0</v>
      </c>
      <c r="N594" s="53">
        <f t="shared" si="18"/>
        <v>0</v>
      </c>
      <c r="O594" s="53">
        <f t="shared" si="19"/>
        <v>0</v>
      </c>
    </row>
    <row r="595" spans="1:15" x14ac:dyDescent="0.2">
      <c r="A595" s="51" t="s">
        <v>3567</v>
      </c>
      <c r="B595" s="51" t="s">
        <v>3568</v>
      </c>
      <c r="C595" s="51" t="s">
        <v>3666</v>
      </c>
      <c r="D595" s="51" t="s">
        <v>3919</v>
      </c>
      <c r="E595" s="51" t="s">
        <v>3920</v>
      </c>
      <c r="F595" s="52">
        <v>23.534199999999998</v>
      </c>
      <c r="G595" s="52">
        <v>0</v>
      </c>
      <c r="H595" s="52">
        <v>0</v>
      </c>
      <c r="I595" s="52">
        <v>0</v>
      </c>
      <c r="J595" s="51">
        <v>0</v>
      </c>
      <c r="K595" s="54">
        <v>0</v>
      </c>
      <c r="L595" s="51">
        <v>0</v>
      </c>
      <c r="M595" s="54">
        <v>0</v>
      </c>
      <c r="N595" s="53">
        <f t="shared" si="18"/>
        <v>0</v>
      </c>
      <c r="O595" s="53">
        <f t="shared" si="19"/>
        <v>0</v>
      </c>
    </row>
    <row r="596" spans="1:15" x14ac:dyDescent="0.2">
      <c r="A596" s="51" t="s">
        <v>3567</v>
      </c>
      <c r="B596" s="51" t="s">
        <v>3568</v>
      </c>
      <c r="C596" s="51" t="s">
        <v>87</v>
      </c>
      <c r="D596" s="51" t="s">
        <v>1298</v>
      </c>
      <c r="E596" s="51" t="s">
        <v>1297</v>
      </c>
      <c r="F596" s="52">
        <v>5366.7190015576134</v>
      </c>
      <c r="G596" s="52">
        <v>1600</v>
      </c>
      <c r="H596" s="52">
        <v>300</v>
      </c>
      <c r="I596" s="52">
        <v>1900</v>
      </c>
      <c r="J596" s="51">
        <v>1</v>
      </c>
      <c r="K596" s="54">
        <v>6000</v>
      </c>
      <c r="L596" s="51">
        <v>0</v>
      </c>
      <c r="M596" s="54">
        <v>0</v>
      </c>
      <c r="N596" s="53">
        <f t="shared" si="18"/>
        <v>6000</v>
      </c>
      <c r="O596" s="53">
        <f t="shared" si="19"/>
        <v>-6000</v>
      </c>
    </row>
    <row r="597" spans="1:15" x14ac:dyDescent="0.2">
      <c r="A597" s="51" t="s">
        <v>3567</v>
      </c>
      <c r="B597" s="51" t="s">
        <v>3568</v>
      </c>
      <c r="C597" s="51" t="s">
        <v>78</v>
      </c>
      <c r="D597" s="51" t="s">
        <v>430</v>
      </c>
      <c r="E597" s="51" t="s">
        <v>429</v>
      </c>
      <c r="F597" s="52">
        <v>1266.226638264679</v>
      </c>
      <c r="G597" s="52">
        <v>200</v>
      </c>
      <c r="H597" s="52">
        <v>6355</v>
      </c>
      <c r="I597" s="52">
        <v>6555</v>
      </c>
      <c r="J597" s="51">
        <v>1</v>
      </c>
      <c r="K597" s="54">
        <v>5000</v>
      </c>
      <c r="L597" s="51">
        <v>1</v>
      </c>
      <c r="M597" s="54">
        <v>12000</v>
      </c>
      <c r="N597" s="53">
        <f t="shared" si="18"/>
        <v>-7000</v>
      </c>
      <c r="O597" s="53">
        <f t="shared" si="19"/>
        <v>7000</v>
      </c>
    </row>
    <row r="598" spans="1:15" x14ac:dyDescent="0.2">
      <c r="A598" s="51" t="s">
        <v>3567</v>
      </c>
      <c r="B598" s="51" t="s">
        <v>3568</v>
      </c>
      <c r="C598" s="51" t="s">
        <v>60</v>
      </c>
      <c r="D598" s="51" t="s">
        <v>3915</v>
      </c>
      <c r="E598" s="51" t="s">
        <v>3916</v>
      </c>
      <c r="F598" s="52">
        <v>0.62129999999999996</v>
      </c>
      <c r="G598" s="52">
        <v>0</v>
      </c>
      <c r="H598" s="52">
        <v>0</v>
      </c>
      <c r="I598" s="52">
        <v>0</v>
      </c>
      <c r="J598" s="51">
        <v>0</v>
      </c>
      <c r="K598" s="54">
        <v>0</v>
      </c>
      <c r="L598" s="51">
        <v>0</v>
      </c>
      <c r="M598" s="54">
        <v>0</v>
      </c>
      <c r="N598" s="53">
        <f t="shared" si="18"/>
        <v>0</v>
      </c>
      <c r="O598" s="53">
        <f t="shared" si="19"/>
        <v>0</v>
      </c>
    </row>
    <row r="599" spans="1:15" x14ac:dyDescent="0.2">
      <c r="A599" s="51" t="s">
        <v>3567</v>
      </c>
      <c r="B599" s="51" t="s">
        <v>3568</v>
      </c>
      <c r="C599" s="51" t="s">
        <v>71</v>
      </c>
      <c r="D599" s="51" t="s">
        <v>1278</v>
      </c>
      <c r="E599" s="51" t="s">
        <v>1277</v>
      </c>
      <c r="F599" s="52">
        <v>26865.402546648289</v>
      </c>
      <c r="G599" s="52">
        <v>4450</v>
      </c>
      <c r="H599" s="52">
        <v>13660</v>
      </c>
      <c r="I599" s="52">
        <v>18110</v>
      </c>
      <c r="J599" s="51">
        <v>0</v>
      </c>
      <c r="K599" s="54">
        <v>0</v>
      </c>
      <c r="L599" s="51">
        <v>1</v>
      </c>
      <c r="M599" s="54">
        <v>10000</v>
      </c>
      <c r="N599" s="53">
        <f t="shared" si="18"/>
        <v>-10000</v>
      </c>
      <c r="O599" s="53">
        <f t="shared" si="19"/>
        <v>10000</v>
      </c>
    </row>
    <row r="600" spans="1:15" x14ac:dyDescent="0.2">
      <c r="A600" s="51" t="s">
        <v>3567</v>
      </c>
      <c r="B600" s="51" t="s">
        <v>3568</v>
      </c>
      <c r="C600" s="51" t="s">
        <v>64</v>
      </c>
      <c r="D600" s="51" t="s">
        <v>337</v>
      </c>
      <c r="E600" s="51" t="s">
        <v>336</v>
      </c>
      <c r="F600" s="52">
        <v>13159.8033000046</v>
      </c>
      <c r="G600" s="52">
        <v>1100</v>
      </c>
      <c r="H600" s="52">
        <v>200</v>
      </c>
      <c r="I600" s="52">
        <v>1300</v>
      </c>
      <c r="J600" s="51">
        <v>0</v>
      </c>
      <c r="K600" s="54">
        <v>0</v>
      </c>
      <c r="L600" s="51">
        <v>0</v>
      </c>
      <c r="M600" s="54">
        <v>0</v>
      </c>
      <c r="N600" s="53">
        <f t="shared" si="18"/>
        <v>0</v>
      </c>
      <c r="O600" s="53">
        <f t="shared" si="19"/>
        <v>0</v>
      </c>
    </row>
    <row r="601" spans="1:15" x14ac:dyDescent="0.2">
      <c r="A601" s="51" t="s">
        <v>3567</v>
      </c>
      <c r="B601" s="51" t="s">
        <v>3568</v>
      </c>
      <c r="C601" s="51" t="s">
        <v>83</v>
      </c>
      <c r="D601" s="51" t="s">
        <v>1406</v>
      </c>
      <c r="E601" s="51" t="s">
        <v>1405</v>
      </c>
      <c r="F601" s="52">
        <v>5423.311505810726</v>
      </c>
      <c r="G601" s="52">
        <v>200</v>
      </c>
      <c r="H601" s="52">
        <v>5000</v>
      </c>
      <c r="I601" s="52">
        <v>5200</v>
      </c>
      <c r="J601" s="51">
        <v>0</v>
      </c>
      <c r="K601" s="54">
        <v>0</v>
      </c>
      <c r="L601" s="51">
        <v>1</v>
      </c>
      <c r="M601" s="54">
        <v>6000</v>
      </c>
      <c r="N601" s="53">
        <f t="shared" si="18"/>
        <v>-6000</v>
      </c>
      <c r="O601" s="53">
        <f t="shared" si="19"/>
        <v>6000</v>
      </c>
    </row>
    <row r="602" spans="1:15" x14ac:dyDescent="0.2">
      <c r="A602" s="51" t="s">
        <v>3567</v>
      </c>
      <c r="B602" s="51" t="s">
        <v>3568</v>
      </c>
      <c r="C602" s="51" t="s">
        <v>77</v>
      </c>
      <c r="D602" s="51" t="s">
        <v>3509</v>
      </c>
      <c r="E602" s="51" t="s">
        <v>3508</v>
      </c>
      <c r="F602" s="52">
        <v>168.30250000000001</v>
      </c>
      <c r="G602" s="52">
        <v>310</v>
      </c>
      <c r="H602" s="52">
        <v>5300</v>
      </c>
      <c r="I602" s="52">
        <v>5610</v>
      </c>
      <c r="J602" s="51">
        <v>0</v>
      </c>
      <c r="K602" s="54">
        <v>0</v>
      </c>
      <c r="L602" s="51">
        <v>1</v>
      </c>
      <c r="M602" s="54">
        <v>5000</v>
      </c>
      <c r="N602" s="53">
        <f t="shared" si="18"/>
        <v>-5000</v>
      </c>
      <c r="O602" s="53">
        <f t="shared" si="19"/>
        <v>5000</v>
      </c>
    </row>
    <row r="603" spans="1:15" x14ac:dyDescent="0.2">
      <c r="A603" s="51" t="s">
        <v>3567</v>
      </c>
      <c r="B603" s="51" t="s">
        <v>3568</v>
      </c>
      <c r="C603" s="51" t="s">
        <v>69</v>
      </c>
      <c r="D603" s="51" t="s">
        <v>1358</v>
      </c>
      <c r="E603" s="51" t="s">
        <v>1077</v>
      </c>
      <c r="F603" s="52">
        <v>5172.6654483258071</v>
      </c>
      <c r="G603" s="52">
        <v>0</v>
      </c>
      <c r="H603" s="52">
        <v>25960</v>
      </c>
      <c r="I603" s="52">
        <v>25960</v>
      </c>
      <c r="J603" s="51">
        <v>0</v>
      </c>
      <c r="K603" s="54">
        <v>0</v>
      </c>
      <c r="L603" s="51">
        <v>1</v>
      </c>
      <c r="M603" s="54">
        <v>40000</v>
      </c>
      <c r="N603" s="53">
        <f t="shared" si="18"/>
        <v>-40000</v>
      </c>
      <c r="O603" s="53">
        <f t="shared" si="19"/>
        <v>40000</v>
      </c>
    </row>
    <row r="604" spans="1:15" x14ac:dyDescent="0.2">
      <c r="A604" s="51" t="s">
        <v>3567</v>
      </c>
      <c r="B604" s="51" t="s">
        <v>3568</v>
      </c>
      <c r="C604" s="51" t="s">
        <v>3873</v>
      </c>
      <c r="D604" s="51" t="s">
        <v>3874</v>
      </c>
      <c r="E604" s="51" t="s">
        <v>3875</v>
      </c>
      <c r="F604" s="52">
        <v>0.56129098610898553</v>
      </c>
      <c r="G604" s="52">
        <v>0</v>
      </c>
      <c r="H604" s="52">
        <v>0</v>
      </c>
      <c r="I604" s="52">
        <v>0</v>
      </c>
      <c r="J604" s="51">
        <v>0</v>
      </c>
      <c r="K604" s="54">
        <v>0</v>
      </c>
      <c r="L604" s="51">
        <v>0</v>
      </c>
      <c r="M604" s="54">
        <v>0</v>
      </c>
      <c r="N604" s="53">
        <f t="shared" si="18"/>
        <v>0</v>
      </c>
      <c r="O604" s="53">
        <f t="shared" si="19"/>
        <v>0</v>
      </c>
    </row>
    <row r="605" spans="1:15" x14ac:dyDescent="0.2">
      <c r="A605" s="51" t="s">
        <v>3567</v>
      </c>
      <c r="B605" s="51" t="s">
        <v>3568</v>
      </c>
      <c r="C605" s="51" t="s">
        <v>81</v>
      </c>
      <c r="D605" s="51" t="s">
        <v>613</v>
      </c>
      <c r="E605" s="51" t="s">
        <v>612</v>
      </c>
      <c r="F605" s="52">
        <v>5740.2168369251831</v>
      </c>
      <c r="G605" s="52">
        <v>3650</v>
      </c>
      <c r="H605" s="52">
        <v>11640</v>
      </c>
      <c r="I605" s="52">
        <v>15290</v>
      </c>
      <c r="J605" s="51">
        <v>1</v>
      </c>
      <c r="K605" s="54">
        <v>5000</v>
      </c>
      <c r="L605" s="51">
        <v>1</v>
      </c>
      <c r="M605" s="54">
        <v>25000</v>
      </c>
      <c r="N605" s="53">
        <f t="shared" si="18"/>
        <v>-20000</v>
      </c>
      <c r="O605" s="53">
        <f t="shared" si="19"/>
        <v>20000</v>
      </c>
    </row>
    <row r="606" spans="1:15" x14ac:dyDescent="0.2">
      <c r="A606" s="51" t="s">
        <v>3567</v>
      </c>
      <c r="B606" s="51" t="s">
        <v>3568</v>
      </c>
      <c r="C606" s="51" t="s">
        <v>61</v>
      </c>
      <c r="D606" s="51" t="s">
        <v>2553</v>
      </c>
      <c r="E606" s="51" t="s">
        <v>2552</v>
      </c>
      <c r="F606" s="52">
        <v>17838.48767566877</v>
      </c>
      <c r="G606" s="52">
        <v>25010</v>
      </c>
      <c r="H606" s="52">
        <v>3950</v>
      </c>
      <c r="I606" s="52">
        <v>28960</v>
      </c>
      <c r="J606" s="51">
        <v>3</v>
      </c>
      <c r="K606" s="54">
        <v>35000</v>
      </c>
      <c r="L606" s="51">
        <v>0</v>
      </c>
      <c r="M606" s="54">
        <v>0</v>
      </c>
      <c r="N606" s="53">
        <f t="shared" si="18"/>
        <v>35000</v>
      </c>
      <c r="O606" s="53">
        <f t="shared" si="19"/>
        <v>-35000</v>
      </c>
    </row>
    <row r="607" spans="1:15" x14ac:dyDescent="0.2">
      <c r="A607" s="51" t="s">
        <v>3567</v>
      </c>
      <c r="B607" s="51" t="s">
        <v>3568</v>
      </c>
      <c r="C607" s="51" t="s">
        <v>84</v>
      </c>
      <c r="D607" s="51" t="s">
        <v>906</v>
      </c>
      <c r="E607" s="51" t="s">
        <v>905</v>
      </c>
      <c r="F607" s="52">
        <v>1452.8426000004999</v>
      </c>
      <c r="G607" s="52">
        <v>14130</v>
      </c>
      <c r="H607" s="52">
        <v>3950</v>
      </c>
      <c r="I607" s="52">
        <v>18080</v>
      </c>
      <c r="J607" s="51">
        <v>1</v>
      </c>
      <c r="K607" s="54">
        <v>10000</v>
      </c>
      <c r="L607" s="51">
        <v>0</v>
      </c>
      <c r="M607" s="54">
        <v>0</v>
      </c>
      <c r="N607" s="53">
        <f t="shared" si="18"/>
        <v>10000</v>
      </c>
      <c r="O607" s="53">
        <f t="shared" si="19"/>
        <v>-10000</v>
      </c>
    </row>
    <row r="608" spans="1:15" x14ac:dyDescent="0.2">
      <c r="A608" s="51" t="s">
        <v>3567</v>
      </c>
      <c r="B608" s="51" t="s">
        <v>3568</v>
      </c>
      <c r="C608" s="51" t="s">
        <v>3647</v>
      </c>
      <c r="D608" s="51" t="s">
        <v>3854</v>
      </c>
      <c r="E608" s="51" t="s">
        <v>3855</v>
      </c>
      <c r="F608" s="52">
        <v>6.4212324532503464</v>
      </c>
      <c r="G608" s="52">
        <v>0</v>
      </c>
      <c r="H608" s="52">
        <v>0</v>
      </c>
      <c r="I608" s="52">
        <v>0</v>
      </c>
      <c r="J608" s="51">
        <v>0</v>
      </c>
      <c r="K608" s="54">
        <v>0</v>
      </c>
      <c r="L608" s="51">
        <v>0</v>
      </c>
      <c r="M608" s="54">
        <v>0</v>
      </c>
      <c r="N608" s="53">
        <f t="shared" si="18"/>
        <v>0</v>
      </c>
      <c r="O608" s="53">
        <f t="shared" si="19"/>
        <v>0</v>
      </c>
    </row>
    <row r="609" spans="1:15" x14ac:dyDescent="0.2">
      <c r="A609" s="51" t="s">
        <v>3567</v>
      </c>
      <c r="B609" s="51" t="s">
        <v>3568</v>
      </c>
      <c r="C609" s="51" t="s">
        <v>65</v>
      </c>
      <c r="D609" s="51" t="s">
        <v>196</v>
      </c>
      <c r="E609" s="51" t="s">
        <v>195</v>
      </c>
      <c r="F609" s="52">
        <v>4.2131750835255053</v>
      </c>
      <c r="G609" s="52">
        <v>0</v>
      </c>
      <c r="H609" s="52">
        <v>0</v>
      </c>
      <c r="I609" s="52">
        <v>0</v>
      </c>
      <c r="J609" s="51">
        <v>0</v>
      </c>
      <c r="K609" s="54">
        <v>0</v>
      </c>
      <c r="L609" s="51">
        <v>0</v>
      </c>
      <c r="M609" s="54">
        <v>0</v>
      </c>
      <c r="N609" s="53">
        <f t="shared" si="18"/>
        <v>0</v>
      </c>
      <c r="O609" s="53">
        <f t="shared" si="19"/>
        <v>0</v>
      </c>
    </row>
    <row r="610" spans="1:15" x14ac:dyDescent="0.2">
      <c r="A610" s="51" t="s">
        <v>3567</v>
      </c>
      <c r="B610" s="51" t="s">
        <v>3568</v>
      </c>
      <c r="C610" s="51" t="s">
        <v>77</v>
      </c>
      <c r="D610" s="51" t="s">
        <v>974</v>
      </c>
      <c r="E610" s="51" t="s">
        <v>973</v>
      </c>
      <c r="F610" s="52">
        <v>2830.2226999999998</v>
      </c>
      <c r="G610" s="52">
        <v>15050</v>
      </c>
      <c r="H610" s="52">
        <v>8290</v>
      </c>
      <c r="I610" s="52">
        <v>23340</v>
      </c>
      <c r="J610" s="51">
        <v>1</v>
      </c>
      <c r="K610" s="54">
        <v>5000</v>
      </c>
      <c r="L610" s="51">
        <v>0</v>
      </c>
      <c r="M610" s="54">
        <v>0</v>
      </c>
      <c r="N610" s="53">
        <f t="shared" si="18"/>
        <v>5000</v>
      </c>
      <c r="O610" s="53">
        <f t="shared" si="19"/>
        <v>-5000</v>
      </c>
    </row>
    <row r="611" spans="1:15" x14ac:dyDescent="0.2">
      <c r="A611" s="51" t="s">
        <v>3567</v>
      </c>
      <c r="B611" s="51" t="s">
        <v>3568</v>
      </c>
      <c r="C611" s="51" t="s">
        <v>76</v>
      </c>
      <c r="D611" s="51" t="s">
        <v>3251</v>
      </c>
      <c r="E611" s="51" t="s">
        <v>3250</v>
      </c>
      <c r="F611" s="52">
        <v>1689.009063821926</v>
      </c>
      <c r="G611" s="52">
        <v>3410</v>
      </c>
      <c r="H611" s="52">
        <v>500</v>
      </c>
      <c r="I611" s="52">
        <v>3910</v>
      </c>
      <c r="J611" s="51">
        <v>1</v>
      </c>
      <c r="K611" s="54">
        <v>5000</v>
      </c>
      <c r="L611" s="51">
        <v>0</v>
      </c>
      <c r="M611" s="54">
        <v>0</v>
      </c>
      <c r="N611" s="53">
        <f t="shared" si="18"/>
        <v>5000</v>
      </c>
      <c r="O611" s="53">
        <f t="shared" si="19"/>
        <v>-5000</v>
      </c>
    </row>
    <row r="612" spans="1:15" x14ac:dyDescent="0.2">
      <c r="A612" s="51" t="s">
        <v>3567</v>
      </c>
      <c r="B612" s="51" t="s">
        <v>3568</v>
      </c>
      <c r="C612" s="51" t="s">
        <v>54</v>
      </c>
      <c r="D612" s="51" t="s">
        <v>481</v>
      </c>
      <c r="E612" s="51" t="s">
        <v>480</v>
      </c>
      <c r="F612" s="52">
        <v>2.0943307453543398</v>
      </c>
      <c r="G612" s="52">
        <v>0</v>
      </c>
      <c r="H612" s="52">
        <v>0</v>
      </c>
      <c r="I612" s="52">
        <v>0</v>
      </c>
      <c r="J612" s="51">
        <v>0</v>
      </c>
      <c r="K612" s="54">
        <v>0</v>
      </c>
      <c r="L612" s="51">
        <v>0</v>
      </c>
      <c r="M612" s="54">
        <v>0</v>
      </c>
      <c r="N612" s="53">
        <f t="shared" si="18"/>
        <v>0</v>
      </c>
      <c r="O612" s="53">
        <f t="shared" si="19"/>
        <v>0</v>
      </c>
    </row>
    <row r="613" spans="1:15" x14ac:dyDescent="0.2">
      <c r="A613" s="51" t="s">
        <v>3567</v>
      </c>
      <c r="B613" s="51" t="s">
        <v>3568</v>
      </c>
      <c r="C613" s="51" t="s">
        <v>53</v>
      </c>
      <c r="D613" s="51" t="s">
        <v>2070</v>
      </c>
      <c r="E613" s="51" t="s">
        <v>2069</v>
      </c>
      <c r="F613" s="52">
        <v>12535.87165199047</v>
      </c>
      <c r="G613" s="52">
        <v>6570</v>
      </c>
      <c r="H613" s="52">
        <v>1890</v>
      </c>
      <c r="I613" s="52">
        <v>8460</v>
      </c>
      <c r="J613" s="51">
        <v>1</v>
      </c>
      <c r="K613" s="54">
        <v>10000</v>
      </c>
      <c r="L613" s="51">
        <v>1</v>
      </c>
      <c r="M613" s="54">
        <v>5000</v>
      </c>
      <c r="N613" s="53">
        <f t="shared" si="18"/>
        <v>5000</v>
      </c>
      <c r="O613" s="53">
        <f t="shared" si="19"/>
        <v>-5000</v>
      </c>
    </row>
    <row r="614" spans="1:15" x14ac:dyDescent="0.2">
      <c r="A614" s="51" t="s">
        <v>3567</v>
      </c>
      <c r="B614" s="51" t="s">
        <v>3568</v>
      </c>
      <c r="C614" s="51" t="s">
        <v>82</v>
      </c>
      <c r="D614" s="51" t="s">
        <v>2044</v>
      </c>
      <c r="E614" s="51" t="s">
        <v>2043</v>
      </c>
      <c r="F614" s="52">
        <v>309.13434336770962</v>
      </c>
      <c r="G614" s="52">
        <v>47140</v>
      </c>
      <c r="H614" s="52">
        <v>300</v>
      </c>
      <c r="I614" s="52">
        <v>47440</v>
      </c>
      <c r="J614" s="51">
        <v>5</v>
      </c>
      <c r="K614" s="54">
        <v>42000</v>
      </c>
      <c r="L614" s="51">
        <v>0</v>
      </c>
      <c r="M614" s="54">
        <v>0</v>
      </c>
      <c r="N614" s="53">
        <f t="shared" si="18"/>
        <v>42000</v>
      </c>
      <c r="O614" s="53">
        <f t="shared" si="19"/>
        <v>-42000</v>
      </c>
    </row>
    <row r="615" spans="1:15" x14ac:dyDescent="0.2">
      <c r="A615" s="51" t="s">
        <v>3567</v>
      </c>
      <c r="B615" s="51" t="s">
        <v>3568</v>
      </c>
      <c r="C615" s="51" t="s">
        <v>84</v>
      </c>
      <c r="D615" s="51" t="s">
        <v>996</v>
      </c>
      <c r="E615" s="51" t="s">
        <v>995</v>
      </c>
      <c r="F615" s="52">
        <v>11990.785489535599</v>
      </c>
      <c r="G615" s="52">
        <v>2100</v>
      </c>
      <c r="H615" s="52">
        <v>2600</v>
      </c>
      <c r="I615" s="52">
        <v>4700</v>
      </c>
      <c r="J615" s="51">
        <v>1</v>
      </c>
      <c r="K615" s="54">
        <v>5000</v>
      </c>
      <c r="L615" s="51">
        <v>0</v>
      </c>
      <c r="M615" s="54">
        <v>0</v>
      </c>
      <c r="N615" s="53">
        <f t="shared" si="18"/>
        <v>5000</v>
      </c>
      <c r="O615" s="53">
        <f t="shared" si="19"/>
        <v>-5000</v>
      </c>
    </row>
    <row r="616" spans="1:15" x14ac:dyDescent="0.2">
      <c r="A616" s="51" t="s">
        <v>3567</v>
      </c>
      <c r="B616" s="51" t="s">
        <v>3568</v>
      </c>
      <c r="C616" s="51" t="s">
        <v>3698</v>
      </c>
      <c r="D616" s="51" t="s">
        <v>3899</v>
      </c>
      <c r="E616" s="51" t="s">
        <v>3900</v>
      </c>
      <c r="F616" s="52">
        <v>5.2787499999999996</v>
      </c>
      <c r="G616" s="52">
        <v>0</v>
      </c>
      <c r="H616" s="52">
        <v>0</v>
      </c>
      <c r="I616" s="52">
        <v>0</v>
      </c>
      <c r="J616" s="51">
        <v>0</v>
      </c>
      <c r="K616" s="54">
        <v>0</v>
      </c>
      <c r="L616" s="51">
        <v>0</v>
      </c>
      <c r="M616" s="54">
        <v>0</v>
      </c>
      <c r="N616" s="53">
        <f t="shared" si="18"/>
        <v>0</v>
      </c>
      <c r="O616" s="53">
        <f t="shared" si="19"/>
        <v>0</v>
      </c>
    </row>
    <row r="617" spans="1:15" x14ac:dyDescent="0.2">
      <c r="A617" s="51" t="s">
        <v>3567</v>
      </c>
      <c r="B617" s="51" t="s">
        <v>3568</v>
      </c>
      <c r="C617" s="51" t="s">
        <v>73</v>
      </c>
      <c r="D617" s="51" t="s">
        <v>2647</v>
      </c>
      <c r="E617" s="51" t="s">
        <v>2646</v>
      </c>
      <c r="F617" s="52">
        <v>9019.2289000012006</v>
      </c>
      <c r="G617" s="52">
        <v>1060</v>
      </c>
      <c r="H617" s="52">
        <v>6050</v>
      </c>
      <c r="I617" s="52">
        <v>7110</v>
      </c>
      <c r="J617" s="51">
        <v>0</v>
      </c>
      <c r="K617" s="54">
        <v>0</v>
      </c>
      <c r="L617" s="51">
        <v>1</v>
      </c>
      <c r="M617" s="54">
        <v>5000</v>
      </c>
      <c r="N617" s="53">
        <f t="shared" si="18"/>
        <v>-5000</v>
      </c>
      <c r="O617" s="53">
        <f t="shared" si="19"/>
        <v>5000</v>
      </c>
    </row>
    <row r="618" spans="1:15" x14ac:dyDescent="0.2">
      <c r="A618" s="51" t="s">
        <v>3567</v>
      </c>
      <c r="B618" s="51" t="s">
        <v>3568</v>
      </c>
      <c r="C618" s="51" t="s">
        <v>71</v>
      </c>
      <c r="D618" s="51" t="s">
        <v>218</v>
      </c>
      <c r="E618" s="51" t="s">
        <v>217</v>
      </c>
      <c r="F618" s="52">
        <v>4.8179040861872418</v>
      </c>
      <c r="G618" s="52">
        <v>0</v>
      </c>
      <c r="H618" s="52">
        <v>0</v>
      </c>
      <c r="I618" s="52">
        <v>0</v>
      </c>
      <c r="J618" s="51">
        <v>0</v>
      </c>
      <c r="K618" s="54">
        <v>0</v>
      </c>
      <c r="L618" s="51">
        <v>0</v>
      </c>
      <c r="M618" s="54">
        <v>0</v>
      </c>
      <c r="N618" s="53">
        <f t="shared" si="18"/>
        <v>0</v>
      </c>
      <c r="O618" s="53">
        <f t="shared" si="19"/>
        <v>0</v>
      </c>
    </row>
    <row r="619" spans="1:15" x14ac:dyDescent="0.2">
      <c r="A619" s="51" t="s">
        <v>3567</v>
      </c>
      <c r="B619" s="51" t="s">
        <v>3568</v>
      </c>
      <c r="C619" s="51" t="s">
        <v>69</v>
      </c>
      <c r="D619" s="51" t="s">
        <v>168</v>
      </c>
      <c r="E619" s="51" t="s">
        <v>167</v>
      </c>
      <c r="F619" s="52">
        <v>18780.997200000002</v>
      </c>
      <c r="G619" s="52">
        <v>2015</v>
      </c>
      <c r="H619" s="52">
        <v>18780</v>
      </c>
      <c r="I619" s="52">
        <v>20795</v>
      </c>
      <c r="J619" s="51">
        <v>0</v>
      </c>
      <c r="K619" s="54">
        <v>0</v>
      </c>
      <c r="L619" s="51">
        <v>1</v>
      </c>
      <c r="M619" s="54">
        <v>7000</v>
      </c>
      <c r="N619" s="53">
        <f t="shared" si="18"/>
        <v>-7000</v>
      </c>
      <c r="O619" s="53">
        <f t="shared" si="19"/>
        <v>7000</v>
      </c>
    </row>
    <row r="620" spans="1:15" x14ac:dyDescent="0.2">
      <c r="A620" s="51" t="s">
        <v>3567</v>
      </c>
      <c r="B620" s="51" t="s">
        <v>3568</v>
      </c>
      <c r="C620" s="51" t="s">
        <v>55</v>
      </c>
      <c r="D620" s="51" t="s">
        <v>164</v>
      </c>
      <c r="E620" s="51" t="s">
        <v>163</v>
      </c>
      <c r="F620" s="52">
        <v>10835.148020821331</v>
      </c>
      <c r="G620" s="52">
        <v>2650</v>
      </c>
      <c r="H620" s="52">
        <v>2990</v>
      </c>
      <c r="I620" s="52">
        <v>5640</v>
      </c>
      <c r="J620" s="51">
        <v>1</v>
      </c>
      <c r="K620" s="54">
        <v>6000</v>
      </c>
      <c r="L620" s="51">
        <v>0</v>
      </c>
      <c r="M620" s="54">
        <v>0</v>
      </c>
      <c r="N620" s="53">
        <f t="shared" si="18"/>
        <v>6000</v>
      </c>
      <c r="O620" s="53">
        <f t="shared" si="19"/>
        <v>-6000</v>
      </c>
    </row>
    <row r="621" spans="1:15" x14ac:dyDescent="0.2">
      <c r="A621" s="51" t="s">
        <v>3567</v>
      </c>
      <c r="B621" s="51" t="s">
        <v>3568</v>
      </c>
      <c r="C621" s="51" t="s">
        <v>3574</v>
      </c>
      <c r="D621" s="51" t="s">
        <v>3858</v>
      </c>
      <c r="E621" s="51" t="s">
        <v>3859</v>
      </c>
      <c r="F621" s="52">
        <v>4.6797229996745484</v>
      </c>
      <c r="G621" s="52">
        <v>0</v>
      </c>
      <c r="H621" s="52">
        <v>0</v>
      </c>
      <c r="I621" s="52">
        <v>0</v>
      </c>
      <c r="J621" s="51">
        <v>0</v>
      </c>
      <c r="K621" s="54">
        <v>0</v>
      </c>
      <c r="L621" s="51">
        <v>0</v>
      </c>
      <c r="M621" s="54">
        <v>0</v>
      </c>
      <c r="N621" s="53">
        <f t="shared" si="18"/>
        <v>0</v>
      </c>
      <c r="O621" s="53">
        <f t="shared" si="19"/>
        <v>0</v>
      </c>
    </row>
    <row r="622" spans="1:15" x14ac:dyDescent="0.2">
      <c r="A622" s="51" t="s">
        <v>3567</v>
      </c>
      <c r="B622" s="51" t="s">
        <v>3568</v>
      </c>
      <c r="C622" s="51" t="s">
        <v>92</v>
      </c>
      <c r="D622" s="51" t="s">
        <v>3418</v>
      </c>
      <c r="E622" s="51" t="s">
        <v>2555</v>
      </c>
      <c r="F622" s="52">
        <v>14478.008400000001</v>
      </c>
      <c r="G622" s="52">
        <v>8240</v>
      </c>
      <c r="H622" s="52">
        <v>4550</v>
      </c>
      <c r="I622" s="52">
        <v>12790</v>
      </c>
      <c r="J622" s="51">
        <v>0</v>
      </c>
      <c r="K622" s="54">
        <v>0</v>
      </c>
      <c r="L622" s="51">
        <v>1</v>
      </c>
      <c r="M622" s="54">
        <v>10000</v>
      </c>
      <c r="N622" s="53">
        <f t="shared" si="18"/>
        <v>-10000</v>
      </c>
      <c r="O622" s="53">
        <f t="shared" si="19"/>
        <v>10000</v>
      </c>
    </row>
    <row r="623" spans="1:15" x14ac:dyDescent="0.2">
      <c r="A623" s="51" t="s">
        <v>3567</v>
      </c>
      <c r="B623" s="51" t="s">
        <v>3568</v>
      </c>
      <c r="C623" s="51" t="s">
        <v>76</v>
      </c>
      <c r="D623" s="51" t="s">
        <v>2664</v>
      </c>
      <c r="E623" s="51" t="s">
        <v>2663</v>
      </c>
      <c r="F623" s="52">
        <v>5519.8597000005002</v>
      </c>
      <c r="G623" s="52">
        <v>510</v>
      </c>
      <c r="H623" s="52">
        <v>0</v>
      </c>
      <c r="I623" s="52">
        <v>510</v>
      </c>
      <c r="J623" s="51">
        <v>1</v>
      </c>
      <c r="K623" s="54">
        <v>5000</v>
      </c>
      <c r="L623" s="51">
        <v>0</v>
      </c>
      <c r="M623" s="54">
        <v>0</v>
      </c>
      <c r="N623" s="53">
        <f t="shared" si="18"/>
        <v>5000</v>
      </c>
      <c r="O623" s="53">
        <f t="shared" si="19"/>
        <v>-5000</v>
      </c>
    </row>
    <row r="624" spans="1:15" x14ac:dyDescent="0.2">
      <c r="A624" s="51" t="s">
        <v>3567</v>
      </c>
      <c r="B624" s="51" t="s">
        <v>3568</v>
      </c>
      <c r="C624" s="51" t="s">
        <v>3756</v>
      </c>
      <c r="D624" s="51" t="s">
        <v>3890</v>
      </c>
      <c r="E624" s="51" t="s">
        <v>3891</v>
      </c>
      <c r="F624" s="52">
        <v>9.0457659465148588</v>
      </c>
      <c r="G624" s="52">
        <v>0</v>
      </c>
      <c r="H624" s="52">
        <v>0</v>
      </c>
      <c r="I624" s="52">
        <v>0</v>
      </c>
      <c r="J624" s="51">
        <v>0</v>
      </c>
      <c r="K624" s="54">
        <v>0</v>
      </c>
      <c r="L624" s="51">
        <v>0</v>
      </c>
      <c r="M624" s="54">
        <v>0</v>
      </c>
      <c r="N624" s="53">
        <f t="shared" si="18"/>
        <v>0</v>
      </c>
      <c r="O624" s="53">
        <f t="shared" si="19"/>
        <v>0</v>
      </c>
    </row>
    <row r="625" spans="1:15" x14ac:dyDescent="0.2">
      <c r="A625" s="51" t="s">
        <v>3567</v>
      </c>
      <c r="B625" s="51" t="s">
        <v>3568</v>
      </c>
      <c r="C625" s="51" t="s">
        <v>52</v>
      </c>
      <c r="D625" s="51" t="s">
        <v>120</v>
      </c>
      <c r="E625" s="51" t="s">
        <v>119</v>
      </c>
      <c r="F625" s="52">
        <v>24961.598610000001</v>
      </c>
      <c r="G625" s="52">
        <v>14450</v>
      </c>
      <c r="H625" s="52">
        <v>23699</v>
      </c>
      <c r="I625" s="52">
        <v>38149</v>
      </c>
      <c r="J625" s="51">
        <v>1</v>
      </c>
      <c r="K625" s="54">
        <v>5000</v>
      </c>
      <c r="L625" s="51">
        <v>0</v>
      </c>
      <c r="M625" s="54">
        <v>0</v>
      </c>
      <c r="N625" s="53">
        <f t="shared" si="18"/>
        <v>5000</v>
      </c>
      <c r="O625" s="53">
        <f t="shared" si="19"/>
        <v>-5000</v>
      </c>
    </row>
    <row r="626" spans="1:15" x14ac:dyDescent="0.2">
      <c r="A626" s="51" t="s">
        <v>3567</v>
      </c>
      <c r="B626" s="51" t="s">
        <v>3568</v>
      </c>
      <c r="C626" s="51" t="s">
        <v>78</v>
      </c>
      <c r="D626" s="51" t="s">
        <v>2173</v>
      </c>
      <c r="E626" s="51" t="s">
        <v>2172</v>
      </c>
      <c r="F626" s="52">
        <v>3214.4099100184822</v>
      </c>
      <c r="G626" s="52">
        <v>600</v>
      </c>
      <c r="H626" s="52">
        <v>0</v>
      </c>
      <c r="I626" s="52">
        <v>600</v>
      </c>
      <c r="J626" s="51">
        <v>0</v>
      </c>
      <c r="K626" s="54">
        <v>0</v>
      </c>
      <c r="L626" s="51">
        <v>1</v>
      </c>
      <c r="M626" s="54">
        <v>5000</v>
      </c>
      <c r="N626" s="53">
        <f t="shared" si="18"/>
        <v>-5000</v>
      </c>
      <c r="O626" s="53">
        <f t="shared" si="19"/>
        <v>5000</v>
      </c>
    </row>
    <row r="627" spans="1:15" x14ac:dyDescent="0.2">
      <c r="A627" s="51" t="s">
        <v>3567</v>
      </c>
      <c r="B627" s="51" t="s">
        <v>3568</v>
      </c>
      <c r="C627" s="51" t="s">
        <v>56</v>
      </c>
      <c r="D627" s="51" t="s">
        <v>440</v>
      </c>
      <c r="E627" s="51" t="s">
        <v>439</v>
      </c>
      <c r="F627" s="52">
        <v>8355.4697604409539</v>
      </c>
      <c r="G627" s="52">
        <v>2500</v>
      </c>
      <c r="H627" s="52">
        <v>6590</v>
      </c>
      <c r="I627" s="52">
        <v>9090</v>
      </c>
      <c r="J627" s="51">
        <v>0</v>
      </c>
      <c r="K627" s="54">
        <v>0</v>
      </c>
      <c r="L627" s="51">
        <v>1</v>
      </c>
      <c r="M627" s="54">
        <v>10000</v>
      </c>
      <c r="N627" s="53">
        <f t="shared" si="18"/>
        <v>-10000</v>
      </c>
      <c r="O627" s="53">
        <f t="shared" si="19"/>
        <v>10000</v>
      </c>
    </row>
    <row r="628" spans="1:15" x14ac:dyDescent="0.2">
      <c r="A628" s="51" t="s">
        <v>3567</v>
      </c>
      <c r="B628" s="51" t="s">
        <v>3568</v>
      </c>
      <c r="C628" s="51" t="s">
        <v>64</v>
      </c>
      <c r="D628" s="51" t="s">
        <v>1707</v>
      </c>
      <c r="E628" s="51" t="s">
        <v>1706</v>
      </c>
      <c r="F628" s="52">
        <v>12302.5084000723</v>
      </c>
      <c r="G628" s="52">
        <v>28830</v>
      </c>
      <c r="H628" s="52">
        <v>39830</v>
      </c>
      <c r="I628" s="52">
        <v>68660</v>
      </c>
      <c r="J628" s="51">
        <v>2</v>
      </c>
      <c r="K628" s="54">
        <v>18000</v>
      </c>
      <c r="L628" s="51">
        <v>1</v>
      </c>
      <c r="M628" s="54">
        <v>40000</v>
      </c>
      <c r="N628" s="53">
        <f t="shared" si="18"/>
        <v>-22000</v>
      </c>
      <c r="O628" s="53">
        <f t="shared" si="19"/>
        <v>22000</v>
      </c>
    </row>
    <row r="629" spans="1:15" x14ac:dyDescent="0.2">
      <c r="A629" s="51" t="s">
        <v>3567</v>
      </c>
      <c r="B629" s="51" t="s">
        <v>3568</v>
      </c>
      <c r="C629" s="51" t="s">
        <v>56</v>
      </c>
      <c r="D629" s="51" t="s">
        <v>3896</v>
      </c>
      <c r="E629" s="51" t="s">
        <v>3897</v>
      </c>
      <c r="F629" s="52">
        <v>186.84389999999999</v>
      </c>
      <c r="G629" s="52">
        <v>0</v>
      </c>
      <c r="H629" s="52">
        <v>0</v>
      </c>
      <c r="I629" s="52">
        <v>0</v>
      </c>
      <c r="J629" s="51">
        <v>0</v>
      </c>
      <c r="K629" s="54">
        <v>0</v>
      </c>
      <c r="L629" s="51">
        <v>0</v>
      </c>
      <c r="M629" s="54">
        <v>0</v>
      </c>
      <c r="N629" s="53">
        <f t="shared" si="18"/>
        <v>0</v>
      </c>
      <c r="O629" s="53">
        <f t="shared" si="19"/>
        <v>0</v>
      </c>
    </row>
    <row r="630" spans="1:15" x14ac:dyDescent="0.2">
      <c r="A630" s="51" t="s">
        <v>3567</v>
      </c>
      <c r="B630" s="51" t="s">
        <v>3568</v>
      </c>
      <c r="C630" s="51" t="s">
        <v>3707</v>
      </c>
      <c r="D630" s="51" t="s">
        <v>3852</v>
      </c>
      <c r="E630" s="51" t="s">
        <v>3853</v>
      </c>
      <c r="F630" s="52">
        <v>1.0354000000000001</v>
      </c>
      <c r="G630" s="52">
        <v>0</v>
      </c>
      <c r="H630" s="52">
        <v>0</v>
      </c>
      <c r="I630" s="52">
        <v>0</v>
      </c>
      <c r="J630" s="51">
        <v>0</v>
      </c>
      <c r="K630" s="54">
        <v>0</v>
      </c>
      <c r="L630" s="51">
        <v>0</v>
      </c>
      <c r="M630" s="54">
        <v>0</v>
      </c>
      <c r="N630" s="53">
        <f t="shared" si="18"/>
        <v>0</v>
      </c>
      <c r="O630" s="53">
        <f t="shared" si="19"/>
        <v>0</v>
      </c>
    </row>
    <row r="631" spans="1:15" x14ac:dyDescent="0.2">
      <c r="A631" s="51" t="s">
        <v>3567</v>
      </c>
      <c r="B631" s="51" t="s">
        <v>3568</v>
      </c>
      <c r="C631" s="51" t="s">
        <v>82</v>
      </c>
      <c r="D631" s="51" t="s">
        <v>2192</v>
      </c>
      <c r="E631" s="51" t="s">
        <v>2191</v>
      </c>
      <c r="F631" s="52">
        <v>95.186280749999995</v>
      </c>
      <c r="G631" s="52">
        <v>103</v>
      </c>
      <c r="H631" s="52">
        <v>24070</v>
      </c>
      <c r="I631" s="52">
        <v>24173</v>
      </c>
      <c r="J631" s="51">
        <v>0</v>
      </c>
      <c r="K631" s="54">
        <v>0</v>
      </c>
      <c r="L631" s="51">
        <v>1</v>
      </c>
      <c r="M631" s="54">
        <v>24000</v>
      </c>
      <c r="N631" s="53">
        <f t="shared" si="18"/>
        <v>-24000</v>
      </c>
      <c r="O631" s="53">
        <f t="shared" si="19"/>
        <v>24000</v>
      </c>
    </row>
    <row r="632" spans="1:15" x14ac:dyDescent="0.2">
      <c r="A632" s="51" t="s">
        <v>3567</v>
      </c>
      <c r="B632" s="51" t="s">
        <v>3568</v>
      </c>
      <c r="C632" s="51" t="s">
        <v>69</v>
      </c>
      <c r="D632" s="51" t="s">
        <v>3938</v>
      </c>
      <c r="E632" s="51" t="s">
        <v>3939</v>
      </c>
      <c r="F632" s="52">
        <v>10.30775137339946</v>
      </c>
      <c r="G632" s="52">
        <v>0</v>
      </c>
      <c r="H632" s="52">
        <v>0</v>
      </c>
      <c r="I632" s="52">
        <v>0</v>
      </c>
      <c r="J632" s="51">
        <v>0</v>
      </c>
      <c r="K632" s="54">
        <v>0</v>
      </c>
      <c r="L632" s="51">
        <v>0</v>
      </c>
      <c r="M632" s="54">
        <v>0</v>
      </c>
      <c r="N632" s="53">
        <f t="shared" si="18"/>
        <v>0</v>
      </c>
      <c r="O632" s="53">
        <f t="shared" si="19"/>
        <v>0</v>
      </c>
    </row>
    <row r="633" spans="1:15" x14ac:dyDescent="0.2">
      <c r="A633" s="51" t="s">
        <v>3567</v>
      </c>
      <c r="B633" s="51" t="s">
        <v>3568</v>
      </c>
      <c r="C633" s="51" t="s">
        <v>3627</v>
      </c>
      <c r="D633" s="51" t="s">
        <v>3927</v>
      </c>
      <c r="E633" s="51" t="s">
        <v>3928</v>
      </c>
      <c r="F633" s="52">
        <v>4.05145</v>
      </c>
      <c r="G633" s="52">
        <v>0</v>
      </c>
      <c r="H633" s="52">
        <v>0</v>
      </c>
      <c r="I633" s="52">
        <v>0</v>
      </c>
      <c r="J633" s="51">
        <v>0</v>
      </c>
      <c r="K633" s="54">
        <v>0</v>
      </c>
      <c r="L633" s="51">
        <v>0</v>
      </c>
      <c r="M633" s="54">
        <v>0</v>
      </c>
      <c r="N633" s="53">
        <f t="shared" si="18"/>
        <v>0</v>
      </c>
      <c r="O633" s="53">
        <f t="shared" si="19"/>
        <v>0</v>
      </c>
    </row>
    <row r="634" spans="1:15" x14ac:dyDescent="0.2">
      <c r="A634" s="51" t="s">
        <v>3567</v>
      </c>
      <c r="B634" s="51" t="s">
        <v>3568</v>
      </c>
      <c r="C634" s="51" t="s">
        <v>3583</v>
      </c>
      <c r="D634" s="51" t="s">
        <v>3887</v>
      </c>
      <c r="E634" s="51" t="s">
        <v>797</v>
      </c>
      <c r="F634" s="52">
        <v>46.757849408289431</v>
      </c>
      <c r="G634" s="52">
        <v>0</v>
      </c>
      <c r="H634" s="52">
        <v>0</v>
      </c>
      <c r="I634" s="52">
        <v>0</v>
      </c>
      <c r="J634" s="51">
        <v>0</v>
      </c>
      <c r="K634" s="54">
        <v>0</v>
      </c>
      <c r="L634" s="51">
        <v>0</v>
      </c>
      <c r="M634" s="54">
        <v>0</v>
      </c>
      <c r="N634" s="53">
        <f t="shared" si="18"/>
        <v>0</v>
      </c>
      <c r="O634" s="53">
        <f t="shared" si="19"/>
        <v>0</v>
      </c>
    </row>
    <row r="635" spans="1:15" x14ac:dyDescent="0.2">
      <c r="A635" s="51" t="s">
        <v>3567</v>
      </c>
      <c r="B635" s="51" t="s">
        <v>3568</v>
      </c>
      <c r="C635" s="51" t="s">
        <v>54</v>
      </c>
      <c r="D635" s="51" t="s">
        <v>118</v>
      </c>
      <c r="E635" s="51" t="s">
        <v>117</v>
      </c>
      <c r="F635" s="52">
        <v>6112.9352535594226</v>
      </c>
      <c r="G635" s="52">
        <v>0</v>
      </c>
      <c r="H635" s="52">
        <v>0</v>
      </c>
      <c r="I635" s="52">
        <v>0</v>
      </c>
      <c r="J635" s="51">
        <v>2</v>
      </c>
      <c r="K635" s="54">
        <v>6000</v>
      </c>
      <c r="L635" s="51">
        <v>0</v>
      </c>
      <c r="M635" s="54">
        <v>0</v>
      </c>
      <c r="N635" s="53">
        <f t="shared" si="18"/>
        <v>6000</v>
      </c>
      <c r="O635" s="53">
        <f t="shared" si="19"/>
        <v>-6000</v>
      </c>
    </row>
    <row r="636" spans="1:15" x14ac:dyDescent="0.2">
      <c r="A636" s="51" t="s">
        <v>3567</v>
      </c>
      <c r="B636" s="51" t="s">
        <v>3568</v>
      </c>
      <c r="C636" s="51" t="s">
        <v>63</v>
      </c>
      <c r="D636" s="51" t="s">
        <v>2735</v>
      </c>
      <c r="E636" s="51" t="s">
        <v>2734</v>
      </c>
      <c r="F636" s="52">
        <v>6033.007796256351</v>
      </c>
      <c r="G636" s="52">
        <v>0</v>
      </c>
      <c r="H636" s="52">
        <v>0</v>
      </c>
      <c r="I636" s="52">
        <v>0</v>
      </c>
      <c r="J636" s="51">
        <v>1</v>
      </c>
      <c r="K636" s="54">
        <v>6000</v>
      </c>
      <c r="L636" s="51">
        <v>0</v>
      </c>
      <c r="M636" s="54">
        <v>0</v>
      </c>
      <c r="N636" s="53">
        <f t="shared" si="18"/>
        <v>6000</v>
      </c>
      <c r="O636" s="53">
        <f t="shared" si="19"/>
        <v>-6000</v>
      </c>
    </row>
    <row r="637" spans="1:15" x14ac:dyDescent="0.2">
      <c r="A637" s="51" t="s">
        <v>3567</v>
      </c>
      <c r="B637" s="51" t="s">
        <v>3568</v>
      </c>
      <c r="C637" s="51" t="s">
        <v>81</v>
      </c>
      <c r="D637" s="51" t="s">
        <v>954</v>
      </c>
      <c r="E637" s="51" t="s">
        <v>953</v>
      </c>
      <c r="F637" s="52">
        <v>8.5995279999999994</v>
      </c>
      <c r="G637" s="52">
        <v>489</v>
      </c>
      <c r="H637" s="52">
        <v>15204</v>
      </c>
      <c r="I637" s="52">
        <v>15693</v>
      </c>
      <c r="J637" s="51">
        <v>0</v>
      </c>
      <c r="K637" s="54">
        <v>0</v>
      </c>
      <c r="L637" s="51">
        <v>1</v>
      </c>
      <c r="M637" s="54">
        <v>15000</v>
      </c>
      <c r="N637" s="53">
        <f t="shared" si="18"/>
        <v>-15000</v>
      </c>
      <c r="O637" s="53">
        <f t="shared" si="19"/>
        <v>15000</v>
      </c>
    </row>
    <row r="638" spans="1:15" x14ac:dyDescent="0.2">
      <c r="A638" s="51" t="s">
        <v>3567</v>
      </c>
      <c r="B638" s="51" t="s">
        <v>3568</v>
      </c>
      <c r="C638" s="51" t="s">
        <v>82</v>
      </c>
      <c r="D638" s="51" t="s">
        <v>2158</v>
      </c>
      <c r="E638" s="51" t="s">
        <v>2157</v>
      </c>
      <c r="F638" s="52">
        <v>11464.094131326059</v>
      </c>
      <c r="G638" s="52">
        <v>9585</v>
      </c>
      <c r="H638" s="52">
        <v>22945</v>
      </c>
      <c r="I638" s="52">
        <v>32530</v>
      </c>
      <c r="J638" s="51">
        <v>0</v>
      </c>
      <c r="K638" s="54">
        <v>0</v>
      </c>
      <c r="L638" s="51">
        <v>1</v>
      </c>
      <c r="M638" s="54">
        <v>10000</v>
      </c>
      <c r="N638" s="53">
        <f t="shared" si="18"/>
        <v>-10000</v>
      </c>
      <c r="O638" s="53">
        <f t="shared" si="19"/>
        <v>10000</v>
      </c>
    </row>
    <row r="639" spans="1:15" x14ac:dyDescent="0.2">
      <c r="A639" s="51" t="s">
        <v>3567</v>
      </c>
      <c r="B639" s="51" t="s">
        <v>3568</v>
      </c>
      <c r="C639" s="51" t="s">
        <v>67</v>
      </c>
      <c r="D639" s="51" t="s">
        <v>3429</v>
      </c>
      <c r="E639" s="51" t="s">
        <v>3428</v>
      </c>
      <c r="F639" s="52">
        <v>3888.3759640568469</v>
      </c>
      <c r="G639" s="52">
        <v>5000</v>
      </c>
      <c r="H639" s="52">
        <v>0</v>
      </c>
      <c r="I639" s="52">
        <v>5000</v>
      </c>
      <c r="J639" s="51">
        <v>1</v>
      </c>
      <c r="K639" s="54">
        <v>5000</v>
      </c>
      <c r="L639" s="51">
        <v>0</v>
      </c>
      <c r="M639" s="54">
        <v>0</v>
      </c>
      <c r="N639" s="53">
        <f t="shared" si="18"/>
        <v>5000</v>
      </c>
      <c r="O639" s="53">
        <f t="shared" si="19"/>
        <v>-5000</v>
      </c>
    </row>
    <row r="640" spans="1:15" x14ac:dyDescent="0.2">
      <c r="A640" s="51" t="s">
        <v>3567</v>
      </c>
      <c r="B640" s="51" t="s">
        <v>3568</v>
      </c>
      <c r="C640" s="51" t="s">
        <v>92</v>
      </c>
      <c r="D640" s="51" t="s">
        <v>1335</v>
      </c>
      <c r="E640" s="51" t="s">
        <v>1334</v>
      </c>
      <c r="F640" s="52">
        <v>19450.362302324818</v>
      </c>
      <c r="G640" s="52">
        <v>5730</v>
      </c>
      <c r="H640" s="52">
        <v>6100</v>
      </c>
      <c r="I640" s="52">
        <v>11830</v>
      </c>
      <c r="J640" s="51">
        <v>0</v>
      </c>
      <c r="K640" s="54">
        <v>0</v>
      </c>
      <c r="L640" s="51">
        <v>1</v>
      </c>
      <c r="M640" s="54">
        <v>20000</v>
      </c>
      <c r="N640" s="53">
        <f t="shared" si="18"/>
        <v>-20000</v>
      </c>
      <c r="O640" s="53">
        <f t="shared" si="19"/>
        <v>20000</v>
      </c>
    </row>
    <row r="641" spans="1:15" x14ac:dyDescent="0.2">
      <c r="A641" s="51" t="s">
        <v>3567</v>
      </c>
      <c r="B641" s="51" t="s">
        <v>3568</v>
      </c>
      <c r="C641" s="51" t="s">
        <v>53</v>
      </c>
      <c r="D641" s="51" t="s">
        <v>595</v>
      </c>
      <c r="E641" s="51" t="s">
        <v>594</v>
      </c>
      <c r="F641" s="52">
        <v>43548.549950000001</v>
      </c>
      <c r="G641" s="52">
        <v>9550</v>
      </c>
      <c r="H641" s="52">
        <v>10820</v>
      </c>
      <c r="I641" s="52">
        <v>20370</v>
      </c>
      <c r="J641" s="51">
        <v>2</v>
      </c>
      <c r="K641" s="54">
        <v>40000</v>
      </c>
      <c r="L641" s="51">
        <v>0</v>
      </c>
      <c r="M641" s="54">
        <v>0</v>
      </c>
      <c r="N641" s="53">
        <f t="shared" si="18"/>
        <v>40000</v>
      </c>
      <c r="O641" s="53">
        <f t="shared" si="19"/>
        <v>-40000</v>
      </c>
    </row>
    <row r="642" spans="1:15" x14ac:dyDescent="0.2">
      <c r="A642" s="51" t="s">
        <v>3567</v>
      </c>
      <c r="B642" s="51" t="s">
        <v>3568</v>
      </c>
      <c r="C642" s="51" t="s">
        <v>54</v>
      </c>
      <c r="D642" s="51" t="s">
        <v>2283</v>
      </c>
      <c r="E642" s="51" t="s">
        <v>324</v>
      </c>
      <c r="F642" s="52">
        <v>10506.39063980971</v>
      </c>
      <c r="G642" s="52">
        <v>4500</v>
      </c>
      <c r="H642" s="52">
        <v>5300</v>
      </c>
      <c r="I642" s="52">
        <v>9800</v>
      </c>
      <c r="J642" s="51">
        <v>1</v>
      </c>
      <c r="K642" s="54">
        <v>5000</v>
      </c>
      <c r="L642" s="51">
        <v>0</v>
      </c>
      <c r="M642" s="54">
        <v>0</v>
      </c>
      <c r="N642" s="53">
        <f t="shared" si="18"/>
        <v>5000</v>
      </c>
      <c r="O642" s="53">
        <f t="shared" si="19"/>
        <v>-5000</v>
      </c>
    </row>
    <row r="643" spans="1:15" x14ac:dyDescent="0.2">
      <c r="A643" s="51" t="s">
        <v>3567</v>
      </c>
      <c r="B643" s="51" t="s">
        <v>3568</v>
      </c>
      <c r="C643" s="51" t="s">
        <v>61</v>
      </c>
      <c r="D643" s="51" t="s">
        <v>1058</v>
      </c>
      <c r="E643" s="51" t="s">
        <v>1057</v>
      </c>
      <c r="F643" s="52">
        <v>1489.7013999999999</v>
      </c>
      <c r="G643" s="52">
        <v>6610</v>
      </c>
      <c r="H643" s="52">
        <v>25550</v>
      </c>
      <c r="I643" s="52">
        <v>32160</v>
      </c>
      <c r="J643" s="51">
        <v>1</v>
      </c>
      <c r="K643" s="54">
        <v>5000</v>
      </c>
      <c r="L643" s="51">
        <v>0</v>
      </c>
      <c r="M643" s="54">
        <v>0</v>
      </c>
      <c r="N643" s="53">
        <f t="shared" ref="N643:N706" si="20">K643-M643</f>
        <v>5000</v>
      </c>
      <c r="O643" s="53">
        <f t="shared" ref="O643:O706" si="21">M643-K643</f>
        <v>-5000</v>
      </c>
    </row>
    <row r="644" spans="1:15" x14ac:dyDescent="0.2">
      <c r="A644" s="51" t="s">
        <v>3567</v>
      </c>
      <c r="B644" s="51" t="s">
        <v>3568</v>
      </c>
      <c r="C644" s="51" t="s">
        <v>60</v>
      </c>
      <c r="D644" s="51" t="s">
        <v>3226</v>
      </c>
      <c r="E644" s="51" t="s">
        <v>3225</v>
      </c>
      <c r="F644" s="52">
        <v>11873.6492</v>
      </c>
      <c r="G644" s="52">
        <v>0</v>
      </c>
      <c r="H644" s="52">
        <v>3000</v>
      </c>
      <c r="I644" s="52">
        <v>3000</v>
      </c>
      <c r="J644" s="51">
        <v>0</v>
      </c>
      <c r="K644" s="54">
        <v>0</v>
      </c>
      <c r="L644" s="51">
        <v>1</v>
      </c>
      <c r="M644" s="54">
        <v>13000</v>
      </c>
      <c r="N644" s="53">
        <f t="shared" si="20"/>
        <v>-13000</v>
      </c>
      <c r="O644" s="53">
        <f t="shared" si="21"/>
        <v>13000</v>
      </c>
    </row>
    <row r="645" spans="1:15" x14ac:dyDescent="0.2">
      <c r="A645" s="51" t="s">
        <v>3567</v>
      </c>
      <c r="B645" s="51" t="s">
        <v>3568</v>
      </c>
      <c r="C645" s="51" t="s">
        <v>77</v>
      </c>
      <c r="D645" s="51" t="s">
        <v>2564</v>
      </c>
      <c r="E645" s="51" t="s">
        <v>2563</v>
      </c>
      <c r="F645" s="52">
        <v>6.8886500000000002</v>
      </c>
      <c r="G645" s="52">
        <v>1410</v>
      </c>
      <c r="H645" s="52">
        <v>6715</v>
      </c>
      <c r="I645" s="52">
        <v>8125</v>
      </c>
      <c r="J645" s="51">
        <v>0</v>
      </c>
      <c r="K645" s="54">
        <v>0</v>
      </c>
      <c r="L645" s="51">
        <v>1</v>
      </c>
      <c r="M645" s="54">
        <v>8500</v>
      </c>
      <c r="N645" s="53">
        <f t="shared" si="20"/>
        <v>-8500</v>
      </c>
      <c r="O645" s="53">
        <f t="shared" si="21"/>
        <v>8500</v>
      </c>
    </row>
    <row r="646" spans="1:15" x14ac:dyDescent="0.2">
      <c r="A646" s="51" t="s">
        <v>3567</v>
      </c>
      <c r="B646" s="51" t="s">
        <v>3568</v>
      </c>
      <c r="C646" s="51" t="s">
        <v>3864</v>
      </c>
      <c r="D646" s="51" t="s">
        <v>3898</v>
      </c>
      <c r="E646" s="51" t="s">
        <v>961</v>
      </c>
      <c r="F646" s="52">
        <v>1.449549258555539</v>
      </c>
      <c r="G646" s="52">
        <v>0</v>
      </c>
      <c r="H646" s="52">
        <v>0</v>
      </c>
      <c r="I646" s="52">
        <v>0</v>
      </c>
      <c r="J646" s="51">
        <v>0</v>
      </c>
      <c r="K646" s="54">
        <v>0</v>
      </c>
      <c r="L646" s="51">
        <v>0</v>
      </c>
      <c r="M646" s="54">
        <v>0</v>
      </c>
      <c r="N646" s="53">
        <f t="shared" si="20"/>
        <v>0</v>
      </c>
      <c r="O646" s="53">
        <f t="shared" si="21"/>
        <v>0</v>
      </c>
    </row>
    <row r="647" spans="1:15" x14ac:dyDescent="0.2">
      <c r="A647" s="51" t="s">
        <v>3567</v>
      </c>
      <c r="B647" s="51" t="s">
        <v>3568</v>
      </c>
      <c r="C647" s="51" t="s">
        <v>57</v>
      </c>
      <c r="D647" s="51" t="s">
        <v>950</v>
      </c>
      <c r="E647" s="51" t="s">
        <v>949</v>
      </c>
      <c r="F647" s="52">
        <v>2306.0474035332759</v>
      </c>
      <c r="G647" s="52">
        <v>7010</v>
      </c>
      <c r="H647" s="52">
        <v>2950</v>
      </c>
      <c r="I647" s="52">
        <v>9960</v>
      </c>
      <c r="J647" s="51">
        <v>1</v>
      </c>
      <c r="K647" s="54">
        <v>5000</v>
      </c>
      <c r="L647" s="51">
        <v>0</v>
      </c>
      <c r="M647" s="54">
        <v>0</v>
      </c>
      <c r="N647" s="53">
        <f t="shared" si="20"/>
        <v>5000</v>
      </c>
      <c r="O647" s="53">
        <f t="shared" si="21"/>
        <v>-5000</v>
      </c>
    </row>
    <row r="648" spans="1:15" x14ac:dyDescent="0.2">
      <c r="A648" s="51" t="s">
        <v>3567</v>
      </c>
      <c r="B648" s="51" t="s">
        <v>3568</v>
      </c>
      <c r="C648" s="51" t="s">
        <v>61</v>
      </c>
      <c r="D648" s="51" t="s">
        <v>285</v>
      </c>
      <c r="E648" s="51" t="s">
        <v>284</v>
      </c>
      <c r="F648" s="52">
        <v>1552.981105246866</v>
      </c>
      <c r="G648" s="52">
        <v>4050</v>
      </c>
      <c r="H648" s="52">
        <v>1000</v>
      </c>
      <c r="I648" s="52">
        <v>5050</v>
      </c>
      <c r="J648" s="51">
        <v>1</v>
      </c>
      <c r="K648" s="54">
        <v>5000</v>
      </c>
      <c r="L648" s="51">
        <v>0</v>
      </c>
      <c r="M648" s="54">
        <v>0</v>
      </c>
      <c r="N648" s="53">
        <f t="shared" si="20"/>
        <v>5000</v>
      </c>
      <c r="O648" s="53">
        <f t="shared" si="21"/>
        <v>-5000</v>
      </c>
    </row>
    <row r="649" spans="1:15" x14ac:dyDescent="0.2">
      <c r="A649" s="51" t="s">
        <v>3567</v>
      </c>
      <c r="B649" s="51" t="s">
        <v>3568</v>
      </c>
      <c r="C649" s="51" t="s">
        <v>81</v>
      </c>
      <c r="D649" s="51" t="s">
        <v>491</v>
      </c>
      <c r="E649" s="51" t="s">
        <v>490</v>
      </c>
      <c r="F649" s="52">
        <v>6401.9040193216124</v>
      </c>
      <c r="G649" s="52">
        <v>0</v>
      </c>
      <c r="H649" s="52">
        <v>500</v>
      </c>
      <c r="I649" s="52">
        <v>500</v>
      </c>
      <c r="J649" s="51">
        <v>1</v>
      </c>
      <c r="K649" s="54">
        <v>5000</v>
      </c>
      <c r="L649" s="51">
        <v>0</v>
      </c>
      <c r="M649" s="54">
        <v>0</v>
      </c>
      <c r="N649" s="53">
        <f t="shared" si="20"/>
        <v>5000</v>
      </c>
      <c r="O649" s="53">
        <f t="shared" si="21"/>
        <v>-5000</v>
      </c>
    </row>
    <row r="650" spans="1:15" x14ac:dyDescent="0.2">
      <c r="A650" s="51" t="s">
        <v>3567</v>
      </c>
      <c r="B650" s="51" t="s">
        <v>3568</v>
      </c>
      <c r="C650" s="51" t="s">
        <v>92</v>
      </c>
      <c r="D650" s="51" t="s">
        <v>3245</v>
      </c>
      <c r="E650" s="51" t="s">
        <v>3244</v>
      </c>
      <c r="F650" s="52">
        <v>105.1111634881217</v>
      </c>
      <c r="G650" s="52">
        <v>5420</v>
      </c>
      <c r="H650" s="52">
        <v>10460</v>
      </c>
      <c r="I650" s="52">
        <v>15880</v>
      </c>
      <c r="J650" s="51">
        <v>1</v>
      </c>
      <c r="K650" s="54">
        <v>4000</v>
      </c>
      <c r="L650" s="51">
        <v>1</v>
      </c>
      <c r="M650" s="54">
        <v>9000</v>
      </c>
      <c r="N650" s="53">
        <f t="shared" si="20"/>
        <v>-5000</v>
      </c>
      <c r="O650" s="53">
        <f t="shared" si="21"/>
        <v>5000</v>
      </c>
    </row>
    <row r="651" spans="1:15" x14ac:dyDescent="0.2">
      <c r="A651" s="51" t="s">
        <v>3567</v>
      </c>
      <c r="B651" s="51" t="s">
        <v>3568</v>
      </c>
      <c r="C651" s="51" t="s">
        <v>80</v>
      </c>
      <c r="D651" s="51" t="s">
        <v>1132</v>
      </c>
      <c r="E651" s="51" t="s">
        <v>881</v>
      </c>
      <c r="F651" s="52">
        <v>16976.55324951627</v>
      </c>
      <c r="G651" s="52">
        <v>25100</v>
      </c>
      <c r="H651" s="52">
        <v>5000</v>
      </c>
      <c r="I651" s="52">
        <v>30100</v>
      </c>
      <c r="J651" s="51">
        <v>0</v>
      </c>
      <c r="K651" s="54">
        <v>0</v>
      </c>
      <c r="L651" s="51">
        <v>0</v>
      </c>
      <c r="M651" s="54">
        <v>0</v>
      </c>
      <c r="N651" s="53">
        <f t="shared" si="20"/>
        <v>0</v>
      </c>
      <c r="O651" s="53">
        <f t="shared" si="21"/>
        <v>0</v>
      </c>
    </row>
    <row r="652" spans="1:15" x14ac:dyDescent="0.2">
      <c r="A652" s="51" t="s">
        <v>3567</v>
      </c>
      <c r="B652" s="51" t="s">
        <v>3568</v>
      </c>
      <c r="C652" s="51" t="s">
        <v>75</v>
      </c>
      <c r="D652" s="51" t="s">
        <v>1276</v>
      </c>
      <c r="E652" s="51" t="s">
        <v>1275</v>
      </c>
      <c r="F652" s="52">
        <v>5610.2826999999997</v>
      </c>
      <c r="G652" s="52">
        <v>7600</v>
      </c>
      <c r="H652" s="52">
        <v>17935</v>
      </c>
      <c r="I652" s="52">
        <v>25535</v>
      </c>
      <c r="J652" s="51">
        <v>0</v>
      </c>
      <c r="K652" s="54">
        <v>0</v>
      </c>
      <c r="L652" s="51">
        <v>1</v>
      </c>
      <c r="M652" s="54">
        <v>5000</v>
      </c>
      <c r="N652" s="53">
        <f t="shared" si="20"/>
        <v>-5000</v>
      </c>
      <c r="O652" s="53">
        <f t="shared" si="21"/>
        <v>5000</v>
      </c>
    </row>
    <row r="653" spans="1:15" x14ac:dyDescent="0.2">
      <c r="A653" s="51" t="s">
        <v>3567</v>
      </c>
      <c r="B653" s="51" t="s">
        <v>3568</v>
      </c>
      <c r="C653" s="51" t="s">
        <v>82</v>
      </c>
      <c r="D653" s="51" t="s">
        <v>2797</v>
      </c>
      <c r="E653" s="51" t="s">
        <v>2796</v>
      </c>
      <c r="F653" s="52">
        <v>9960.7551000000003</v>
      </c>
      <c r="G653" s="52">
        <v>9100</v>
      </c>
      <c r="H653" s="52">
        <v>34950</v>
      </c>
      <c r="I653" s="52">
        <v>44050</v>
      </c>
      <c r="J653" s="51">
        <v>0</v>
      </c>
      <c r="K653" s="54">
        <v>0</v>
      </c>
      <c r="L653" s="51">
        <v>3</v>
      </c>
      <c r="M653" s="54">
        <v>60500</v>
      </c>
      <c r="N653" s="53">
        <f t="shared" si="20"/>
        <v>-60500</v>
      </c>
      <c r="O653" s="53">
        <f t="shared" si="21"/>
        <v>60500</v>
      </c>
    </row>
    <row r="654" spans="1:15" x14ac:dyDescent="0.2">
      <c r="A654" s="51" t="s">
        <v>3567</v>
      </c>
      <c r="B654" s="51" t="s">
        <v>3568</v>
      </c>
      <c r="C654" s="51" t="s">
        <v>85</v>
      </c>
      <c r="D654" s="51" t="s">
        <v>3178</v>
      </c>
      <c r="E654" s="51" t="s">
        <v>3177</v>
      </c>
      <c r="F654" s="52">
        <v>4107.1183071366204</v>
      </c>
      <c r="G654" s="52">
        <v>8560</v>
      </c>
      <c r="H654" s="52">
        <v>4700</v>
      </c>
      <c r="I654" s="52">
        <v>13260</v>
      </c>
      <c r="J654" s="51">
        <v>1</v>
      </c>
      <c r="K654" s="54">
        <v>5000</v>
      </c>
      <c r="L654" s="51">
        <v>0</v>
      </c>
      <c r="M654" s="54">
        <v>0</v>
      </c>
      <c r="N654" s="53">
        <f t="shared" si="20"/>
        <v>5000</v>
      </c>
      <c r="O654" s="53">
        <f t="shared" si="21"/>
        <v>-5000</v>
      </c>
    </row>
    <row r="655" spans="1:15" x14ac:dyDescent="0.2">
      <c r="A655" s="51" t="s">
        <v>3567</v>
      </c>
      <c r="B655" s="51" t="s">
        <v>3568</v>
      </c>
      <c r="C655" s="51" t="s">
        <v>53</v>
      </c>
      <c r="D655" s="51" t="s">
        <v>3881</v>
      </c>
      <c r="E655" s="51" t="s">
        <v>3882</v>
      </c>
      <c r="F655" s="52">
        <v>42.240099999999998</v>
      </c>
      <c r="G655" s="52">
        <v>0</v>
      </c>
      <c r="H655" s="52">
        <v>0</v>
      </c>
      <c r="I655" s="52">
        <v>0</v>
      </c>
      <c r="J655" s="51">
        <v>0</v>
      </c>
      <c r="K655" s="54">
        <v>0</v>
      </c>
      <c r="L655" s="51">
        <v>0</v>
      </c>
      <c r="M655" s="54">
        <v>0</v>
      </c>
      <c r="N655" s="53">
        <f t="shared" si="20"/>
        <v>0</v>
      </c>
      <c r="O655" s="53">
        <f t="shared" si="21"/>
        <v>0</v>
      </c>
    </row>
    <row r="656" spans="1:15" x14ac:dyDescent="0.2">
      <c r="A656" s="51" t="s">
        <v>3567</v>
      </c>
      <c r="B656" s="51" t="s">
        <v>3568</v>
      </c>
      <c r="C656" s="51" t="s">
        <v>57</v>
      </c>
      <c r="D656" s="51" t="s">
        <v>2128</v>
      </c>
      <c r="E656" s="51" t="s">
        <v>2127</v>
      </c>
      <c r="F656" s="52">
        <v>255.91954607491601</v>
      </c>
      <c r="G656" s="52">
        <v>21105</v>
      </c>
      <c r="H656" s="52">
        <v>12800</v>
      </c>
      <c r="I656" s="52">
        <v>33905</v>
      </c>
      <c r="J656" s="51">
        <v>1</v>
      </c>
      <c r="K656" s="54">
        <v>25000</v>
      </c>
      <c r="L656" s="51">
        <v>1</v>
      </c>
      <c r="M656" s="54">
        <v>17000</v>
      </c>
      <c r="N656" s="53">
        <f t="shared" si="20"/>
        <v>8000</v>
      </c>
      <c r="O656" s="53">
        <f t="shared" si="21"/>
        <v>-8000</v>
      </c>
    </row>
    <row r="657" spans="1:15" x14ac:dyDescent="0.2">
      <c r="A657" s="51" t="s">
        <v>3567</v>
      </c>
      <c r="B657" s="51" t="s">
        <v>3568</v>
      </c>
      <c r="C657" s="51" t="s">
        <v>72</v>
      </c>
      <c r="D657" s="51" t="s">
        <v>2236</v>
      </c>
      <c r="E657" s="51" t="s">
        <v>2235</v>
      </c>
      <c r="F657" s="52">
        <v>179.41309999999999</v>
      </c>
      <c r="G657" s="52">
        <v>500</v>
      </c>
      <c r="H657" s="52">
        <v>0</v>
      </c>
      <c r="I657" s="52">
        <v>500</v>
      </c>
      <c r="J657" s="51">
        <v>0</v>
      </c>
      <c r="K657" s="54">
        <v>0</v>
      </c>
      <c r="L657" s="51">
        <v>1</v>
      </c>
      <c r="M657" s="54">
        <v>7000</v>
      </c>
      <c r="N657" s="53">
        <f t="shared" si="20"/>
        <v>-7000</v>
      </c>
      <c r="O657" s="53">
        <f t="shared" si="21"/>
        <v>7000</v>
      </c>
    </row>
    <row r="658" spans="1:15" x14ac:dyDescent="0.2">
      <c r="A658" s="51" t="s">
        <v>3567</v>
      </c>
      <c r="B658" s="51" t="s">
        <v>3568</v>
      </c>
      <c r="C658" s="51" t="s">
        <v>3590</v>
      </c>
      <c r="D658" s="51" t="s">
        <v>3883</v>
      </c>
      <c r="E658" s="51" t="s">
        <v>3884</v>
      </c>
      <c r="F658" s="52">
        <v>13.788394057746499</v>
      </c>
      <c r="G658" s="52">
        <v>0</v>
      </c>
      <c r="H658" s="52">
        <v>0</v>
      </c>
      <c r="I658" s="52">
        <v>0</v>
      </c>
      <c r="J658" s="51">
        <v>0</v>
      </c>
      <c r="K658" s="54">
        <v>0</v>
      </c>
      <c r="L658" s="51">
        <v>0</v>
      </c>
      <c r="M658" s="54">
        <v>0</v>
      </c>
      <c r="N658" s="53">
        <f t="shared" si="20"/>
        <v>0</v>
      </c>
      <c r="O658" s="53">
        <f t="shared" si="21"/>
        <v>0</v>
      </c>
    </row>
    <row r="659" spans="1:15" x14ac:dyDescent="0.2">
      <c r="A659" s="51" t="s">
        <v>3567</v>
      </c>
      <c r="B659" s="51" t="s">
        <v>3568</v>
      </c>
      <c r="C659" s="51" t="s">
        <v>3674</v>
      </c>
      <c r="D659" s="51" t="s">
        <v>3934</v>
      </c>
      <c r="E659" s="51" t="s">
        <v>3935</v>
      </c>
      <c r="F659" s="52">
        <v>5.4621177225993982</v>
      </c>
      <c r="G659" s="52">
        <v>0</v>
      </c>
      <c r="H659" s="52">
        <v>0</v>
      </c>
      <c r="I659" s="52">
        <v>0</v>
      </c>
      <c r="J659" s="51">
        <v>0</v>
      </c>
      <c r="K659" s="54">
        <v>0</v>
      </c>
      <c r="L659" s="51">
        <v>0</v>
      </c>
      <c r="M659" s="54">
        <v>0</v>
      </c>
      <c r="N659" s="53">
        <f t="shared" si="20"/>
        <v>0</v>
      </c>
      <c r="O659" s="53">
        <f t="shared" si="21"/>
        <v>0</v>
      </c>
    </row>
    <row r="660" spans="1:15" x14ac:dyDescent="0.2">
      <c r="A660" s="51" t="s">
        <v>3567</v>
      </c>
      <c r="B660" s="51" t="s">
        <v>3568</v>
      </c>
      <c r="C660" s="51" t="s">
        <v>3756</v>
      </c>
      <c r="D660" s="51" t="s">
        <v>3911</v>
      </c>
      <c r="E660" s="51" t="s">
        <v>3912</v>
      </c>
      <c r="F660" s="52">
        <v>14.568062249609181</v>
      </c>
      <c r="G660" s="52">
        <v>0</v>
      </c>
      <c r="H660" s="52">
        <v>0</v>
      </c>
      <c r="I660" s="52">
        <v>0</v>
      </c>
      <c r="J660" s="51">
        <v>0</v>
      </c>
      <c r="K660" s="54">
        <v>0</v>
      </c>
      <c r="L660" s="51">
        <v>0</v>
      </c>
      <c r="M660" s="54">
        <v>0</v>
      </c>
      <c r="N660" s="53">
        <f t="shared" si="20"/>
        <v>0</v>
      </c>
      <c r="O660" s="53">
        <f t="shared" si="21"/>
        <v>0</v>
      </c>
    </row>
    <row r="661" spans="1:15" x14ac:dyDescent="0.2">
      <c r="A661" s="51" t="s">
        <v>3567</v>
      </c>
      <c r="B661" s="51" t="s">
        <v>3568</v>
      </c>
      <c r="C661" s="51" t="s">
        <v>61</v>
      </c>
      <c r="D661" s="51" t="s">
        <v>2017</v>
      </c>
      <c r="E661" s="51" t="s">
        <v>2016</v>
      </c>
      <c r="F661" s="52">
        <v>9046.0480920756254</v>
      </c>
      <c r="G661" s="52">
        <v>3810</v>
      </c>
      <c r="H661" s="52">
        <v>1580</v>
      </c>
      <c r="I661" s="52">
        <v>5390</v>
      </c>
      <c r="J661" s="51">
        <v>1</v>
      </c>
      <c r="K661" s="54">
        <v>5000</v>
      </c>
      <c r="L661" s="51">
        <v>0</v>
      </c>
      <c r="M661" s="54">
        <v>0</v>
      </c>
      <c r="N661" s="53">
        <f t="shared" si="20"/>
        <v>5000</v>
      </c>
      <c r="O661" s="53">
        <f t="shared" si="21"/>
        <v>-5000</v>
      </c>
    </row>
    <row r="662" spans="1:15" x14ac:dyDescent="0.2">
      <c r="A662" s="51" t="s">
        <v>3567</v>
      </c>
      <c r="B662" s="51" t="s">
        <v>3568</v>
      </c>
      <c r="C662" s="51" t="s">
        <v>56</v>
      </c>
      <c r="D662" s="51" t="s">
        <v>2421</v>
      </c>
      <c r="E662" s="51" t="s">
        <v>2420</v>
      </c>
      <c r="F662" s="52">
        <v>11237.677240877059</v>
      </c>
      <c r="G662" s="52">
        <v>19540</v>
      </c>
      <c r="H662" s="52">
        <v>10620</v>
      </c>
      <c r="I662" s="52">
        <v>30160</v>
      </c>
      <c r="J662" s="51">
        <v>2</v>
      </c>
      <c r="K662" s="54">
        <v>10000</v>
      </c>
      <c r="L662" s="51">
        <v>0</v>
      </c>
      <c r="M662" s="54">
        <v>0</v>
      </c>
      <c r="N662" s="53">
        <f t="shared" si="20"/>
        <v>10000</v>
      </c>
      <c r="O662" s="53">
        <f t="shared" si="21"/>
        <v>-10000</v>
      </c>
    </row>
    <row r="663" spans="1:15" x14ac:dyDescent="0.2">
      <c r="A663" s="51" t="s">
        <v>3567</v>
      </c>
      <c r="B663" s="51" t="s">
        <v>3568</v>
      </c>
      <c r="C663" s="51" t="s">
        <v>3580</v>
      </c>
      <c r="D663" s="51" t="s">
        <v>3894</v>
      </c>
      <c r="E663" s="51" t="s">
        <v>3895</v>
      </c>
      <c r="F663" s="52">
        <v>63.298273267658217</v>
      </c>
      <c r="G663" s="52">
        <v>0</v>
      </c>
      <c r="H663" s="52">
        <v>0</v>
      </c>
      <c r="I663" s="52">
        <v>0</v>
      </c>
      <c r="J663" s="51">
        <v>0</v>
      </c>
      <c r="K663" s="54">
        <v>0</v>
      </c>
      <c r="L663" s="51">
        <v>0</v>
      </c>
      <c r="M663" s="54">
        <v>0</v>
      </c>
      <c r="N663" s="53">
        <f t="shared" si="20"/>
        <v>0</v>
      </c>
      <c r="O663" s="53">
        <f t="shared" si="21"/>
        <v>0</v>
      </c>
    </row>
    <row r="664" spans="1:15" x14ac:dyDescent="0.2">
      <c r="A664" s="51" t="s">
        <v>3567</v>
      </c>
      <c r="B664" s="51" t="s">
        <v>3568</v>
      </c>
      <c r="C664" s="51" t="s">
        <v>3583</v>
      </c>
      <c r="D664" s="51" t="s">
        <v>3888</v>
      </c>
      <c r="E664" s="51" t="s">
        <v>3889</v>
      </c>
      <c r="F664" s="52">
        <v>13.753210336148459</v>
      </c>
      <c r="G664" s="52">
        <v>0</v>
      </c>
      <c r="H664" s="52">
        <v>0</v>
      </c>
      <c r="I664" s="52">
        <v>0</v>
      </c>
      <c r="J664" s="51">
        <v>0</v>
      </c>
      <c r="K664" s="54">
        <v>0</v>
      </c>
      <c r="L664" s="51">
        <v>0</v>
      </c>
      <c r="M664" s="54">
        <v>0</v>
      </c>
      <c r="N664" s="53">
        <f t="shared" si="20"/>
        <v>0</v>
      </c>
      <c r="O664" s="53">
        <f t="shared" si="21"/>
        <v>0</v>
      </c>
    </row>
    <row r="665" spans="1:15" x14ac:dyDescent="0.2">
      <c r="A665" s="51" t="s">
        <v>3567</v>
      </c>
      <c r="B665" s="51" t="s">
        <v>3568</v>
      </c>
      <c r="C665" s="51" t="s">
        <v>65</v>
      </c>
      <c r="D665" s="51" t="s">
        <v>3446</v>
      </c>
      <c r="E665" s="51" t="s">
        <v>3445</v>
      </c>
      <c r="F665" s="52">
        <v>990.77080011600003</v>
      </c>
      <c r="G665" s="52">
        <v>7540</v>
      </c>
      <c r="H665" s="52">
        <v>2850</v>
      </c>
      <c r="I665" s="52">
        <v>10390</v>
      </c>
      <c r="J665" s="51">
        <v>1</v>
      </c>
      <c r="K665" s="54">
        <v>5000</v>
      </c>
      <c r="L665" s="51">
        <v>0</v>
      </c>
      <c r="M665" s="54">
        <v>0</v>
      </c>
      <c r="N665" s="53">
        <f t="shared" si="20"/>
        <v>5000</v>
      </c>
      <c r="O665" s="53">
        <f t="shared" si="21"/>
        <v>-5000</v>
      </c>
    </row>
    <row r="666" spans="1:15" x14ac:dyDescent="0.2">
      <c r="A666" s="51" t="s">
        <v>3567</v>
      </c>
      <c r="B666" s="51" t="s">
        <v>3568</v>
      </c>
      <c r="C666" s="51" t="s">
        <v>3718</v>
      </c>
      <c r="D666" s="51" t="s">
        <v>3907</v>
      </c>
      <c r="E666" s="51" t="s">
        <v>3908</v>
      </c>
      <c r="F666" s="52">
        <v>42.575759791050231</v>
      </c>
      <c r="G666" s="52">
        <v>0</v>
      </c>
      <c r="H666" s="52">
        <v>0</v>
      </c>
      <c r="I666" s="52">
        <v>0</v>
      </c>
      <c r="J666" s="51">
        <v>0</v>
      </c>
      <c r="K666" s="54">
        <v>0</v>
      </c>
      <c r="L666" s="51">
        <v>0</v>
      </c>
      <c r="M666" s="54">
        <v>0</v>
      </c>
      <c r="N666" s="53">
        <f t="shared" si="20"/>
        <v>0</v>
      </c>
      <c r="O666" s="53">
        <f t="shared" si="21"/>
        <v>0</v>
      </c>
    </row>
    <row r="667" spans="1:15" x14ac:dyDescent="0.2">
      <c r="A667" s="51" t="s">
        <v>3567</v>
      </c>
      <c r="B667" s="51" t="s">
        <v>3568</v>
      </c>
      <c r="C667" s="51" t="s">
        <v>3597</v>
      </c>
      <c r="D667" s="51" t="s">
        <v>3885</v>
      </c>
      <c r="E667" s="51" t="s">
        <v>3886</v>
      </c>
      <c r="F667" s="52">
        <v>22.147311878338531</v>
      </c>
      <c r="G667" s="52">
        <v>0</v>
      </c>
      <c r="H667" s="52">
        <v>0</v>
      </c>
      <c r="I667" s="52">
        <v>0</v>
      </c>
      <c r="J667" s="51">
        <v>0</v>
      </c>
      <c r="K667" s="54">
        <v>0</v>
      </c>
      <c r="L667" s="51">
        <v>0</v>
      </c>
      <c r="M667" s="54">
        <v>0</v>
      </c>
      <c r="N667" s="53">
        <f t="shared" si="20"/>
        <v>0</v>
      </c>
      <c r="O667" s="53">
        <f t="shared" si="21"/>
        <v>0</v>
      </c>
    </row>
    <row r="668" spans="1:15" x14ac:dyDescent="0.2">
      <c r="A668" s="51" t="s">
        <v>3567</v>
      </c>
      <c r="B668" s="51" t="s">
        <v>3568</v>
      </c>
      <c r="C668" s="51" t="s">
        <v>93</v>
      </c>
      <c r="D668" s="51" t="s">
        <v>764</v>
      </c>
      <c r="E668" s="51" t="s">
        <v>763</v>
      </c>
      <c r="F668" s="52">
        <v>88915.470073431221</v>
      </c>
      <c r="G668" s="52">
        <v>18465</v>
      </c>
      <c r="H668" s="52">
        <v>105005</v>
      </c>
      <c r="I668" s="52">
        <v>123470</v>
      </c>
      <c r="J668" s="51">
        <v>0</v>
      </c>
      <c r="K668" s="54">
        <v>0</v>
      </c>
      <c r="L668" s="51">
        <v>1</v>
      </c>
      <c r="M668" s="54">
        <v>40000</v>
      </c>
      <c r="N668" s="53">
        <f t="shared" si="20"/>
        <v>-40000</v>
      </c>
      <c r="O668" s="53">
        <f t="shared" si="21"/>
        <v>40000</v>
      </c>
    </row>
    <row r="669" spans="1:15" x14ac:dyDescent="0.2">
      <c r="A669" s="51" t="s">
        <v>3567</v>
      </c>
      <c r="B669" s="51" t="s">
        <v>3568</v>
      </c>
      <c r="C669" s="51" t="s">
        <v>86</v>
      </c>
      <c r="D669" s="51" t="s">
        <v>2452</v>
      </c>
      <c r="E669" s="51" t="s">
        <v>2451</v>
      </c>
      <c r="F669" s="52">
        <v>15.690720000000001</v>
      </c>
      <c r="G669" s="52">
        <v>0</v>
      </c>
      <c r="H669" s="52">
        <v>0</v>
      </c>
      <c r="I669" s="52">
        <v>0</v>
      </c>
      <c r="J669" s="51">
        <v>0</v>
      </c>
      <c r="K669" s="54">
        <v>0</v>
      </c>
      <c r="L669" s="51">
        <v>0</v>
      </c>
      <c r="M669" s="54">
        <v>0</v>
      </c>
      <c r="N669" s="53">
        <f t="shared" si="20"/>
        <v>0</v>
      </c>
      <c r="O669" s="53">
        <f t="shared" si="21"/>
        <v>0</v>
      </c>
    </row>
    <row r="670" spans="1:15" x14ac:dyDescent="0.2">
      <c r="A670" s="51" t="s">
        <v>3567</v>
      </c>
      <c r="B670" s="51" t="s">
        <v>3568</v>
      </c>
      <c r="C670" s="51" t="s">
        <v>64</v>
      </c>
      <c r="D670" s="51" t="s">
        <v>1090</v>
      </c>
      <c r="E670" s="51" t="s">
        <v>1089</v>
      </c>
      <c r="F670" s="52">
        <v>5955.6178495682243</v>
      </c>
      <c r="G670" s="52">
        <v>18605</v>
      </c>
      <c r="H670" s="52">
        <v>62400</v>
      </c>
      <c r="I670" s="52">
        <v>81005</v>
      </c>
      <c r="J670" s="51">
        <v>1</v>
      </c>
      <c r="K670" s="54">
        <v>20000</v>
      </c>
      <c r="L670" s="51">
        <v>3</v>
      </c>
      <c r="M670" s="54">
        <v>60000</v>
      </c>
      <c r="N670" s="53">
        <f t="shared" si="20"/>
        <v>-40000</v>
      </c>
      <c r="O670" s="53">
        <f t="shared" si="21"/>
        <v>40000</v>
      </c>
    </row>
    <row r="671" spans="1:15" x14ac:dyDescent="0.2">
      <c r="A671" s="51" t="s">
        <v>3567</v>
      </c>
      <c r="B671" s="51" t="s">
        <v>3568</v>
      </c>
      <c r="C671" s="51" t="s">
        <v>73</v>
      </c>
      <c r="D671" s="51" t="s">
        <v>2737</v>
      </c>
      <c r="E671" s="51" t="s">
        <v>2736</v>
      </c>
      <c r="F671" s="52">
        <v>11821.144356816239</v>
      </c>
      <c r="G671" s="52">
        <v>10060</v>
      </c>
      <c r="H671" s="52">
        <v>13580</v>
      </c>
      <c r="I671" s="52">
        <v>23640</v>
      </c>
      <c r="J671" s="51">
        <v>0</v>
      </c>
      <c r="K671" s="54">
        <v>0</v>
      </c>
      <c r="L671" s="51">
        <v>1</v>
      </c>
      <c r="M671" s="54">
        <v>10000</v>
      </c>
      <c r="N671" s="53">
        <f t="shared" si="20"/>
        <v>-10000</v>
      </c>
      <c r="O671" s="53">
        <f t="shared" si="21"/>
        <v>10000</v>
      </c>
    </row>
    <row r="672" spans="1:15" x14ac:dyDescent="0.2">
      <c r="A672" s="51" t="s">
        <v>3567</v>
      </c>
      <c r="B672" s="51" t="s">
        <v>3568</v>
      </c>
      <c r="C672" s="51" t="s">
        <v>71</v>
      </c>
      <c r="D672" s="51" t="s">
        <v>988</v>
      </c>
      <c r="E672" s="51" t="s">
        <v>987</v>
      </c>
      <c r="F672" s="52">
        <v>1245.7513824518601</v>
      </c>
      <c r="G672" s="52">
        <v>13690</v>
      </c>
      <c r="H672" s="52">
        <v>2865</v>
      </c>
      <c r="I672" s="52">
        <v>16555</v>
      </c>
      <c r="J672" s="51">
        <v>2</v>
      </c>
      <c r="K672" s="54">
        <v>8000</v>
      </c>
      <c r="L672" s="51">
        <v>0</v>
      </c>
      <c r="M672" s="54">
        <v>0</v>
      </c>
      <c r="N672" s="53">
        <f t="shared" si="20"/>
        <v>8000</v>
      </c>
      <c r="O672" s="53">
        <f t="shared" si="21"/>
        <v>-8000</v>
      </c>
    </row>
    <row r="673" spans="1:15" x14ac:dyDescent="0.2">
      <c r="A673" s="51" t="s">
        <v>3567</v>
      </c>
      <c r="B673" s="51" t="s">
        <v>3568</v>
      </c>
      <c r="C673" s="51" t="s">
        <v>56</v>
      </c>
      <c r="D673" s="51" t="s">
        <v>489</v>
      </c>
      <c r="E673" s="51" t="s">
        <v>488</v>
      </c>
      <c r="F673" s="52">
        <v>2927.6084351991549</v>
      </c>
      <c r="G673" s="52">
        <v>1500</v>
      </c>
      <c r="H673" s="52">
        <v>8746</v>
      </c>
      <c r="I673" s="52">
        <v>10246</v>
      </c>
      <c r="J673" s="51">
        <v>0</v>
      </c>
      <c r="K673" s="54">
        <v>0</v>
      </c>
      <c r="L673" s="51">
        <v>1</v>
      </c>
      <c r="M673" s="54">
        <v>5000</v>
      </c>
      <c r="N673" s="53">
        <f t="shared" si="20"/>
        <v>-5000</v>
      </c>
      <c r="O673" s="53">
        <f t="shared" si="21"/>
        <v>5000</v>
      </c>
    </row>
    <row r="674" spans="1:15" x14ac:dyDescent="0.2">
      <c r="A674" s="51" t="s">
        <v>3567</v>
      </c>
      <c r="B674" s="51" t="s">
        <v>3568</v>
      </c>
      <c r="C674" s="51" t="s">
        <v>53</v>
      </c>
      <c r="D674" s="51" t="s">
        <v>3300</v>
      </c>
      <c r="E674" s="51" t="s">
        <v>3299</v>
      </c>
      <c r="F674" s="52">
        <v>49341.294504017067</v>
      </c>
      <c r="G674" s="52">
        <v>4520</v>
      </c>
      <c r="H674" s="52">
        <v>30170</v>
      </c>
      <c r="I674" s="52">
        <v>34690</v>
      </c>
      <c r="J674" s="51">
        <v>2</v>
      </c>
      <c r="K674" s="54">
        <v>40000</v>
      </c>
      <c r="L674" s="51">
        <v>2</v>
      </c>
      <c r="M674" s="54">
        <v>65000</v>
      </c>
      <c r="N674" s="53">
        <f t="shared" si="20"/>
        <v>-25000</v>
      </c>
      <c r="O674" s="53">
        <f t="shared" si="21"/>
        <v>25000</v>
      </c>
    </row>
    <row r="675" spans="1:15" x14ac:dyDescent="0.2">
      <c r="A675" s="51" t="s">
        <v>3567</v>
      </c>
      <c r="B675" s="51" t="s">
        <v>3568</v>
      </c>
      <c r="C675" s="51" t="s">
        <v>87</v>
      </c>
      <c r="D675" s="51" t="s">
        <v>674</v>
      </c>
      <c r="E675" s="51" t="s">
        <v>673</v>
      </c>
      <c r="F675" s="52">
        <v>7.7360000028</v>
      </c>
      <c r="G675" s="52">
        <v>0</v>
      </c>
      <c r="H675" s="52">
        <v>0</v>
      </c>
      <c r="I675" s="52">
        <v>0</v>
      </c>
      <c r="J675" s="51">
        <v>0</v>
      </c>
      <c r="K675" s="54">
        <v>0</v>
      </c>
      <c r="L675" s="51">
        <v>0</v>
      </c>
      <c r="M675" s="54">
        <v>0</v>
      </c>
      <c r="N675" s="53">
        <f t="shared" si="20"/>
        <v>0</v>
      </c>
      <c r="O675" s="53">
        <f t="shared" si="21"/>
        <v>0</v>
      </c>
    </row>
    <row r="676" spans="1:15" x14ac:dyDescent="0.2">
      <c r="A676" s="51" t="s">
        <v>3567</v>
      </c>
      <c r="B676" s="51" t="s">
        <v>3568</v>
      </c>
      <c r="C676" s="51" t="s">
        <v>72</v>
      </c>
      <c r="D676" s="51" t="s">
        <v>2768</v>
      </c>
      <c r="E676" s="51" t="s">
        <v>2767</v>
      </c>
      <c r="F676" s="52">
        <v>13156.397955091301</v>
      </c>
      <c r="G676" s="52">
        <v>0</v>
      </c>
      <c r="H676" s="52">
        <v>81550</v>
      </c>
      <c r="I676" s="52">
        <v>81550</v>
      </c>
      <c r="J676" s="51">
        <v>0</v>
      </c>
      <c r="K676" s="54">
        <v>0</v>
      </c>
      <c r="L676" s="51">
        <v>3</v>
      </c>
      <c r="M676" s="54">
        <v>122000</v>
      </c>
      <c r="N676" s="53">
        <f t="shared" si="20"/>
        <v>-122000</v>
      </c>
      <c r="O676" s="53">
        <f t="shared" si="21"/>
        <v>122000</v>
      </c>
    </row>
    <row r="677" spans="1:15" x14ac:dyDescent="0.2">
      <c r="A677" s="51" t="s">
        <v>3567</v>
      </c>
      <c r="B677" s="51" t="s">
        <v>3568</v>
      </c>
      <c r="C677" s="51" t="s">
        <v>84</v>
      </c>
      <c r="D677" s="51" t="s">
        <v>238</v>
      </c>
      <c r="E677" s="51" t="s">
        <v>237</v>
      </c>
      <c r="F677" s="52">
        <v>21.330100000000002</v>
      </c>
      <c r="G677" s="52">
        <v>0</v>
      </c>
      <c r="H677" s="52">
        <v>0</v>
      </c>
      <c r="I677" s="52">
        <v>0</v>
      </c>
      <c r="J677" s="51">
        <v>0</v>
      </c>
      <c r="K677" s="54">
        <v>0</v>
      </c>
      <c r="L677" s="51">
        <v>0</v>
      </c>
      <c r="M677" s="54">
        <v>0</v>
      </c>
      <c r="N677" s="53">
        <f t="shared" si="20"/>
        <v>0</v>
      </c>
      <c r="O677" s="53">
        <f t="shared" si="21"/>
        <v>0</v>
      </c>
    </row>
    <row r="678" spans="1:15" x14ac:dyDescent="0.2">
      <c r="A678" s="51" t="s">
        <v>3567</v>
      </c>
      <c r="B678" s="51" t="s">
        <v>3568</v>
      </c>
      <c r="C678" s="51" t="s">
        <v>67</v>
      </c>
      <c r="D678" s="51" t="s">
        <v>1223</v>
      </c>
      <c r="E678" s="51" t="s">
        <v>1222</v>
      </c>
      <c r="F678" s="52">
        <v>7110.1320653177563</v>
      </c>
      <c r="G678" s="52">
        <v>0</v>
      </c>
      <c r="H678" s="52">
        <v>3928</v>
      </c>
      <c r="I678" s="52">
        <v>3928</v>
      </c>
      <c r="J678" s="51">
        <v>0</v>
      </c>
      <c r="K678" s="54">
        <v>0</v>
      </c>
      <c r="L678" s="51">
        <v>1</v>
      </c>
      <c r="M678" s="54">
        <v>10000</v>
      </c>
      <c r="N678" s="53">
        <f t="shared" si="20"/>
        <v>-10000</v>
      </c>
      <c r="O678" s="53">
        <f t="shared" si="21"/>
        <v>10000</v>
      </c>
    </row>
    <row r="679" spans="1:15" x14ac:dyDescent="0.2">
      <c r="A679" s="51" t="s">
        <v>3567</v>
      </c>
      <c r="B679" s="51" t="s">
        <v>3568</v>
      </c>
      <c r="C679" s="51" t="s">
        <v>52</v>
      </c>
      <c r="D679" s="51" t="s">
        <v>3253</v>
      </c>
      <c r="E679" s="51" t="s">
        <v>3252</v>
      </c>
      <c r="F679" s="52">
        <v>2226.0409201976868</v>
      </c>
      <c r="G679" s="52">
        <v>7630</v>
      </c>
      <c r="H679" s="52">
        <v>30730</v>
      </c>
      <c r="I679" s="52">
        <v>38360</v>
      </c>
      <c r="J679" s="51">
        <v>2</v>
      </c>
      <c r="K679" s="54">
        <v>10000</v>
      </c>
      <c r="L679" s="51">
        <v>1</v>
      </c>
      <c r="M679" s="54">
        <v>35000</v>
      </c>
      <c r="N679" s="53">
        <f t="shared" si="20"/>
        <v>-25000</v>
      </c>
      <c r="O679" s="53">
        <f t="shared" si="21"/>
        <v>25000</v>
      </c>
    </row>
    <row r="680" spans="1:15" x14ac:dyDescent="0.2">
      <c r="A680" s="51" t="s">
        <v>3567</v>
      </c>
      <c r="B680" s="51" t="s">
        <v>3568</v>
      </c>
      <c r="C680" s="51" t="s">
        <v>82</v>
      </c>
      <c r="D680" s="51" t="s">
        <v>3164</v>
      </c>
      <c r="E680" s="51" t="s">
        <v>3163</v>
      </c>
      <c r="F680" s="52">
        <v>14959.308849999999</v>
      </c>
      <c r="G680" s="52">
        <v>2140</v>
      </c>
      <c r="H680" s="52">
        <v>3620</v>
      </c>
      <c r="I680" s="52">
        <v>5760</v>
      </c>
      <c r="J680" s="51">
        <v>1</v>
      </c>
      <c r="K680" s="54">
        <v>5000</v>
      </c>
      <c r="L680" s="51">
        <v>0</v>
      </c>
      <c r="M680" s="54">
        <v>0</v>
      </c>
      <c r="N680" s="53">
        <f t="shared" si="20"/>
        <v>5000</v>
      </c>
      <c r="O680" s="53">
        <f t="shared" si="21"/>
        <v>-5000</v>
      </c>
    </row>
    <row r="681" spans="1:15" x14ac:dyDescent="0.2">
      <c r="A681" s="51" t="s">
        <v>3567</v>
      </c>
      <c r="B681" s="51" t="s">
        <v>3568</v>
      </c>
      <c r="C681" s="51" t="s">
        <v>71</v>
      </c>
      <c r="D681" s="51" t="s">
        <v>2297</v>
      </c>
      <c r="E681" s="51" t="s">
        <v>2296</v>
      </c>
      <c r="F681" s="52">
        <v>375.92409316083251</v>
      </c>
      <c r="G681" s="52">
        <v>0</v>
      </c>
      <c r="H681" s="52">
        <v>10004</v>
      </c>
      <c r="I681" s="52">
        <v>10004</v>
      </c>
      <c r="J681" s="51">
        <v>0</v>
      </c>
      <c r="K681" s="54">
        <v>0</v>
      </c>
      <c r="L681" s="51">
        <v>1</v>
      </c>
      <c r="M681" s="54">
        <v>10000</v>
      </c>
      <c r="N681" s="53">
        <f t="shared" si="20"/>
        <v>-10000</v>
      </c>
      <c r="O681" s="53">
        <f t="shared" si="21"/>
        <v>10000</v>
      </c>
    </row>
    <row r="682" spans="1:15" x14ac:dyDescent="0.2">
      <c r="A682" s="51" t="s">
        <v>3567</v>
      </c>
      <c r="B682" s="51" t="s">
        <v>3568</v>
      </c>
      <c r="C682" s="51" t="s">
        <v>66</v>
      </c>
      <c r="D682" s="51" t="s">
        <v>3909</v>
      </c>
      <c r="E682" s="51" t="s">
        <v>3910</v>
      </c>
      <c r="F682" s="52">
        <v>4.4865300297992032</v>
      </c>
      <c r="G682" s="52">
        <v>0</v>
      </c>
      <c r="H682" s="52">
        <v>0</v>
      </c>
      <c r="I682" s="52">
        <v>0</v>
      </c>
      <c r="J682" s="51">
        <v>0</v>
      </c>
      <c r="K682" s="54">
        <v>0</v>
      </c>
      <c r="L682" s="51">
        <v>0</v>
      </c>
      <c r="M682" s="54">
        <v>0</v>
      </c>
      <c r="N682" s="53">
        <f t="shared" si="20"/>
        <v>0</v>
      </c>
      <c r="O682" s="53">
        <f t="shared" si="21"/>
        <v>0</v>
      </c>
    </row>
    <row r="683" spans="1:15" x14ac:dyDescent="0.2">
      <c r="A683" s="51" t="s">
        <v>3567</v>
      </c>
      <c r="B683" s="51" t="s">
        <v>3568</v>
      </c>
      <c r="C683" s="51" t="s">
        <v>61</v>
      </c>
      <c r="D683" s="51" t="s">
        <v>2503</v>
      </c>
      <c r="E683" s="51" t="s">
        <v>2502</v>
      </c>
      <c r="F683" s="52">
        <v>194.80090000000001</v>
      </c>
      <c r="G683" s="52">
        <v>0</v>
      </c>
      <c r="H683" s="52">
        <v>0</v>
      </c>
      <c r="I683" s="52">
        <v>0</v>
      </c>
      <c r="J683" s="51">
        <v>0</v>
      </c>
      <c r="K683" s="54">
        <v>0</v>
      </c>
      <c r="L683" s="51">
        <v>0</v>
      </c>
      <c r="M683" s="54">
        <v>0</v>
      </c>
      <c r="N683" s="53">
        <f t="shared" si="20"/>
        <v>0</v>
      </c>
      <c r="O683" s="53">
        <f t="shared" si="21"/>
        <v>0</v>
      </c>
    </row>
    <row r="684" spans="1:15" x14ac:dyDescent="0.2">
      <c r="A684" s="51" t="s">
        <v>3567</v>
      </c>
      <c r="B684" s="51" t="s">
        <v>3568</v>
      </c>
      <c r="C684" s="51" t="s">
        <v>68</v>
      </c>
      <c r="D684" s="51" t="s">
        <v>1697</v>
      </c>
      <c r="E684" s="51" t="s">
        <v>1696</v>
      </c>
      <c r="F684" s="52">
        <v>99.066199275897091</v>
      </c>
      <c r="G684" s="52">
        <v>10720</v>
      </c>
      <c r="H684" s="52">
        <v>0</v>
      </c>
      <c r="I684" s="52">
        <v>10720</v>
      </c>
      <c r="J684" s="51">
        <v>1</v>
      </c>
      <c r="K684" s="54">
        <v>10000</v>
      </c>
      <c r="L684" s="51">
        <v>0</v>
      </c>
      <c r="M684" s="54">
        <v>0</v>
      </c>
      <c r="N684" s="53">
        <f t="shared" si="20"/>
        <v>10000</v>
      </c>
      <c r="O684" s="53">
        <f t="shared" si="21"/>
        <v>-10000</v>
      </c>
    </row>
    <row r="685" spans="1:15" x14ac:dyDescent="0.2">
      <c r="A685" s="51" t="s">
        <v>3567</v>
      </c>
      <c r="B685" s="51" t="s">
        <v>3568</v>
      </c>
      <c r="C685" s="51" t="s">
        <v>83</v>
      </c>
      <c r="D685" s="51" t="s">
        <v>2909</v>
      </c>
      <c r="E685" s="51" t="s">
        <v>2908</v>
      </c>
      <c r="F685" s="52">
        <v>25687.676437139831</v>
      </c>
      <c r="G685" s="52">
        <v>15350</v>
      </c>
      <c r="H685" s="52">
        <v>3100</v>
      </c>
      <c r="I685" s="52">
        <v>18450</v>
      </c>
      <c r="J685" s="51">
        <v>1</v>
      </c>
      <c r="K685" s="54">
        <v>5000</v>
      </c>
      <c r="L685" s="51">
        <v>0</v>
      </c>
      <c r="M685" s="54">
        <v>0</v>
      </c>
      <c r="N685" s="53">
        <f t="shared" si="20"/>
        <v>5000</v>
      </c>
      <c r="O685" s="53">
        <f t="shared" si="21"/>
        <v>-5000</v>
      </c>
    </row>
    <row r="686" spans="1:15" x14ac:dyDescent="0.2">
      <c r="A686" s="51" t="s">
        <v>3567</v>
      </c>
      <c r="B686" s="51" t="s">
        <v>3568</v>
      </c>
      <c r="C686" s="51" t="s">
        <v>55</v>
      </c>
      <c r="D686" s="51" t="s">
        <v>3924</v>
      </c>
      <c r="E686" s="51" t="s">
        <v>455</v>
      </c>
      <c r="F686" s="52">
        <v>7.1489029879746605E-2</v>
      </c>
      <c r="G686" s="52">
        <v>0</v>
      </c>
      <c r="H686" s="52">
        <v>0</v>
      </c>
      <c r="I686" s="52">
        <v>0</v>
      </c>
      <c r="J686" s="51">
        <v>0</v>
      </c>
      <c r="K686" s="54">
        <v>0</v>
      </c>
      <c r="L686" s="51">
        <v>0</v>
      </c>
      <c r="M686" s="54">
        <v>0</v>
      </c>
      <c r="N686" s="53">
        <f t="shared" si="20"/>
        <v>0</v>
      </c>
      <c r="O686" s="53">
        <f t="shared" si="21"/>
        <v>0</v>
      </c>
    </row>
    <row r="687" spans="1:15" x14ac:dyDescent="0.2">
      <c r="A687" s="51" t="s">
        <v>3567</v>
      </c>
      <c r="B687" s="51" t="s">
        <v>3568</v>
      </c>
      <c r="C687" s="51" t="s">
        <v>3864</v>
      </c>
      <c r="D687" s="51" t="s">
        <v>3925</v>
      </c>
      <c r="E687" s="51" t="s">
        <v>3926</v>
      </c>
      <c r="F687" s="52">
        <v>3.4688725790456569</v>
      </c>
      <c r="G687" s="52">
        <v>0</v>
      </c>
      <c r="H687" s="52">
        <v>0</v>
      </c>
      <c r="I687" s="52">
        <v>0</v>
      </c>
      <c r="J687" s="51">
        <v>0</v>
      </c>
      <c r="K687" s="54">
        <v>0</v>
      </c>
      <c r="L687" s="51">
        <v>0</v>
      </c>
      <c r="M687" s="54">
        <v>0</v>
      </c>
      <c r="N687" s="53">
        <f t="shared" si="20"/>
        <v>0</v>
      </c>
      <c r="O687" s="53">
        <f t="shared" si="21"/>
        <v>0</v>
      </c>
    </row>
    <row r="688" spans="1:15" x14ac:dyDescent="0.2">
      <c r="A688" s="51" t="s">
        <v>3567</v>
      </c>
      <c r="B688" s="51" t="s">
        <v>3568</v>
      </c>
      <c r="C688" s="51" t="s">
        <v>52</v>
      </c>
      <c r="D688" s="51" t="s">
        <v>3963</v>
      </c>
      <c r="E688" s="51" t="s">
        <v>167</v>
      </c>
      <c r="F688" s="52">
        <v>0.56466000169999997</v>
      </c>
      <c r="G688" s="52">
        <v>0</v>
      </c>
      <c r="H688" s="52">
        <v>0</v>
      </c>
      <c r="I688" s="52">
        <v>0</v>
      </c>
      <c r="J688" s="51">
        <v>0</v>
      </c>
      <c r="K688" s="54">
        <v>0</v>
      </c>
      <c r="L688" s="51">
        <v>0</v>
      </c>
      <c r="M688" s="54">
        <v>0</v>
      </c>
      <c r="N688" s="53">
        <f t="shared" si="20"/>
        <v>0</v>
      </c>
      <c r="O688" s="53">
        <f t="shared" si="21"/>
        <v>0</v>
      </c>
    </row>
    <row r="689" spans="1:15" x14ac:dyDescent="0.2">
      <c r="A689" s="51" t="s">
        <v>3567</v>
      </c>
      <c r="B689" s="51" t="s">
        <v>3568</v>
      </c>
      <c r="C689" s="51" t="s">
        <v>76</v>
      </c>
      <c r="D689" s="51" t="s">
        <v>1596</v>
      </c>
      <c r="E689" s="51" t="s">
        <v>1595</v>
      </c>
      <c r="F689" s="52">
        <v>14066.619478085961</v>
      </c>
      <c r="G689" s="52">
        <v>1450</v>
      </c>
      <c r="H689" s="52">
        <v>28580</v>
      </c>
      <c r="I689" s="52">
        <v>30030</v>
      </c>
      <c r="J689" s="51">
        <v>1</v>
      </c>
      <c r="K689" s="54">
        <v>5000</v>
      </c>
      <c r="L689" s="51">
        <v>1</v>
      </c>
      <c r="M689" s="54">
        <v>20000</v>
      </c>
      <c r="N689" s="53">
        <f t="shared" si="20"/>
        <v>-15000</v>
      </c>
      <c r="O689" s="53">
        <f t="shared" si="21"/>
        <v>15000</v>
      </c>
    </row>
    <row r="690" spans="1:15" x14ac:dyDescent="0.2">
      <c r="A690" s="51" t="s">
        <v>3567</v>
      </c>
      <c r="B690" s="51" t="s">
        <v>3568</v>
      </c>
      <c r="C690" s="51" t="s">
        <v>65</v>
      </c>
      <c r="D690" s="51" t="s">
        <v>3921</v>
      </c>
      <c r="E690" s="51" t="s">
        <v>3922</v>
      </c>
      <c r="F690" s="52">
        <v>11.356299999999999</v>
      </c>
      <c r="G690" s="52">
        <v>0</v>
      </c>
      <c r="H690" s="52">
        <v>0</v>
      </c>
      <c r="I690" s="52">
        <v>0</v>
      </c>
      <c r="J690" s="51">
        <v>0</v>
      </c>
      <c r="K690" s="54">
        <v>0</v>
      </c>
      <c r="L690" s="51">
        <v>0</v>
      </c>
      <c r="M690" s="54">
        <v>0</v>
      </c>
      <c r="N690" s="53">
        <f t="shared" si="20"/>
        <v>0</v>
      </c>
      <c r="O690" s="53">
        <f t="shared" si="21"/>
        <v>0</v>
      </c>
    </row>
    <row r="691" spans="1:15" x14ac:dyDescent="0.2">
      <c r="A691" s="51" t="s">
        <v>3567</v>
      </c>
      <c r="B691" s="51" t="s">
        <v>3568</v>
      </c>
      <c r="C691" s="51" t="s">
        <v>58</v>
      </c>
      <c r="D691" s="51" t="s">
        <v>2505</v>
      </c>
      <c r="E691" s="51" t="s">
        <v>2504</v>
      </c>
      <c r="F691" s="52">
        <v>10269.8323001761</v>
      </c>
      <c r="G691" s="52">
        <v>1700</v>
      </c>
      <c r="H691" s="52">
        <v>1508</v>
      </c>
      <c r="I691" s="52">
        <v>3208</v>
      </c>
      <c r="J691" s="51">
        <v>1</v>
      </c>
      <c r="K691" s="54">
        <v>5000</v>
      </c>
      <c r="L691" s="51">
        <v>1</v>
      </c>
      <c r="M691" s="54">
        <v>10000</v>
      </c>
      <c r="N691" s="53">
        <f t="shared" si="20"/>
        <v>-5000</v>
      </c>
      <c r="O691" s="53">
        <f t="shared" si="21"/>
        <v>5000</v>
      </c>
    </row>
    <row r="692" spans="1:15" x14ac:dyDescent="0.2">
      <c r="A692" s="51" t="s">
        <v>3567</v>
      </c>
      <c r="B692" s="51" t="s">
        <v>3568</v>
      </c>
      <c r="C692" s="51" t="s">
        <v>62</v>
      </c>
      <c r="D692" s="51" t="s">
        <v>714</v>
      </c>
      <c r="E692" s="51" t="s">
        <v>713</v>
      </c>
      <c r="F692" s="52">
        <v>25733.789818441212</v>
      </c>
      <c r="G692" s="52">
        <v>0</v>
      </c>
      <c r="H692" s="52">
        <v>0</v>
      </c>
      <c r="I692" s="52">
        <v>0</v>
      </c>
      <c r="J692" s="51">
        <v>0</v>
      </c>
      <c r="K692" s="54">
        <v>0</v>
      </c>
      <c r="L692" s="51">
        <v>0</v>
      </c>
      <c r="M692" s="54">
        <v>0</v>
      </c>
      <c r="N692" s="53">
        <f t="shared" si="20"/>
        <v>0</v>
      </c>
      <c r="O692" s="53">
        <f t="shared" si="21"/>
        <v>0</v>
      </c>
    </row>
    <row r="693" spans="1:15" x14ac:dyDescent="0.2">
      <c r="A693" s="51" t="s">
        <v>3567</v>
      </c>
      <c r="B693" s="51" t="s">
        <v>3568</v>
      </c>
      <c r="C693" s="51" t="s">
        <v>55</v>
      </c>
      <c r="D693" s="51" t="s">
        <v>532</v>
      </c>
      <c r="E693" s="51" t="s">
        <v>531</v>
      </c>
      <c r="F693" s="52">
        <v>27087.970300000201</v>
      </c>
      <c r="G693" s="52">
        <v>2050</v>
      </c>
      <c r="H693" s="52">
        <v>1000</v>
      </c>
      <c r="I693" s="52">
        <v>3050</v>
      </c>
      <c r="J693" s="51">
        <v>1</v>
      </c>
      <c r="K693" s="54">
        <v>5000</v>
      </c>
      <c r="L693" s="51">
        <v>0</v>
      </c>
      <c r="M693" s="54">
        <v>0</v>
      </c>
      <c r="N693" s="53">
        <f t="shared" si="20"/>
        <v>5000</v>
      </c>
      <c r="O693" s="53">
        <f t="shared" si="21"/>
        <v>-5000</v>
      </c>
    </row>
    <row r="694" spans="1:15" x14ac:dyDescent="0.2">
      <c r="A694" s="51" t="s">
        <v>3567</v>
      </c>
      <c r="B694" s="51" t="s">
        <v>3568</v>
      </c>
      <c r="C694" s="51" t="s">
        <v>3574</v>
      </c>
      <c r="D694" s="51" t="s">
        <v>3959</v>
      </c>
      <c r="E694" s="51" t="s">
        <v>3960</v>
      </c>
      <c r="F694" s="52">
        <v>5.7330151710642703</v>
      </c>
      <c r="G694" s="52">
        <v>0</v>
      </c>
      <c r="H694" s="52">
        <v>0</v>
      </c>
      <c r="I694" s="52">
        <v>0</v>
      </c>
      <c r="J694" s="51">
        <v>0</v>
      </c>
      <c r="K694" s="54">
        <v>0</v>
      </c>
      <c r="L694" s="51">
        <v>0</v>
      </c>
      <c r="M694" s="54">
        <v>0</v>
      </c>
      <c r="N694" s="53">
        <f t="shared" si="20"/>
        <v>0</v>
      </c>
      <c r="O694" s="53">
        <f t="shared" si="21"/>
        <v>0</v>
      </c>
    </row>
    <row r="695" spans="1:15" x14ac:dyDescent="0.2">
      <c r="A695" s="51" t="s">
        <v>3567</v>
      </c>
      <c r="B695" s="51" t="s">
        <v>3568</v>
      </c>
      <c r="C695" s="51" t="s">
        <v>55</v>
      </c>
      <c r="D695" s="51" t="s">
        <v>390</v>
      </c>
      <c r="E695" s="51" t="s">
        <v>389</v>
      </c>
      <c r="F695" s="52">
        <v>1.3261170482183999</v>
      </c>
      <c r="G695" s="52">
        <v>0</v>
      </c>
      <c r="H695" s="52">
        <v>0</v>
      </c>
      <c r="I695" s="52">
        <v>0</v>
      </c>
      <c r="J695" s="51">
        <v>0</v>
      </c>
      <c r="K695" s="54">
        <v>0</v>
      </c>
      <c r="L695" s="51">
        <v>0</v>
      </c>
      <c r="M695" s="54">
        <v>0</v>
      </c>
      <c r="N695" s="53">
        <f t="shared" si="20"/>
        <v>0</v>
      </c>
      <c r="O695" s="53">
        <f t="shared" si="21"/>
        <v>0</v>
      </c>
    </row>
    <row r="696" spans="1:15" x14ac:dyDescent="0.2">
      <c r="A696" s="51" t="s">
        <v>3567</v>
      </c>
      <c r="B696" s="51" t="s">
        <v>3568</v>
      </c>
      <c r="C696" s="51" t="s">
        <v>55</v>
      </c>
      <c r="D696" s="51" t="s">
        <v>3913</v>
      </c>
      <c r="E696" s="51" t="s">
        <v>3914</v>
      </c>
      <c r="F696" s="52">
        <v>9.9308577682798429</v>
      </c>
      <c r="G696" s="52">
        <v>0</v>
      </c>
      <c r="H696" s="52">
        <v>0</v>
      </c>
      <c r="I696" s="52">
        <v>0</v>
      </c>
      <c r="J696" s="51">
        <v>0</v>
      </c>
      <c r="K696" s="54">
        <v>0</v>
      </c>
      <c r="L696" s="51">
        <v>0</v>
      </c>
      <c r="M696" s="54">
        <v>0</v>
      </c>
      <c r="N696" s="53">
        <f t="shared" si="20"/>
        <v>0</v>
      </c>
      <c r="O696" s="53">
        <f t="shared" si="21"/>
        <v>0</v>
      </c>
    </row>
    <row r="697" spans="1:15" x14ac:dyDescent="0.2">
      <c r="A697" s="51" t="s">
        <v>3567</v>
      </c>
      <c r="B697" s="51" t="s">
        <v>3568</v>
      </c>
      <c r="C697" s="51" t="s">
        <v>92</v>
      </c>
      <c r="D697" s="51" t="s">
        <v>190</v>
      </c>
      <c r="E697" s="51" t="s">
        <v>189</v>
      </c>
      <c r="F697" s="52">
        <v>76.191599999999994</v>
      </c>
      <c r="G697" s="52">
        <v>0</v>
      </c>
      <c r="H697" s="52">
        <v>0</v>
      </c>
      <c r="I697" s="52">
        <v>0</v>
      </c>
      <c r="J697" s="51">
        <v>0</v>
      </c>
      <c r="K697" s="54">
        <v>0</v>
      </c>
      <c r="L697" s="51">
        <v>0</v>
      </c>
      <c r="M697" s="54">
        <v>0</v>
      </c>
      <c r="N697" s="53">
        <f t="shared" si="20"/>
        <v>0</v>
      </c>
      <c r="O697" s="53">
        <f t="shared" si="21"/>
        <v>0</v>
      </c>
    </row>
    <row r="698" spans="1:15" x14ac:dyDescent="0.2">
      <c r="A698" s="51" t="s">
        <v>3567</v>
      </c>
      <c r="B698" s="51" t="s">
        <v>3568</v>
      </c>
      <c r="C698" s="51" t="s">
        <v>3580</v>
      </c>
      <c r="D698" s="51" t="s">
        <v>3923</v>
      </c>
      <c r="E698" s="51" t="s">
        <v>366</v>
      </c>
      <c r="F698" s="52">
        <v>6.3207734198925483</v>
      </c>
      <c r="G698" s="52">
        <v>0</v>
      </c>
      <c r="H698" s="52">
        <v>0</v>
      </c>
      <c r="I698" s="52">
        <v>0</v>
      </c>
      <c r="J698" s="51">
        <v>0</v>
      </c>
      <c r="K698" s="54">
        <v>0</v>
      </c>
      <c r="L698" s="51">
        <v>0</v>
      </c>
      <c r="M698" s="54">
        <v>0</v>
      </c>
      <c r="N698" s="53">
        <f t="shared" si="20"/>
        <v>0</v>
      </c>
      <c r="O698" s="53">
        <f t="shared" si="21"/>
        <v>0</v>
      </c>
    </row>
    <row r="699" spans="1:15" x14ac:dyDescent="0.2">
      <c r="A699" s="51" t="s">
        <v>3567</v>
      </c>
      <c r="B699" s="51" t="s">
        <v>3568</v>
      </c>
      <c r="C699" s="51" t="s">
        <v>67</v>
      </c>
      <c r="D699" s="51" t="s">
        <v>748</v>
      </c>
      <c r="E699" s="51" t="s">
        <v>747</v>
      </c>
      <c r="F699" s="52">
        <v>6451.5574999922001</v>
      </c>
      <c r="G699" s="52">
        <v>0</v>
      </c>
      <c r="H699" s="52">
        <v>11880</v>
      </c>
      <c r="I699" s="52">
        <v>11880</v>
      </c>
      <c r="J699" s="51">
        <v>1</v>
      </c>
      <c r="K699" s="54">
        <v>5000</v>
      </c>
      <c r="L699" s="51">
        <v>2</v>
      </c>
      <c r="M699" s="54">
        <v>11000</v>
      </c>
      <c r="N699" s="53">
        <f t="shared" si="20"/>
        <v>-6000</v>
      </c>
      <c r="O699" s="53">
        <f t="shared" si="21"/>
        <v>6000</v>
      </c>
    </row>
    <row r="700" spans="1:15" x14ac:dyDescent="0.2">
      <c r="A700" s="51" t="s">
        <v>3567</v>
      </c>
      <c r="B700" s="51" t="s">
        <v>3568</v>
      </c>
      <c r="C700" s="51" t="s">
        <v>81</v>
      </c>
      <c r="D700" s="51" t="s">
        <v>809</v>
      </c>
      <c r="E700" s="51" t="s">
        <v>807</v>
      </c>
      <c r="F700" s="52">
        <v>1056.5893135122101</v>
      </c>
      <c r="G700" s="52">
        <v>230</v>
      </c>
      <c r="H700" s="52">
        <v>0</v>
      </c>
      <c r="I700" s="52">
        <v>230</v>
      </c>
      <c r="J700" s="51">
        <v>0</v>
      </c>
      <c r="K700" s="54">
        <v>0</v>
      </c>
      <c r="L700" s="51">
        <v>1</v>
      </c>
      <c r="M700" s="54">
        <v>5000</v>
      </c>
      <c r="N700" s="53">
        <f t="shared" si="20"/>
        <v>-5000</v>
      </c>
      <c r="O700" s="53">
        <f t="shared" si="21"/>
        <v>5000</v>
      </c>
    </row>
    <row r="701" spans="1:15" x14ac:dyDescent="0.2">
      <c r="A701" s="51" t="s">
        <v>3567</v>
      </c>
      <c r="B701" s="51" t="s">
        <v>3568</v>
      </c>
      <c r="C701" s="51" t="s">
        <v>52</v>
      </c>
      <c r="D701" s="51" t="s">
        <v>2032</v>
      </c>
      <c r="E701" s="51" t="s">
        <v>2031</v>
      </c>
      <c r="F701" s="52">
        <v>6118.3009795997341</v>
      </c>
      <c r="G701" s="52">
        <v>64</v>
      </c>
      <c r="H701" s="52">
        <v>14590</v>
      </c>
      <c r="I701" s="52">
        <v>14654</v>
      </c>
      <c r="J701" s="51">
        <v>1</v>
      </c>
      <c r="K701" s="54">
        <v>5000</v>
      </c>
      <c r="L701" s="51">
        <v>1</v>
      </c>
      <c r="M701" s="54">
        <v>20000</v>
      </c>
      <c r="N701" s="53">
        <f t="shared" si="20"/>
        <v>-15000</v>
      </c>
      <c r="O701" s="53">
        <f t="shared" si="21"/>
        <v>15000</v>
      </c>
    </row>
    <row r="702" spans="1:15" x14ac:dyDescent="0.2">
      <c r="A702" s="51" t="s">
        <v>3567</v>
      </c>
      <c r="B702" s="51" t="s">
        <v>3568</v>
      </c>
      <c r="C702" s="51" t="s">
        <v>72</v>
      </c>
      <c r="D702" s="51" t="s">
        <v>255</v>
      </c>
      <c r="E702" s="51" t="s">
        <v>254</v>
      </c>
      <c r="F702" s="52">
        <v>22.373281388576991</v>
      </c>
      <c r="G702" s="52">
        <v>0</v>
      </c>
      <c r="H702" s="52">
        <v>0</v>
      </c>
      <c r="I702" s="52">
        <v>0</v>
      </c>
      <c r="J702" s="51">
        <v>0</v>
      </c>
      <c r="K702" s="54">
        <v>0</v>
      </c>
      <c r="L702" s="51">
        <v>0</v>
      </c>
      <c r="M702" s="54">
        <v>0</v>
      </c>
      <c r="N702" s="53">
        <f t="shared" si="20"/>
        <v>0</v>
      </c>
      <c r="O702" s="53">
        <f t="shared" si="21"/>
        <v>0</v>
      </c>
    </row>
    <row r="703" spans="1:15" x14ac:dyDescent="0.2">
      <c r="A703" s="51" t="s">
        <v>3567</v>
      </c>
      <c r="B703" s="51" t="s">
        <v>3568</v>
      </c>
      <c r="C703" s="51" t="s">
        <v>82</v>
      </c>
      <c r="D703" s="51" t="s">
        <v>2440</v>
      </c>
      <c r="E703" s="51" t="s">
        <v>1269</v>
      </c>
      <c r="F703" s="52">
        <v>1738.6151</v>
      </c>
      <c r="G703" s="52">
        <v>0</v>
      </c>
      <c r="H703" s="52">
        <v>0</v>
      </c>
      <c r="I703" s="52">
        <v>0</v>
      </c>
      <c r="J703" s="51">
        <v>0</v>
      </c>
      <c r="K703" s="54">
        <v>0</v>
      </c>
      <c r="L703" s="51">
        <v>0</v>
      </c>
      <c r="M703" s="54">
        <v>0</v>
      </c>
      <c r="N703" s="53">
        <f t="shared" si="20"/>
        <v>0</v>
      </c>
      <c r="O703" s="53">
        <f t="shared" si="21"/>
        <v>0</v>
      </c>
    </row>
    <row r="704" spans="1:15" x14ac:dyDescent="0.2">
      <c r="A704" s="51" t="s">
        <v>3567</v>
      </c>
      <c r="B704" s="51" t="s">
        <v>3568</v>
      </c>
      <c r="C704" s="51" t="s">
        <v>3653</v>
      </c>
      <c r="D704" s="51" t="s">
        <v>3942</v>
      </c>
      <c r="E704" s="51" t="s">
        <v>3943</v>
      </c>
      <c r="F704" s="52">
        <v>0.95209346535495942</v>
      </c>
      <c r="G704" s="52">
        <v>0</v>
      </c>
      <c r="H704" s="52">
        <v>0</v>
      </c>
      <c r="I704" s="52">
        <v>0</v>
      </c>
      <c r="J704" s="51">
        <v>0</v>
      </c>
      <c r="K704" s="54">
        <v>0</v>
      </c>
      <c r="L704" s="51">
        <v>0</v>
      </c>
      <c r="M704" s="54">
        <v>0</v>
      </c>
      <c r="N704" s="53">
        <f t="shared" si="20"/>
        <v>0</v>
      </c>
      <c r="O704" s="53">
        <f t="shared" si="21"/>
        <v>0</v>
      </c>
    </row>
    <row r="705" spans="1:15" x14ac:dyDescent="0.2">
      <c r="A705" s="51" t="s">
        <v>3567</v>
      </c>
      <c r="B705" s="51" t="s">
        <v>3568</v>
      </c>
      <c r="C705" s="51" t="s">
        <v>54</v>
      </c>
      <c r="D705" s="51" t="s">
        <v>1930</v>
      </c>
      <c r="E705" s="51" t="s">
        <v>1929</v>
      </c>
      <c r="F705" s="52">
        <v>10720.63253239438</v>
      </c>
      <c r="G705" s="52">
        <v>0</v>
      </c>
      <c r="H705" s="52">
        <v>5630</v>
      </c>
      <c r="I705" s="52">
        <v>5630</v>
      </c>
      <c r="J705" s="51">
        <v>1</v>
      </c>
      <c r="K705" s="54">
        <v>5000</v>
      </c>
      <c r="L705" s="51">
        <v>0</v>
      </c>
      <c r="M705" s="54">
        <v>0</v>
      </c>
      <c r="N705" s="53">
        <f t="shared" si="20"/>
        <v>5000</v>
      </c>
      <c r="O705" s="53">
        <f t="shared" si="21"/>
        <v>-5000</v>
      </c>
    </row>
    <row r="706" spans="1:15" x14ac:dyDescent="0.2">
      <c r="A706" s="51" t="s">
        <v>3567</v>
      </c>
      <c r="B706" s="51" t="s">
        <v>3568</v>
      </c>
      <c r="C706" s="51" t="s">
        <v>81</v>
      </c>
      <c r="D706" s="51" t="s">
        <v>1723</v>
      </c>
      <c r="E706" s="51" t="s">
        <v>1722</v>
      </c>
      <c r="F706" s="52">
        <v>948.50840000000005</v>
      </c>
      <c r="G706" s="52">
        <v>0</v>
      </c>
      <c r="H706" s="52">
        <v>195</v>
      </c>
      <c r="I706" s="52">
        <v>195</v>
      </c>
      <c r="J706" s="51">
        <v>0</v>
      </c>
      <c r="K706" s="54">
        <v>0</v>
      </c>
      <c r="L706" s="51">
        <v>1</v>
      </c>
      <c r="M706" s="54">
        <v>5000</v>
      </c>
      <c r="N706" s="53">
        <f t="shared" si="20"/>
        <v>-5000</v>
      </c>
      <c r="O706" s="53">
        <f t="shared" si="21"/>
        <v>5000</v>
      </c>
    </row>
    <row r="707" spans="1:15" x14ac:dyDescent="0.2">
      <c r="A707" s="51" t="s">
        <v>3567</v>
      </c>
      <c r="B707" s="51" t="s">
        <v>3568</v>
      </c>
      <c r="C707" s="51" t="s">
        <v>56</v>
      </c>
      <c r="D707" s="51" t="s">
        <v>468</v>
      </c>
      <c r="E707" s="51" t="s">
        <v>467</v>
      </c>
      <c r="F707" s="52">
        <v>18682.7326379486</v>
      </c>
      <c r="G707" s="52">
        <v>14248</v>
      </c>
      <c r="H707" s="52">
        <v>8935</v>
      </c>
      <c r="I707" s="52">
        <v>23183</v>
      </c>
      <c r="J707" s="51">
        <v>2</v>
      </c>
      <c r="K707" s="54">
        <v>15000</v>
      </c>
      <c r="L707" s="51">
        <v>0</v>
      </c>
      <c r="M707" s="54">
        <v>0</v>
      </c>
      <c r="N707" s="53">
        <f t="shared" ref="N707:N770" si="22">K707-M707</f>
        <v>15000</v>
      </c>
      <c r="O707" s="53">
        <f t="shared" ref="O707:O770" si="23">M707-K707</f>
        <v>-15000</v>
      </c>
    </row>
    <row r="708" spans="1:15" x14ac:dyDescent="0.2">
      <c r="A708" s="51" t="s">
        <v>3567</v>
      </c>
      <c r="B708" s="51" t="s">
        <v>3568</v>
      </c>
      <c r="C708" s="51" t="s">
        <v>3619</v>
      </c>
      <c r="D708" s="51" t="s">
        <v>3929</v>
      </c>
      <c r="E708" s="51" t="s">
        <v>3930</v>
      </c>
      <c r="F708" s="52">
        <v>9.1730837084770318</v>
      </c>
      <c r="G708" s="52">
        <v>0</v>
      </c>
      <c r="H708" s="52">
        <v>0</v>
      </c>
      <c r="I708" s="52">
        <v>0</v>
      </c>
      <c r="J708" s="51">
        <v>0</v>
      </c>
      <c r="K708" s="54">
        <v>0</v>
      </c>
      <c r="L708" s="51">
        <v>0</v>
      </c>
      <c r="M708" s="54">
        <v>0</v>
      </c>
      <c r="N708" s="53">
        <f t="shared" si="22"/>
        <v>0</v>
      </c>
      <c r="O708" s="53">
        <f t="shared" si="23"/>
        <v>0</v>
      </c>
    </row>
    <row r="709" spans="1:15" x14ac:dyDescent="0.2">
      <c r="A709" s="51" t="s">
        <v>3567</v>
      </c>
      <c r="B709" s="51" t="s">
        <v>3568</v>
      </c>
      <c r="C709" s="51" t="s">
        <v>3763</v>
      </c>
      <c r="D709" s="51" t="s">
        <v>3931</v>
      </c>
      <c r="E709" s="51" t="s">
        <v>1933</v>
      </c>
      <c r="F709" s="52">
        <v>0.54423549606575328</v>
      </c>
      <c r="G709" s="52">
        <v>0</v>
      </c>
      <c r="H709" s="52">
        <v>0</v>
      </c>
      <c r="I709" s="52">
        <v>0</v>
      </c>
      <c r="J709" s="51">
        <v>0</v>
      </c>
      <c r="K709" s="54">
        <v>0</v>
      </c>
      <c r="L709" s="51">
        <v>0</v>
      </c>
      <c r="M709" s="54">
        <v>0</v>
      </c>
      <c r="N709" s="53">
        <f t="shared" si="22"/>
        <v>0</v>
      </c>
      <c r="O709" s="53">
        <f t="shared" si="23"/>
        <v>0</v>
      </c>
    </row>
    <row r="710" spans="1:15" x14ac:dyDescent="0.2">
      <c r="A710" s="51" t="s">
        <v>3567</v>
      </c>
      <c r="B710" s="51" t="s">
        <v>3568</v>
      </c>
      <c r="C710" s="51" t="s">
        <v>77</v>
      </c>
      <c r="D710" s="51" t="s">
        <v>2460</v>
      </c>
      <c r="E710" s="51" t="s">
        <v>2459</v>
      </c>
      <c r="F710" s="52">
        <v>15199.316800000001</v>
      </c>
      <c r="G710" s="52">
        <v>1056</v>
      </c>
      <c r="H710" s="52">
        <v>850</v>
      </c>
      <c r="I710" s="52">
        <v>1906</v>
      </c>
      <c r="J710" s="51">
        <v>1</v>
      </c>
      <c r="K710" s="54">
        <v>5000</v>
      </c>
      <c r="L710" s="51">
        <v>0</v>
      </c>
      <c r="M710" s="54">
        <v>0</v>
      </c>
      <c r="N710" s="53">
        <f t="shared" si="22"/>
        <v>5000</v>
      </c>
      <c r="O710" s="53">
        <f t="shared" si="23"/>
        <v>-5000</v>
      </c>
    </row>
    <row r="711" spans="1:15" x14ac:dyDescent="0.2">
      <c r="A711" s="51" t="s">
        <v>3567</v>
      </c>
      <c r="B711" s="51" t="s">
        <v>3568</v>
      </c>
      <c r="C711" s="51" t="s">
        <v>56</v>
      </c>
      <c r="D711" s="51" t="s">
        <v>3459</v>
      </c>
      <c r="E711" s="51" t="s">
        <v>1495</v>
      </c>
      <c r="F711" s="52">
        <v>748.45732427817745</v>
      </c>
      <c r="G711" s="52">
        <v>230</v>
      </c>
      <c r="H711" s="52">
        <v>11400</v>
      </c>
      <c r="I711" s="52">
        <v>11630</v>
      </c>
      <c r="J711" s="51">
        <v>1</v>
      </c>
      <c r="K711" s="54">
        <v>5000</v>
      </c>
      <c r="L711" s="51">
        <v>1</v>
      </c>
      <c r="M711" s="54">
        <v>15000</v>
      </c>
      <c r="N711" s="53">
        <f t="shared" si="22"/>
        <v>-10000</v>
      </c>
      <c r="O711" s="53">
        <f t="shared" si="23"/>
        <v>10000</v>
      </c>
    </row>
    <row r="712" spans="1:15" x14ac:dyDescent="0.2">
      <c r="A712" s="51" t="s">
        <v>3567</v>
      </c>
      <c r="B712" s="51" t="s">
        <v>3568</v>
      </c>
      <c r="C712" s="51" t="s">
        <v>75</v>
      </c>
      <c r="D712" s="51" t="s">
        <v>3972</v>
      </c>
      <c r="E712" s="51" t="s">
        <v>3973</v>
      </c>
      <c r="F712" s="52">
        <v>16019.281648497819</v>
      </c>
      <c r="G712" s="52">
        <v>0</v>
      </c>
      <c r="H712" s="52">
        <v>0</v>
      </c>
      <c r="I712" s="52">
        <v>0</v>
      </c>
      <c r="J712" s="51">
        <v>0</v>
      </c>
      <c r="K712" s="54">
        <v>0</v>
      </c>
      <c r="L712" s="51">
        <v>0</v>
      </c>
      <c r="M712" s="54">
        <v>0</v>
      </c>
      <c r="N712" s="53">
        <f t="shared" si="22"/>
        <v>0</v>
      </c>
      <c r="O712" s="53">
        <f t="shared" si="23"/>
        <v>0</v>
      </c>
    </row>
    <row r="713" spans="1:15" x14ac:dyDescent="0.2">
      <c r="A713" s="51" t="s">
        <v>3567</v>
      </c>
      <c r="B713" s="51" t="s">
        <v>3568</v>
      </c>
      <c r="C713" s="51" t="s">
        <v>57</v>
      </c>
      <c r="D713" s="51" t="s">
        <v>876</v>
      </c>
      <c r="E713" s="51" t="s">
        <v>145</v>
      </c>
      <c r="F713" s="52">
        <v>5024.6960749999998</v>
      </c>
      <c r="G713" s="52">
        <v>0</v>
      </c>
      <c r="H713" s="52">
        <v>0</v>
      </c>
      <c r="I713" s="52">
        <v>0</v>
      </c>
      <c r="J713" s="51">
        <v>1</v>
      </c>
      <c r="K713" s="54">
        <v>5000</v>
      </c>
      <c r="L713" s="51">
        <v>0</v>
      </c>
      <c r="M713" s="54">
        <v>0</v>
      </c>
      <c r="N713" s="53">
        <f t="shared" si="22"/>
        <v>5000</v>
      </c>
      <c r="O713" s="53">
        <f t="shared" si="23"/>
        <v>-5000</v>
      </c>
    </row>
    <row r="714" spans="1:15" x14ac:dyDescent="0.2">
      <c r="A714" s="51" t="s">
        <v>3567</v>
      </c>
      <c r="B714" s="51" t="s">
        <v>3568</v>
      </c>
      <c r="C714" s="51" t="s">
        <v>54</v>
      </c>
      <c r="D714" s="51" t="s">
        <v>2120</v>
      </c>
      <c r="E714" s="51" t="s">
        <v>2119</v>
      </c>
      <c r="F714" s="52">
        <v>3134.7072121727761</v>
      </c>
      <c r="G714" s="52">
        <v>0</v>
      </c>
      <c r="H714" s="52">
        <v>0</v>
      </c>
      <c r="I714" s="52">
        <v>0</v>
      </c>
      <c r="J714" s="51">
        <v>1</v>
      </c>
      <c r="K714" s="54">
        <v>3000</v>
      </c>
      <c r="L714" s="51">
        <v>0</v>
      </c>
      <c r="M714" s="54">
        <v>0</v>
      </c>
      <c r="N714" s="53">
        <f t="shared" si="22"/>
        <v>3000</v>
      </c>
      <c r="O714" s="53">
        <f t="shared" si="23"/>
        <v>-3000</v>
      </c>
    </row>
    <row r="715" spans="1:15" x14ac:dyDescent="0.2">
      <c r="A715" s="51" t="s">
        <v>3567</v>
      </c>
      <c r="B715" s="51" t="s">
        <v>3568</v>
      </c>
      <c r="C715" s="51" t="s">
        <v>86</v>
      </c>
      <c r="D715" s="51" t="s">
        <v>3955</v>
      </c>
      <c r="E715" s="51" t="s">
        <v>3956</v>
      </c>
      <c r="F715" s="52">
        <v>2.5614720000000002</v>
      </c>
      <c r="G715" s="52">
        <v>0</v>
      </c>
      <c r="H715" s="52">
        <v>0</v>
      </c>
      <c r="I715" s="52">
        <v>0</v>
      </c>
      <c r="J715" s="51">
        <v>0</v>
      </c>
      <c r="K715" s="54">
        <v>0</v>
      </c>
      <c r="L715" s="51">
        <v>0</v>
      </c>
      <c r="M715" s="54">
        <v>0</v>
      </c>
      <c r="N715" s="53">
        <f t="shared" si="22"/>
        <v>0</v>
      </c>
      <c r="O715" s="53">
        <f t="shared" si="23"/>
        <v>0</v>
      </c>
    </row>
    <row r="716" spans="1:15" x14ac:dyDescent="0.2">
      <c r="A716" s="51" t="s">
        <v>3567</v>
      </c>
      <c r="B716" s="51" t="s">
        <v>3568</v>
      </c>
      <c r="C716" s="51" t="s">
        <v>71</v>
      </c>
      <c r="D716" s="51" t="s">
        <v>1862</v>
      </c>
      <c r="E716" s="51" t="s">
        <v>1861</v>
      </c>
      <c r="F716" s="52">
        <v>26165.977999999999</v>
      </c>
      <c r="G716" s="52">
        <v>4530</v>
      </c>
      <c r="H716" s="52">
        <v>0</v>
      </c>
      <c r="I716" s="52">
        <v>4530</v>
      </c>
      <c r="J716" s="51">
        <v>1</v>
      </c>
      <c r="K716" s="54">
        <v>5000</v>
      </c>
      <c r="L716" s="51">
        <v>0</v>
      </c>
      <c r="M716" s="54">
        <v>0</v>
      </c>
      <c r="N716" s="53">
        <f t="shared" si="22"/>
        <v>5000</v>
      </c>
      <c r="O716" s="53">
        <f t="shared" si="23"/>
        <v>-5000</v>
      </c>
    </row>
    <row r="717" spans="1:15" x14ac:dyDescent="0.2">
      <c r="A717" s="51" t="s">
        <v>3567</v>
      </c>
      <c r="B717" s="51" t="s">
        <v>3568</v>
      </c>
      <c r="C717" s="51" t="s">
        <v>62</v>
      </c>
      <c r="D717" s="51" t="s">
        <v>808</v>
      </c>
      <c r="E717" s="51" t="s">
        <v>807</v>
      </c>
      <c r="F717" s="52">
        <v>4.9859350409373698E-2</v>
      </c>
      <c r="G717" s="52">
        <v>2115</v>
      </c>
      <c r="H717" s="52">
        <v>4245</v>
      </c>
      <c r="I717" s="52">
        <v>6360</v>
      </c>
      <c r="J717" s="51">
        <v>0</v>
      </c>
      <c r="K717" s="54">
        <v>0</v>
      </c>
      <c r="L717" s="51">
        <v>1</v>
      </c>
      <c r="M717" s="54">
        <v>6000</v>
      </c>
      <c r="N717" s="53">
        <f t="shared" si="22"/>
        <v>-6000</v>
      </c>
      <c r="O717" s="53">
        <f t="shared" si="23"/>
        <v>6000</v>
      </c>
    </row>
    <row r="718" spans="1:15" x14ac:dyDescent="0.2">
      <c r="A718" s="51" t="s">
        <v>3567</v>
      </c>
      <c r="B718" s="51" t="s">
        <v>3568</v>
      </c>
      <c r="C718" s="51" t="s">
        <v>78</v>
      </c>
      <c r="D718" s="51" t="s">
        <v>1661</v>
      </c>
      <c r="E718" s="51" t="s">
        <v>1660</v>
      </c>
      <c r="F718" s="52">
        <v>5827.9458999999997</v>
      </c>
      <c r="G718" s="52">
        <v>1000</v>
      </c>
      <c r="H718" s="52">
        <v>0</v>
      </c>
      <c r="I718" s="52">
        <v>1000</v>
      </c>
      <c r="J718" s="51">
        <v>1</v>
      </c>
      <c r="K718" s="54">
        <v>5000</v>
      </c>
      <c r="L718" s="51">
        <v>1</v>
      </c>
      <c r="M718" s="54">
        <v>15000</v>
      </c>
      <c r="N718" s="53">
        <f t="shared" si="22"/>
        <v>-10000</v>
      </c>
      <c r="O718" s="53">
        <f t="shared" si="23"/>
        <v>10000</v>
      </c>
    </row>
    <row r="719" spans="1:15" x14ac:dyDescent="0.2">
      <c r="A719" s="51" t="s">
        <v>3567</v>
      </c>
      <c r="B719" s="51" t="s">
        <v>3568</v>
      </c>
      <c r="C719" s="51" t="s">
        <v>53</v>
      </c>
      <c r="D719" s="51" t="s">
        <v>2839</v>
      </c>
      <c r="E719" s="51" t="s">
        <v>2838</v>
      </c>
      <c r="F719" s="52">
        <v>13826.4866</v>
      </c>
      <c r="G719" s="52">
        <v>0</v>
      </c>
      <c r="H719" s="52">
        <v>0</v>
      </c>
      <c r="I719" s="52">
        <v>0</v>
      </c>
      <c r="J719" s="51">
        <v>0</v>
      </c>
      <c r="K719" s="54">
        <v>0</v>
      </c>
      <c r="L719" s="51">
        <v>1</v>
      </c>
      <c r="M719" s="54">
        <v>5000</v>
      </c>
      <c r="N719" s="53">
        <f t="shared" si="22"/>
        <v>-5000</v>
      </c>
      <c r="O719" s="53">
        <f t="shared" si="23"/>
        <v>5000</v>
      </c>
    </row>
    <row r="720" spans="1:15" x14ac:dyDescent="0.2">
      <c r="A720" s="51" t="s">
        <v>3567</v>
      </c>
      <c r="B720" s="51" t="s">
        <v>3568</v>
      </c>
      <c r="C720" s="51" t="s">
        <v>76</v>
      </c>
      <c r="D720" s="51" t="s">
        <v>2526</v>
      </c>
      <c r="E720" s="51" t="s">
        <v>2525</v>
      </c>
      <c r="F720" s="52">
        <v>11109.2618</v>
      </c>
      <c r="G720" s="52">
        <v>3300</v>
      </c>
      <c r="H720" s="52">
        <v>0</v>
      </c>
      <c r="I720" s="52">
        <v>3300</v>
      </c>
      <c r="J720" s="51">
        <v>1</v>
      </c>
      <c r="K720" s="54">
        <v>5000</v>
      </c>
      <c r="L720" s="51">
        <v>0</v>
      </c>
      <c r="M720" s="54">
        <v>0</v>
      </c>
      <c r="N720" s="53">
        <f t="shared" si="22"/>
        <v>5000</v>
      </c>
      <c r="O720" s="53">
        <f t="shared" si="23"/>
        <v>-5000</v>
      </c>
    </row>
    <row r="721" spans="1:15" x14ac:dyDescent="0.2">
      <c r="A721" s="51" t="s">
        <v>3567</v>
      </c>
      <c r="B721" s="51" t="s">
        <v>3568</v>
      </c>
      <c r="C721" s="51" t="s">
        <v>81</v>
      </c>
      <c r="D721" s="51" t="s">
        <v>1206</v>
      </c>
      <c r="E721" s="51" t="s">
        <v>1205</v>
      </c>
      <c r="F721" s="52">
        <v>2792.7963</v>
      </c>
      <c r="G721" s="52">
        <v>1020</v>
      </c>
      <c r="H721" s="52">
        <v>5150</v>
      </c>
      <c r="I721" s="52">
        <v>6170</v>
      </c>
      <c r="J721" s="51">
        <v>0</v>
      </c>
      <c r="K721" s="54">
        <v>0</v>
      </c>
      <c r="L721" s="51">
        <v>1</v>
      </c>
      <c r="M721" s="54">
        <v>6000</v>
      </c>
      <c r="N721" s="53">
        <f t="shared" si="22"/>
        <v>-6000</v>
      </c>
      <c r="O721" s="53">
        <f t="shared" si="23"/>
        <v>6000</v>
      </c>
    </row>
    <row r="722" spans="1:15" x14ac:dyDescent="0.2">
      <c r="A722" s="51" t="s">
        <v>3567</v>
      </c>
      <c r="B722" s="51" t="s">
        <v>3568</v>
      </c>
      <c r="C722" s="51" t="s">
        <v>54</v>
      </c>
      <c r="D722" s="51" t="s">
        <v>245</v>
      </c>
      <c r="E722" s="51" t="s">
        <v>239</v>
      </c>
      <c r="F722" s="52">
        <v>0.67591900000000005</v>
      </c>
      <c r="G722" s="52">
        <v>0</v>
      </c>
      <c r="H722" s="52">
        <v>0</v>
      </c>
      <c r="I722" s="52">
        <v>0</v>
      </c>
      <c r="J722" s="51">
        <v>0</v>
      </c>
      <c r="K722" s="54">
        <v>0</v>
      </c>
      <c r="L722" s="51">
        <v>0</v>
      </c>
      <c r="M722" s="54">
        <v>0</v>
      </c>
      <c r="N722" s="53">
        <f t="shared" si="22"/>
        <v>0</v>
      </c>
      <c r="O722" s="53">
        <f t="shared" si="23"/>
        <v>0</v>
      </c>
    </row>
    <row r="723" spans="1:15" x14ac:dyDescent="0.2">
      <c r="A723" s="51" t="s">
        <v>3567</v>
      </c>
      <c r="B723" s="51" t="s">
        <v>3568</v>
      </c>
      <c r="C723" s="51" t="s">
        <v>75</v>
      </c>
      <c r="D723" s="51" t="s">
        <v>365</v>
      </c>
      <c r="E723" s="51" t="s">
        <v>364</v>
      </c>
      <c r="F723" s="52">
        <v>6563.260267492431</v>
      </c>
      <c r="G723" s="52">
        <v>0</v>
      </c>
      <c r="H723" s="52">
        <v>300</v>
      </c>
      <c r="I723" s="52">
        <v>300</v>
      </c>
      <c r="J723" s="51">
        <v>2</v>
      </c>
      <c r="K723" s="54">
        <v>11000</v>
      </c>
      <c r="L723" s="51">
        <v>1</v>
      </c>
      <c r="M723" s="54">
        <v>6000</v>
      </c>
      <c r="N723" s="53">
        <f t="shared" si="22"/>
        <v>5000</v>
      </c>
      <c r="O723" s="53">
        <f t="shared" si="23"/>
        <v>-5000</v>
      </c>
    </row>
    <row r="724" spans="1:15" x14ac:dyDescent="0.2">
      <c r="A724" s="51" t="s">
        <v>3567</v>
      </c>
      <c r="B724" s="51" t="s">
        <v>3568</v>
      </c>
      <c r="C724" s="51" t="s">
        <v>80</v>
      </c>
      <c r="D724" s="51" t="s">
        <v>1642</v>
      </c>
      <c r="E724" s="51" t="s">
        <v>1641</v>
      </c>
      <c r="F724" s="52">
        <v>7987.1223</v>
      </c>
      <c r="G724" s="52">
        <v>4000</v>
      </c>
      <c r="H724" s="52">
        <v>1850</v>
      </c>
      <c r="I724" s="52">
        <v>5850</v>
      </c>
      <c r="J724" s="51">
        <v>1</v>
      </c>
      <c r="K724" s="54">
        <v>10000</v>
      </c>
      <c r="L724" s="51">
        <v>0</v>
      </c>
      <c r="M724" s="54">
        <v>0</v>
      </c>
      <c r="N724" s="53">
        <f t="shared" si="22"/>
        <v>10000</v>
      </c>
      <c r="O724" s="53">
        <f t="shared" si="23"/>
        <v>-10000</v>
      </c>
    </row>
    <row r="725" spans="1:15" x14ac:dyDescent="0.2">
      <c r="A725" s="51" t="s">
        <v>3567</v>
      </c>
      <c r="B725" s="51" t="s">
        <v>3568</v>
      </c>
      <c r="C725" s="51" t="s">
        <v>68</v>
      </c>
      <c r="D725" s="51" t="s">
        <v>2259</v>
      </c>
      <c r="E725" s="51" t="s">
        <v>2258</v>
      </c>
      <c r="F725" s="52">
        <v>1355.9852132185461</v>
      </c>
      <c r="G725" s="52">
        <v>14495</v>
      </c>
      <c r="H725" s="52">
        <v>18615</v>
      </c>
      <c r="I725" s="52">
        <v>33110</v>
      </c>
      <c r="J725" s="51">
        <v>0</v>
      </c>
      <c r="K725" s="54">
        <v>0</v>
      </c>
      <c r="L725" s="51">
        <v>1</v>
      </c>
      <c r="M725" s="54">
        <v>6000</v>
      </c>
      <c r="N725" s="53">
        <f t="shared" si="22"/>
        <v>-6000</v>
      </c>
      <c r="O725" s="53">
        <f t="shared" si="23"/>
        <v>6000</v>
      </c>
    </row>
    <row r="726" spans="1:15" x14ac:dyDescent="0.2">
      <c r="A726" s="51" t="s">
        <v>3567</v>
      </c>
      <c r="B726" s="51" t="s">
        <v>3568</v>
      </c>
      <c r="C726" s="51" t="s">
        <v>52</v>
      </c>
      <c r="D726" s="51" t="s">
        <v>1177</v>
      </c>
      <c r="E726" s="51" t="s">
        <v>1176</v>
      </c>
      <c r="F726" s="52">
        <v>45.441859982708863</v>
      </c>
      <c r="G726" s="52">
        <v>1700</v>
      </c>
      <c r="H726" s="52">
        <v>2290</v>
      </c>
      <c r="I726" s="52">
        <v>3990</v>
      </c>
      <c r="J726" s="51">
        <v>0</v>
      </c>
      <c r="K726" s="54">
        <v>0</v>
      </c>
      <c r="L726" s="51">
        <v>1</v>
      </c>
      <c r="M726" s="54">
        <v>5000</v>
      </c>
      <c r="N726" s="53">
        <f t="shared" si="22"/>
        <v>-5000</v>
      </c>
      <c r="O726" s="53">
        <f t="shared" si="23"/>
        <v>5000</v>
      </c>
    </row>
    <row r="727" spans="1:15" x14ac:dyDescent="0.2">
      <c r="A727" s="51" t="s">
        <v>3567</v>
      </c>
      <c r="B727" s="51" t="s">
        <v>3568</v>
      </c>
      <c r="C727" s="51" t="s">
        <v>58</v>
      </c>
      <c r="D727" s="51" t="s">
        <v>607</v>
      </c>
      <c r="E727" s="51" t="s">
        <v>606</v>
      </c>
      <c r="F727" s="52">
        <v>54783.205138126403</v>
      </c>
      <c r="G727" s="52">
        <v>4500</v>
      </c>
      <c r="H727" s="52">
        <v>39745</v>
      </c>
      <c r="I727" s="52">
        <v>44245</v>
      </c>
      <c r="J727" s="51">
        <v>0</v>
      </c>
      <c r="K727" s="54">
        <v>0</v>
      </c>
      <c r="L727" s="51">
        <v>1</v>
      </c>
      <c r="M727" s="54">
        <v>50000</v>
      </c>
      <c r="N727" s="53">
        <f t="shared" si="22"/>
        <v>-50000</v>
      </c>
      <c r="O727" s="53">
        <f t="shared" si="23"/>
        <v>50000</v>
      </c>
    </row>
    <row r="728" spans="1:15" x14ac:dyDescent="0.2">
      <c r="A728" s="51" t="s">
        <v>3567</v>
      </c>
      <c r="B728" s="51" t="s">
        <v>3568</v>
      </c>
      <c r="C728" s="51" t="s">
        <v>55</v>
      </c>
      <c r="D728" s="51" t="s">
        <v>1657</v>
      </c>
      <c r="E728" s="51" t="s">
        <v>1656</v>
      </c>
      <c r="F728" s="52">
        <v>7844.9187727017616</v>
      </c>
      <c r="G728" s="52">
        <v>6275</v>
      </c>
      <c r="H728" s="52">
        <v>27735</v>
      </c>
      <c r="I728" s="52">
        <v>34010</v>
      </c>
      <c r="J728" s="51">
        <v>1</v>
      </c>
      <c r="K728" s="54">
        <v>5000</v>
      </c>
      <c r="L728" s="51">
        <v>1</v>
      </c>
      <c r="M728" s="54">
        <v>20000</v>
      </c>
      <c r="N728" s="53">
        <f t="shared" si="22"/>
        <v>-15000</v>
      </c>
      <c r="O728" s="53">
        <f t="shared" si="23"/>
        <v>15000</v>
      </c>
    </row>
    <row r="729" spans="1:15" x14ac:dyDescent="0.2">
      <c r="A729" s="51" t="s">
        <v>3567</v>
      </c>
      <c r="B729" s="51" t="s">
        <v>3568</v>
      </c>
      <c r="C729" s="51" t="s">
        <v>83</v>
      </c>
      <c r="D729" s="51" t="s">
        <v>1993</v>
      </c>
      <c r="E729" s="51" t="s">
        <v>1992</v>
      </c>
      <c r="F729" s="52">
        <v>5315.0399500000003</v>
      </c>
      <c r="G729" s="52">
        <v>0</v>
      </c>
      <c r="H729" s="52">
        <v>0</v>
      </c>
      <c r="I729" s="52">
        <v>0</v>
      </c>
      <c r="J729" s="51">
        <v>1</v>
      </c>
      <c r="K729" s="54">
        <v>5000</v>
      </c>
      <c r="L729" s="51">
        <v>0</v>
      </c>
      <c r="M729" s="54">
        <v>0</v>
      </c>
      <c r="N729" s="53">
        <f t="shared" si="22"/>
        <v>5000</v>
      </c>
      <c r="O729" s="53">
        <f t="shared" si="23"/>
        <v>-5000</v>
      </c>
    </row>
    <row r="730" spans="1:15" x14ac:dyDescent="0.2">
      <c r="A730" s="51" t="s">
        <v>3567</v>
      </c>
      <c r="B730" s="51" t="s">
        <v>3568</v>
      </c>
      <c r="C730" s="51" t="s">
        <v>75</v>
      </c>
      <c r="D730" s="51" t="s">
        <v>1316</v>
      </c>
      <c r="E730" s="51" t="s">
        <v>1315</v>
      </c>
      <c r="F730" s="52">
        <v>174.11940000000001</v>
      </c>
      <c r="G730" s="52">
        <v>0</v>
      </c>
      <c r="H730" s="52">
        <v>0</v>
      </c>
      <c r="I730" s="52">
        <v>0</v>
      </c>
      <c r="J730" s="51">
        <v>0</v>
      </c>
      <c r="K730" s="54">
        <v>0</v>
      </c>
      <c r="L730" s="51">
        <v>0</v>
      </c>
      <c r="M730" s="54">
        <v>0</v>
      </c>
      <c r="N730" s="53">
        <f t="shared" si="22"/>
        <v>0</v>
      </c>
      <c r="O730" s="53">
        <f t="shared" si="23"/>
        <v>0</v>
      </c>
    </row>
    <row r="731" spans="1:15" x14ac:dyDescent="0.2">
      <c r="A731" s="51" t="s">
        <v>3567</v>
      </c>
      <c r="B731" s="51" t="s">
        <v>3568</v>
      </c>
      <c r="C731" s="51" t="s">
        <v>86</v>
      </c>
      <c r="D731" s="51" t="s">
        <v>469</v>
      </c>
      <c r="E731" s="51" t="s">
        <v>356</v>
      </c>
      <c r="F731" s="52">
        <v>35.568899999999999</v>
      </c>
      <c r="G731" s="52">
        <v>0</v>
      </c>
      <c r="H731" s="52">
        <v>0</v>
      </c>
      <c r="I731" s="52">
        <v>0</v>
      </c>
      <c r="J731" s="51">
        <v>0</v>
      </c>
      <c r="K731" s="54">
        <v>0</v>
      </c>
      <c r="L731" s="51">
        <v>0</v>
      </c>
      <c r="M731" s="54">
        <v>0</v>
      </c>
      <c r="N731" s="53">
        <f t="shared" si="22"/>
        <v>0</v>
      </c>
      <c r="O731" s="53">
        <f t="shared" si="23"/>
        <v>0</v>
      </c>
    </row>
    <row r="732" spans="1:15" x14ac:dyDescent="0.2">
      <c r="A732" s="51" t="s">
        <v>3567</v>
      </c>
      <c r="B732" s="51" t="s">
        <v>3568</v>
      </c>
      <c r="C732" s="51" t="s">
        <v>68</v>
      </c>
      <c r="D732" s="51" t="s">
        <v>3974</v>
      </c>
      <c r="E732" s="51" t="s">
        <v>3975</v>
      </c>
      <c r="F732" s="52">
        <v>0.66769999999999996</v>
      </c>
      <c r="G732" s="52">
        <v>0</v>
      </c>
      <c r="H732" s="52">
        <v>0</v>
      </c>
      <c r="I732" s="52">
        <v>0</v>
      </c>
      <c r="J732" s="51">
        <v>0</v>
      </c>
      <c r="K732" s="54">
        <v>0</v>
      </c>
      <c r="L732" s="51">
        <v>0</v>
      </c>
      <c r="M732" s="54">
        <v>0</v>
      </c>
      <c r="N732" s="53">
        <f t="shared" si="22"/>
        <v>0</v>
      </c>
      <c r="O732" s="53">
        <f t="shared" si="23"/>
        <v>0</v>
      </c>
    </row>
    <row r="733" spans="1:15" x14ac:dyDescent="0.2">
      <c r="A733" s="51" t="s">
        <v>3567</v>
      </c>
      <c r="B733" s="51" t="s">
        <v>3568</v>
      </c>
      <c r="C733" s="51" t="s">
        <v>59</v>
      </c>
      <c r="D733" s="51" t="s">
        <v>2386</v>
      </c>
      <c r="E733" s="51" t="s">
        <v>2385</v>
      </c>
      <c r="F733" s="52">
        <v>77.312912120416669</v>
      </c>
      <c r="G733" s="52">
        <v>0</v>
      </c>
      <c r="H733" s="52">
        <v>3790</v>
      </c>
      <c r="I733" s="52">
        <v>3790</v>
      </c>
      <c r="J733" s="51">
        <v>0</v>
      </c>
      <c r="K733" s="54">
        <v>0</v>
      </c>
      <c r="L733" s="51">
        <v>1</v>
      </c>
      <c r="M733" s="54">
        <v>8000</v>
      </c>
      <c r="N733" s="53">
        <f t="shared" si="22"/>
        <v>-8000</v>
      </c>
      <c r="O733" s="53">
        <f t="shared" si="23"/>
        <v>8000</v>
      </c>
    </row>
    <row r="734" spans="1:15" x14ac:dyDescent="0.2">
      <c r="A734" s="51" t="s">
        <v>3567</v>
      </c>
      <c r="B734" s="51" t="s">
        <v>3568</v>
      </c>
      <c r="C734" s="51" t="s">
        <v>66</v>
      </c>
      <c r="D734" s="51" t="s">
        <v>2140</v>
      </c>
      <c r="E734" s="51" t="s">
        <v>2139</v>
      </c>
      <c r="F734" s="52">
        <v>1193.058791453919</v>
      </c>
      <c r="G734" s="52">
        <v>9796</v>
      </c>
      <c r="H734" s="52">
        <v>5800</v>
      </c>
      <c r="I734" s="52">
        <v>15596</v>
      </c>
      <c r="J734" s="51">
        <v>1</v>
      </c>
      <c r="K734" s="54">
        <v>5000</v>
      </c>
      <c r="L734" s="51">
        <v>0</v>
      </c>
      <c r="M734" s="54">
        <v>0</v>
      </c>
      <c r="N734" s="53">
        <f t="shared" si="22"/>
        <v>5000</v>
      </c>
      <c r="O734" s="53">
        <f t="shared" si="23"/>
        <v>-5000</v>
      </c>
    </row>
    <row r="735" spans="1:15" x14ac:dyDescent="0.2">
      <c r="A735" s="51" t="s">
        <v>3567</v>
      </c>
      <c r="B735" s="51" t="s">
        <v>3568</v>
      </c>
      <c r="C735" s="51" t="s">
        <v>3571</v>
      </c>
      <c r="D735" s="51" t="s">
        <v>3953</v>
      </c>
      <c r="E735" s="51" t="s">
        <v>3954</v>
      </c>
      <c r="F735" s="52">
        <v>4.7968000000001396</v>
      </c>
      <c r="G735" s="52">
        <v>0</v>
      </c>
      <c r="H735" s="52">
        <v>0</v>
      </c>
      <c r="I735" s="52">
        <v>0</v>
      </c>
      <c r="J735" s="51">
        <v>0</v>
      </c>
      <c r="K735" s="54">
        <v>0</v>
      </c>
      <c r="L735" s="51">
        <v>0</v>
      </c>
      <c r="M735" s="54">
        <v>0</v>
      </c>
      <c r="N735" s="53">
        <f t="shared" si="22"/>
        <v>0</v>
      </c>
      <c r="O735" s="53">
        <f t="shared" si="23"/>
        <v>0</v>
      </c>
    </row>
    <row r="736" spans="1:15" x14ac:dyDescent="0.2">
      <c r="A736" s="51" t="s">
        <v>3567</v>
      </c>
      <c r="B736" s="51" t="s">
        <v>3568</v>
      </c>
      <c r="C736" s="51" t="s">
        <v>92</v>
      </c>
      <c r="D736" s="51" t="s">
        <v>841</v>
      </c>
      <c r="E736" s="51" t="s">
        <v>840</v>
      </c>
      <c r="F736" s="52">
        <v>772.56098046900001</v>
      </c>
      <c r="G736" s="52">
        <v>11375</v>
      </c>
      <c r="H736" s="52">
        <v>6005</v>
      </c>
      <c r="I736" s="52">
        <v>17380</v>
      </c>
      <c r="J736" s="51">
        <v>3</v>
      </c>
      <c r="K736" s="54">
        <v>7000</v>
      </c>
      <c r="L736" s="51">
        <v>0</v>
      </c>
      <c r="M736" s="54">
        <v>0</v>
      </c>
      <c r="N736" s="53">
        <f t="shared" si="22"/>
        <v>7000</v>
      </c>
      <c r="O736" s="53">
        <f t="shared" si="23"/>
        <v>-7000</v>
      </c>
    </row>
    <row r="737" spans="1:15" x14ac:dyDescent="0.2">
      <c r="A737" s="51" t="s">
        <v>3567</v>
      </c>
      <c r="B737" s="51" t="s">
        <v>3568</v>
      </c>
      <c r="C737" s="51" t="s">
        <v>68</v>
      </c>
      <c r="D737" s="51" t="s">
        <v>305</v>
      </c>
      <c r="E737" s="51" t="s">
        <v>304</v>
      </c>
      <c r="F737" s="52">
        <v>2133.879372810838</v>
      </c>
      <c r="G737" s="52">
        <v>1270</v>
      </c>
      <c r="H737" s="52">
        <v>1450</v>
      </c>
      <c r="I737" s="52">
        <v>2720</v>
      </c>
      <c r="J737" s="51">
        <v>0</v>
      </c>
      <c r="K737" s="54">
        <v>0</v>
      </c>
      <c r="L737" s="51">
        <v>1</v>
      </c>
      <c r="M737" s="54">
        <v>11000</v>
      </c>
      <c r="N737" s="53">
        <f t="shared" si="22"/>
        <v>-11000</v>
      </c>
      <c r="O737" s="53">
        <f t="shared" si="23"/>
        <v>11000</v>
      </c>
    </row>
    <row r="738" spans="1:15" x14ac:dyDescent="0.2">
      <c r="A738" s="51" t="s">
        <v>3567</v>
      </c>
      <c r="B738" s="51" t="s">
        <v>3568</v>
      </c>
      <c r="C738" s="51" t="s">
        <v>62</v>
      </c>
      <c r="D738" s="51" t="s">
        <v>3290</v>
      </c>
      <c r="E738" s="51" t="s">
        <v>3289</v>
      </c>
      <c r="F738" s="52">
        <v>13598.52392675712</v>
      </c>
      <c r="G738" s="52">
        <v>200</v>
      </c>
      <c r="H738" s="52">
        <v>14400</v>
      </c>
      <c r="I738" s="52">
        <v>14600</v>
      </c>
      <c r="J738" s="51">
        <v>0</v>
      </c>
      <c r="K738" s="54">
        <v>0</v>
      </c>
      <c r="L738" s="51">
        <v>1</v>
      </c>
      <c r="M738" s="54">
        <v>10000</v>
      </c>
      <c r="N738" s="53">
        <f t="shared" si="22"/>
        <v>-10000</v>
      </c>
      <c r="O738" s="53">
        <f t="shared" si="23"/>
        <v>10000</v>
      </c>
    </row>
    <row r="739" spans="1:15" x14ac:dyDescent="0.2">
      <c r="A739" s="51" t="s">
        <v>3567</v>
      </c>
      <c r="B739" s="51" t="s">
        <v>3568</v>
      </c>
      <c r="C739" s="51" t="s">
        <v>87</v>
      </c>
      <c r="D739" s="51" t="s">
        <v>3269</v>
      </c>
      <c r="E739" s="51" t="s">
        <v>3268</v>
      </c>
      <c r="F739" s="52">
        <v>10368.20442984824</v>
      </c>
      <c r="G739" s="52">
        <v>1015</v>
      </c>
      <c r="H739" s="52">
        <v>0</v>
      </c>
      <c r="I739" s="52">
        <v>1015</v>
      </c>
      <c r="J739" s="51">
        <v>1</v>
      </c>
      <c r="K739" s="54">
        <v>5000</v>
      </c>
      <c r="L739" s="51">
        <v>0</v>
      </c>
      <c r="M739" s="54">
        <v>0</v>
      </c>
      <c r="N739" s="53">
        <f t="shared" si="22"/>
        <v>5000</v>
      </c>
      <c r="O739" s="53">
        <f t="shared" si="23"/>
        <v>-5000</v>
      </c>
    </row>
    <row r="740" spans="1:15" x14ac:dyDescent="0.2">
      <c r="A740" s="51" t="s">
        <v>3567</v>
      </c>
      <c r="B740" s="51" t="s">
        <v>3568</v>
      </c>
      <c r="C740" s="51" t="s">
        <v>3944</v>
      </c>
      <c r="D740" s="51" t="s">
        <v>3945</v>
      </c>
      <c r="E740" s="51" t="s">
        <v>3946</v>
      </c>
      <c r="F740" s="52">
        <v>9.3263999999999996</v>
      </c>
      <c r="G740" s="52">
        <v>0</v>
      </c>
      <c r="H740" s="52">
        <v>0</v>
      </c>
      <c r="I740" s="52">
        <v>0</v>
      </c>
      <c r="J740" s="51">
        <v>0</v>
      </c>
      <c r="K740" s="54">
        <v>0</v>
      </c>
      <c r="L740" s="51">
        <v>0</v>
      </c>
      <c r="M740" s="54">
        <v>0</v>
      </c>
      <c r="N740" s="53">
        <f t="shared" si="22"/>
        <v>0</v>
      </c>
      <c r="O740" s="53">
        <f t="shared" si="23"/>
        <v>0</v>
      </c>
    </row>
    <row r="741" spans="1:15" x14ac:dyDescent="0.2">
      <c r="A741" s="51" t="s">
        <v>3567</v>
      </c>
      <c r="B741" s="51" t="s">
        <v>3568</v>
      </c>
      <c r="C741" s="51" t="s">
        <v>79</v>
      </c>
      <c r="D741" s="51" t="s">
        <v>2134</v>
      </c>
      <c r="E741" s="51" t="s">
        <v>2133</v>
      </c>
      <c r="F741" s="52">
        <v>59959.473599999998</v>
      </c>
      <c r="G741" s="52">
        <v>7770</v>
      </c>
      <c r="H741" s="52">
        <v>46370</v>
      </c>
      <c r="I741" s="52">
        <v>54140</v>
      </c>
      <c r="J741" s="51">
        <v>0</v>
      </c>
      <c r="K741" s="54">
        <v>0</v>
      </c>
      <c r="L741" s="51">
        <v>1</v>
      </c>
      <c r="M741" s="54">
        <v>20000</v>
      </c>
      <c r="N741" s="53">
        <f t="shared" si="22"/>
        <v>-20000</v>
      </c>
      <c r="O741" s="53">
        <f t="shared" si="23"/>
        <v>20000</v>
      </c>
    </row>
    <row r="742" spans="1:15" x14ac:dyDescent="0.2">
      <c r="A742" s="51" t="s">
        <v>3567</v>
      </c>
      <c r="B742" s="51" t="s">
        <v>3568</v>
      </c>
      <c r="C742" s="51" t="s">
        <v>74</v>
      </c>
      <c r="D742" s="51" t="s">
        <v>3940</v>
      </c>
      <c r="E742" s="51" t="s">
        <v>3941</v>
      </c>
      <c r="F742" s="52">
        <v>1.328776</v>
      </c>
      <c r="G742" s="52">
        <v>0</v>
      </c>
      <c r="H742" s="52">
        <v>0</v>
      </c>
      <c r="I742" s="52">
        <v>0</v>
      </c>
      <c r="J742" s="51">
        <v>0</v>
      </c>
      <c r="K742" s="54">
        <v>0</v>
      </c>
      <c r="L742" s="51">
        <v>0</v>
      </c>
      <c r="M742" s="54">
        <v>0</v>
      </c>
      <c r="N742" s="53">
        <f t="shared" si="22"/>
        <v>0</v>
      </c>
      <c r="O742" s="53">
        <f t="shared" si="23"/>
        <v>0</v>
      </c>
    </row>
    <row r="743" spans="1:15" x14ac:dyDescent="0.2">
      <c r="A743" s="51" t="s">
        <v>3567</v>
      </c>
      <c r="B743" s="51" t="s">
        <v>3568</v>
      </c>
      <c r="C743" s="51" t="s">
        <v>53</v>
      </c>
      <c r="D743" s="51" t="s">
        <v>1404</v>
      </c>
      <c r="E743" s="51" t="s">
        <v>1403</v>
      </c>
      <c r="F743" s="52">
        <v>41524.415358432459</v>
      </c>
      <c r="G743" s="52">
        <v>6170</v>
      </c>
      <c r="H743" s="52">
        <v>34580</v>
      </c>
      <c r="I743" s="52">
        <v>40750</v>
      </c>
      <c r="J743" s="51">
        <v>1</v>
      </c>
      <c r="K743" s="54">
        <v>5000</v>
      </c>
      <c r="L743" s="51">
        <v>0</v>
      </c>
      <c r="M743" s="54">
        <v>0</v>
      </c>
      <c r="N743" s="53">
        <f t="shared" si="22"/>
        <v>5000</v>
      </c>
      <c r="O743" s="53">
        <f t="shared" si="23"/>
        <v>-5000</v>
      </c>
    </row>
    <row r="744" spans="1:15" x14ac:dyDescent="0.2">
      <c r="A744" s="51" t="s">
        <v>3567</v>
      </c>
      <c r="B744" s="51" t="s">
        <v>3568</v>
      </c>
      <c r="C744" s="51" t="s">
        <v>76</v>
      </c>
      <c r="D744" s="51" t="s">
        <v>579</v>
      </c>
      <c r="E744" s="51" t="s">
        <v>578</v>
      </c>
      <c r="F744" s="52">
        <v>31304.900004347801</v>
      </c>
      <c r="G744" s="52">
        <v>5620</v>
      </c>
      <c r="H744" s="52">
        <v>0</v>
      </c>
      <c r="I744" s="52">
        <v>5620</v>
      </c>
      <c r="J744" s="51">
        <v>1</v>
      </c>
      <c r="K744" s="54">
        <v>5000</v>
      </c>
      <c r="L744" s="51">
        <v>0</v>
      </c>
      <c r="M744" s="54">
        <v>0</v>
      </c>
      <c r="N744" s="53">
        <f t="shared" si="22"/>
        <v>5000</v>
      </c>
      <c r="O744" s="53">
        <f t="shared" si="23"/>
        <v>-5000</v>
      </c>
    </row>
    <row r="745" spans="1:15" x14ac:dyDescent="0.2">
      <c r="A745" s="51" t="s">
        <v>3567</v>
      </c>
      <c r="B745" s="51" t="s">
        <v>3568</v>
      </c>
      <c r="C745" s="51" t="s">
        <v>3633</v>
      </c>
      <c r="D745" s="51" t="s">
        <v>3947</v>
      </c>
      <c r="E745" s="51" t="s">
        <v>3948</v>
      </c>
      <c r="F745" s="52">
        <v>5.6790706863000002</v>
      </c>
      <c r="G745" s="52">
        <v>0</v>
      </c>
      <c r="H745" s="52">
        <v>0</v>
      </c>
      <c r="I745" s="52">
        <v>0</v>
      </c>
      <c r="J745" s="51">
        <v>0</v>
      </c>
      <c r="K745" s="54">
        <v>0</v>
      </c>
      <c r="L745" s="51">
        <v>0</v>
      </c>
      <c r="M745" s="54">
        <v>0</v>
      </c>
      <c r="N745" s="53">
        <f t="shared" si="22"/>
        <v>0</v>
      </c>
      <c r="O745" s="53">
        <f t="shared" si="23"/>
        <v>0</v>
      </c>
    </row>
    <row r="746" spans="1:15" x14ac:dyDescent="0.2">
      <c r="A746" s="51" t="s">
        <v>3567</v>
      </c>
      <c r="B746" s="51" t="s">
        <v>3568</v>
      </c>
      <c r="C746" s="51" t="s">
        <v>3725</v>
      </c>
      <c r="D746" s="51" t="s">
        <v>3961</v>
      </c>
      <c r="E746" s="51" t="s">
        <v>3962</v>
      </c>
      <c r="F746" s="52">
        <v>0</v>
      </c>
      <c r="G746" s="52">
        <v>0</v>
      </c>
      <c r="H746" s="52">
        <v>0</v>
      </c>
      <c r="I746" s="52">
        <v>0</v>
      </c>
      <c r="J746" s="51">
        <v>0</v>
      </c>
      <c r="K746" s="54">
        <v>0</v>
      </c>
      <c r="L746" s="51">
        <v>0</v>
      </c>
      <c r="M746" s="54">
        <v>0</v>
      </c>
      <c r="N746" s="53">
        <f t="shared" si="22"/>
        <v>0</v>
      </c>
      <c r="O746" s="53">
        <f t="shared" si="23"/>
        <v>0</v>
      </c>
    </row>
    <row r="747" spans="1:15" x14ac:dyDescent="0.2">
      <c r="A747" s="51" t="s">
        <v>3567</v>
      </c>
      <c r="B747" s="51" t="s">
        <v>3568</v>
      </c>
      <c r="C747" s="51" t="s">
        <v>3650</v>
      </c>
      <c r="D747" s="51" t="s">
        <v>3951</v>
      </c>
      <c r="E747" s="51" t="s">
        <v>3952</v>
      </c>
      <c r="F747" s="52">
        <v>27.542752243199999</v>
      </c>
      <c r="G747" s="52">
        <v>0</v>
      </c>
      <c r="H747" s="52">
        <v>0</v>
      </c>
      <c r="I747" s="52">
        <v>0</v>
      </c>
      <c r="J747" s="51">
        <v>0</v>
      </c>
      <c r="K747" s="54">
        <v>0</v>
      </c>
      <c r="L747" s="51">
        <v>0</v>
      </c>
      <c r="M747" s="54">
        <v>0</v>
      </c>
      <c r="N747" s="53">
        <f t="shared" si="22"/>
        <v>0</v>
      </c>
      <c r="O747" s="53">
        <f t="shared" si="23"/>
        <v>0</v>
      </c>
    </row>
    <row r="748" spans="1:15" x14ac:dyDescent="0.2">
      <c r="A748" s="51" t="s">
        <v>3567</v>
      </c>
      <c r="B748" s="51" t="s">
        <v>3568</v>
      </c>
      <c r="C748" s="51" t="s">
        <v>77</v>
      </c>
      <c r="D748" s="51" t="s">
        <v>3966</v>
      </c>
      <c r="E748" s="51" t="s">
        <v>3967</v>
      </c>
      <c r="F748" s="52">
        <v>155.994</v>
      </c>
      <c r="G748" s="52">
        <v>0</v>
      </c>
      <c r="H748" s="52">
        <v>0</v>
      </c>
      <c r="I748" s="52">
        <v>0</v>
      </c>
      <c r="J748" s="51">
        <v>0</v>
      </c>
      <c r="K748" s="54">
        <v>0</v>
      </c>
      <c r="L748" s="51">
        <v>0</v>
      </c>
      <c r="M748" s="54">
        <v>0</v>
      </c>
      <c r="N748" s="53">
        <f t="shared" si="22"/>
        <v>0</v>
      </c>
      <c r="O748" s="53">
        <f t="shared" si="23"/>
        <v>0</v>
      </c>
    </row>
    <row r="749" spans="1:15" x14ac:dyDescent="0.2">
      <c r="A749" s="51" t="s">
        <v>3567</v>
      </c>
      <c r="B749" s="51" t="s">
        <v>3568</v>
      </c>
      <c r="C749" s="51" t="s">
        <v>3571</v>
      </c>
      <c r="D749" s="51" t="s">
        <v>3970</v>
      </c>
      <c r="E749" s="51" t="s">
        <v>3971</v>
      </c>
      <c r="F749" s="52">
        <v>1.7193082761</v>
      </c>
      <c r="G749" s="52">
        <v>0</v>
      </c>
      <c r="H749" s="52">
        <v>0</v>
      </c>
      <c r="I749" s="52">
        <v>0</v>
      </c>
      <c r="J749" s="51">
        <v>0</v>
      </c>
      <c r="K749" s="54">
        <v>0</v>
      </c>
      <c r="L749" s="51">
        <v>0</v>
      </c>
      <c r="M749" s="54">
        <v>0</v>
      </c>
      <c r="N749" s="53">
        <f t="shared" si="22"/>
        <v>0</v>
      </c>
      <c r="O749" s="53">
        <f t="shared" si="23"/>
        <v>0</v>
      </c>
    </row>
    <row r="750" spans="1:15" x14ac:dyDescent="0.2">
      <c r="A750" s="51" t="s">
        <v>3567</v>
      </c>
      <c r="B750" s="51" t="s">
        <v>3568</v>
      </c>
      <c r="C750" s="51" t="s">
        <v>82</v>
      </c>
      <c r="D750" s="51" t="s">
        <v>2321</v>
      </c>
      <c r="E750" s="51" t="s">
        <v>2320</v>
      </c>
      <c r="F750" s="52">
        <v>11850.26585335526</v>
      </c>
      <c r="G750" s="52">
        <v>110</v>
      </c>
      <c r="H750" s="52">
        <v>0</v>
      </c>
      <c r="I750" s="52">
        <v>110</v>
      </c>
      <c r="J750" s="51">
        <v>1</v>
      </c>
      <c r="K750" s="54">
        <v>5000</v>
      </c>
      <c r="L750" s="51">
        <v>0</v>
      </c>
      <c r="M750" s="54">
        <v>0</v>
      </c>
      <c r="N750" s="53">
        <f t="shared" si="22"/>
        <v>5000</v>
      </c>
      <c r="O750" s="53">
        <f t="shared" si="23"/>
        <v>-5000</v>
      </c>
    </row>
    <row r="751" spans="1:15" x14ac:dyDescent="0.2">
      <c r="A751" s="51" t="s">
        <v>3567</v>
      </c>
      <c r="B751" s="51" t="s">
        <v>3568</v>
      </c>
      <c r="C751" s="51" t="s">
        <v>3653</v>
      </c>
      <c r="D751" s="51" t="s">
        <v>3964</v>
      </c>
      <c r="E751" s="51" t="s">
        <v>3965</v>
      </c>
      <c r="F751" s="52">
        <v>5.6433993115718541</v>
      </c>
      <c r="G751" s="52">
        <v>0</v>
      </c>
      <c r="H751" s="52">
        <v>0</v>
      </c>
      <c r="I751" s="52">
        <v>0</v>
      </c>
      <c r="J751" s="51">
        <v>0</v>
      </c>
      <c r="K751" s="54">
        <v>0</v>
      </c>
      <c r="L751" s="51">
        <v>0</v>
      </c>
      <c r="M751" s="54">
        <v>0</v>
      </c>
      <c r="N751" s="53">
        <f t="shared" si="22"/>
        <v>0</v>
      </c>
      <c r="O751" s="53">
        <f t="shared" si="23"/>
        <v>0</v>
      </c>
    </row>
    <row r="752" spans="1:15" x14ac:dyDescent="0.2">
      <c r="A752" s="51" t="s">
        <v>3567</v>
      </c>
      <c r="B752" s="51" t="s">
        <v>3568</v>
      </c>
      <c r="C752" s="51" t="s">
        <v>79</v>
      </c>
      <c r="D752" s="51" t="s">
        <v>3936</v>
      </c>
      <c r="E752" s="51" t="s">
        <v>3937</v>
      </c>
      <c r="F752" s="52">
        <v>12.307960988297459</v>
      </c>
      <c r="G752" s="52">
        <v>0</v>
      </c>
      <c r="H752" s="52">
        <v>0</v>
      </c>
      <c r="I752" s="52">
        <v>0</v>
      </c>
      <c r="J752" s="51">
        <v>0</v>
      </c>
      <c r="K752" s="54">
        <v>0</v>
      </c>
      <c r="L752" s="51">
        <v>0</v>
      </c>
      <c r="M752" s="54">
        <v>0</v>
      </c>
      <c r="N752" s="53">
        <f t="shared" si="22"/>
        <v>0</v>
      </c>
      <c r="O752" s="53">
        <f t="shared" si="23"/>
        <v>0</v>
      </c>
    </row>
    <row r="753" spans="1:15" x14ac:dyDescent="0.2">
      <c r="A753" s="51" t="s">
        <v>3567</v>
      </c>
      <c r="B753" s="51" t="s">
        <v>3568</v>
      </c>
      <c r="C753" s="51" t="s">
        <v>67</v>
      </c>
      <c r="D753" s="51" t="s">
        <v>1573</v>
      </c>
      <c r="E753" s="51" t="s">
        <v>1572</v>
      </c>
      <c r="F753" s="52">
        <v>18578.134249999999</v>
      </c>
      <c r="G753" s="52">
        <v>1710</v>
      </c>
      <c r="H753" s="52">
        <v>9665</v>
      </c>
      <c r="I753" s="52">
        <v>11375</v>
      </c>
      <c r="J753" s="51">
        <v>1</v>
      </c>
      <c r="K753" s="54">
        <v>5000</v>
      </c>
      <c r="L753" s="51">
        <v>1</v>
      </c>
      <c r="M753" s="54">
        <v>10000</v>
      </c>
      <c r="N753" s="53">
        <f t="shared" si="22"/>
        <v>-5000</v>
      </c>
      <c r="O753" s="53">
        <f t="shared" si="23"/>
        <v>5000</v>
      </c>
    </row>
    <row r="754" spans="1:15" x14ac:dyDescent="0.2">
      <c r="A754" s="51" t="s">
        <v>3567</v>
      </c>
      <c r="B754" s="51" t="s">
        <v>3568</v>
      </c>
      <c r="C754" s="51" t="s">
        <v>3674</v>
      </c>
      <c r="D754" s="51" t="s">
        <v>3905</v>
      </c>
      <c r="E754" s="51" t="s">
        <v>3906</v>
      </c>
      <c r="F754" s="52">
        <v>25.450949684433581</v>
      </c>
      <c r="G754" s="52">
        <v>0</v>
      </c>
      <c r="H754" s="52">
        <v>0</v>
      </c>
      <c r="I754" s="52">
        <v>0</v>
      </c>
      <c r="J754" s="51">
        <v>0</v>
      </c>
      <c r="K754" s="54">
        <v>0</v>
      </c>
      <c r="L754" s="51">
        <v>0</v>
      </c>
      <c r="M754" s="54">
        <v>0</v>
      </c>
      <c r="N754" s="53">
        <f t="shared" si="22"/>
        <v>0</v>
      </c>
      <c r="O754" s="53">
        <f t="shared" si="23"/>
        <v>0</v>
      </c>
    </row>
    <row r="755" spans="1:15" x14ac:dyDescent="0.2">
      <c r="A755" s="51" t="s">
        <v>3567</v>
      </c>
      <c r="B755" s="51" t="s">
        <v>3568</v>
      </c>
      <c r="C755" s="51" t="s">
        <v>69</v>
      </c>
      <c r="D755" s="51" t="s">
        <v>2218</v>
      </c>
      <c r="E755" s="51" t="s">
        <v>2217</v>
      </c>
      <c r="F755" s="52">
        <v>96.038250000000005</v>
      </c>
      <c r="G755" s="52">
        <v>1550</v>
      </c>
      <c r="H755" s="52">
        <v>1612</v>
      </c>
      <c r="I755" s="52">
        <v>3162</v>
      </c>
      <c r="J755" s="51">
        <v>1</v>
      </c>
      <c r="K755" s="54">
        <v>5000</v>
      </c>
      <c r="L755" s="51">
        <v>1</v>
      </c>
      <c r="M755" s="54">
        <v>13000</v>
      </c>
      <c r="N755" s="53">
        <f t="shared" si="22"/>
        <v>-8000</v>
      </c>
      <c r="O755" s="53">
        <f t="shared" si="23"/>
        <v>8000</v>
      </c>
    </row>
    <row r="756" spans="1:15" x14ac:dyDescent="0.2">
      <c r="A756" s="51" t="s">
        <v>3567</v>
      </c>
      <c r="B756" s="51" t="s">
        <v>3568</v>
      </c>
      <c r="C756" s="51" t="s">
        <v>3647</v>
      </c>
      <c r="D756" s="51" t="s">
        <v>3949</v>
      </c>
      <c r="E756" s="51" t="s">
        <v>3950</v>
      </c>
      <c r="F756" s="52">
        <v>1.7051000000000001</v>
      </c>
      <c r="G756" s="52">
        <v>0</v>
      </c>
      <c r="H756" s="52">
        <v>0</v>
      </c>
      <c r="I756" s="52">
        <v>0</v>
      </c>
      <c r="J756" s="51">
        <v>0</v>
      </c>
      <c r="K756" s="54">
        <v>0</v>
      </c>
      <c r="L756" s="51">
        <v>0</v>
      </c>
      <c r="M756" s="54">
        <v>0</v>
      </c>
      <c r="N756" s="53">
        <f t="shared" si="22"/>
        <v>0</v>
      </c>
      <c r="O756" s="53">
        <f t="shared" si="23"/>
        <v>0</v>
      </c>
    </row>
    <row r="757" spans="1:15" x14ac:dyDescent="0.2">
      <c r="A757" s="51" t="s">
        <v>3567</v>
      </c>
      <c r="B757" s="51" t="s">
        <v>3568</v>
      </c>
      <c r="C757" s="51" t="s">
        <v>3633</v>
      </c>
      <c r="D757" s="51" t="s">
        <v>3932</v>
      </c>
      <c r="E757" s="51" t="s">
        <v>3933</v>
      </c>
      <c r="F757" s="52">
        <v>0.36403725535767539</v>
      </c>
      <c r="G757" s="52">
        <v>0</v>
      </c>
      <c r="H757" s="52">
        <v>0</v>
      </c>
      <c r="I757" s="52">
        <v>0</v>
      </c>
      <c r="J757" s="51">
        <v>0</v>
      </c>
      <c r="K757" s="54">
        <v>0</v>
      </c>
      <c r="L757" s="51">
        <v>0</v>
      </c>
      <c r="M757" s="54">
        <v>0</v>
      </c>
      <c r="N757" s="53">
        <f t="shared" si="22"/>
        <v>0</v>
      </c>
      <c r="O757" s="53">
        <f t="shared" si="23"/>
        <v>0</v>
      </c>
    </row>
    <row r="758" spans="1:15" x14ac:dyDescent="0.2">
      <c r="A758" s="51" t="s">
        <v>3567</v>
      </c>
      <c r="B758" s="51" t="s">
        <v>3568</v>
      </c>
      <c r="C758" s="51" t="s">
        <v>86</v>
      </c>
      <c r="D758" s="51" t="s">
        <v>152</v>
      </c>
      <c r="E758" s="51" t="s">
        <v>151</v>
      </c>
      <c r="F758" s="52">
        <v>1188.16445</v>
      </c>
      <c r="G758" s="52">
        <v>5410</v>
      </c>
      <c r="H758" s="52">
        <v>5450</v>
      </c>
      <c r="I758" s="52">
        <v>10860</v>
      </c>
      <c r="J758" s="51">
        <v>0</v>
      </c>
      <c r="K758" s="54">
        <v>0</v>
      </c>
      <c r="L758" s="51">
        <v>1</v>
      </c>
      <c r="M758" s="54">
        <v>8000</v>
      </c>
      <c r="N758" s="53">
        <f t="shared" si="22"/>
        <v>-8000</v>
      </c>
      <c r="O758" s="53">
        <f t="shared" si="23"/>
        <v>8000</v>
      </c>
    </row>
    <row r="759" spans="1:15" x14ac:dyDescent="0.2">
      <c r="A759" s="51" t="s">
        <v>3567</v>
      </c>
      <c r="B759" s="51" t="s">
        <v>3568</v>
      </c>
      <c r="C759" s="51" t="s">
        <v>76</v>
      </c>
      <c r="D759" s="51" t="s">
        <v>313</v>
      </c>
      <c r="E759" s="51" t="s">
        <v>312</v>
      </c>
      <c r="F759" s="52">
        <v>12177.967037835781</v>
      </c>
      <c r="G759" s="52">
        <v>2600</v>
      </c>
      <c r="H759" s="52">
        <v>2100</v>
      </c>
      <c r="I759" s="52">
        <v>4700</v>
      </c>
      <c r="J759" s="51">
        <v>0</v>
      </c>
      <c r="K759" s="54">
        <v>0</v>
      </c>
      <c r="L759" s="51">
        <v>1</v>
      </c>
      <c r="M759" s="54">
        <v>10000</v>
      </c>
      <c r="N759" s="53">
        <f t="shared" si="22"/>
        <v>-10000</v>
      </c>
      <c r="O759" s="53">
        <f t="shared" si="23"/>
        <v>10000</v>
      </c>
    </row>
    <row r="760" spans="1:15" x14ac:dyDescent="0.2">
      <c r="A760" s="51" t="s">
        <v>3567</v>
      </c>
      <c r="B760" s="51" t="s">
        <v>3568</v>
      </c>
      <c r="C760" s="51" t="s">
        <v>55</v>
      </c>
      <c r="D760" s="51" t="s">
        <v>2295</v>
      </c>
      <c r="E760" s="51" t="s">
        <v>2294</v>
      </c>
      <c r="F760" s="52">
        <v>321.09619800000002</v>
      </c>
      <c r="G760" s="52">
        <v>21245</v>
      </c>
      <c r="H760" s="52">
        <v>6340</v>
      </c>
      <c r="I760" s="52">
        <v>27585</v>
      </c>
      <c r="J760" s="51">
        <v>2</v>
      </c>
      <c r="K760" s="54">
        <v>10000</v>
      </c>
      <c r="L760" s="51">
        <v>1</v>
      </c>
      <c r="M760" s="54">
        <v>1000</v>
      </c>
      <c r="N760" s="53">
        <f t="shared" si="22"/>
        <v>9000</v>
      </c>
      <c r="O760" s="53">
        <f t="shared" si="23"/>
        <v>-9000</v>
      </c>
    </row>
    <row r="761" spans="1:15" x14ac:dyDescent="0.2">
      <c r="A761" s="51" t="s">
        <v>3567</v>
      </c>
      <c r="B761" s="51" t="s">
        <v>3568</v>
      </c>
      <c r="C761" s="51" t="s">
        <v>78</v>
      </c>
      <c r="D761" s="51" t="s">
        <v>3045</v>
      </c>
      <c r="E761" s="51" t="s">
        <v>3044</v>
      </c>
      <c r="F761" s="52">
        <v>1.335881386178257</v>
      </c>
      <c r="G761" s="52">
        <v>0</v>
      </c>
      <c r="H761" s="52">
        <v>0</v>
      </c>
      <c r="I761" s="52">
        <v>0</v>
      </c>
      <c r="J761" s="51">
        <v>0</v>
      </c>
      <c r="K761" s="54">
        <v>0</v>
      </c>
      <c r="L761" s="51">
        <v>0</v>
      </c>
      <c r="M761" s="54">
        <v>0</v>
      </c>
      <c r="N761" s="53">
        <f t="shared" si="22"/>
        <v>0</v>
      </c>
      <c r="O761" s="53">
        <f t="shared" si="23"/>
        <v>0</v>
      </c>
    </row>
    <row r="762" spans="1:15" x14ac:dyDescent="0.2">
      <c r="A762" s="51" t="s">
        <v>3567</v>
      </c>
      <c r="B762" s="51" t="s">
        <v>3568</v>
      </c>
      <c r="C762" s="51" t="s">
        <v>92</v>
      </c>
      <c r="D762" s="51" t="s">
        <v>473</v>
      </c>
      <c r="E762" s="51" t="s">
        <v>472</v>
      </c>
      <c r="F762" s="52">
        <v>55.785003640208679</v>
      </c>
      <c r="G762" s="52">
        <v>3200</v>
      </c>
      <c r="H762" s="52">
        <v>9172</v>
      </c>
      <c r="I762" s="52">
        <v>12372</v>
      </c>
      <c r="J762" s="51">
        <v>0</v>
      </c>
      <c r="K762" s="54">
        <v>0</v>
      </c>
      <c r="L762" s="51">
        <v>1</v>
      </c>
      <c r="M762" s="54">
        <v>5000</v>
      </c>
      <c r="N762" s="53">
        <f t="shared" si="22"/>
        <v>-5000</v>
      </c>
      <c r="O762" s="53">
        <f t="shared" si="23"/>
        <v>5000</v>
      </c>
    </row>
    <row r="763" spans="1:15" x14ac:dyDescent="0.2">
      <c r="A763" s="51" t="s">
        <v>3567</v>
      </c>
      <c r="B763" s="51" t="s">
        <v>3568</v>
      </c>
      <c r="C763" s="51" t="s">
        <v>52</v>
      </c>
      <c r="D763" s="51" t="s">
        <v>2402</v>
      </c>
      <c r="E763" s="51" t="s">
        <v>2401</v>
      </c>
      <c r="F763" s="52">
        <v>11918.096750000001</v>
      </c>
      <c r="G763" s="52">
        <v>500</v>
      </c>
      <c r="H763" s="52">
        <v>480</v>
      </c>
      <c r="I763" s="52">
        <v>980</v>
      </c>
      <c r="J763" s="51">
        <v>0</v>
      </c>
      <c r="K763" s="54">
        <v>0</v>
      </c>
      <c r="L763" s="51">
        <v>1</v>
      </c>
      <c r="M763" s="54">
        <v>10000</v>
      </c>
      <c r="N763" s="53">
        <f t="shared" si="22"/>
        <v>-10000</v>
      </c>
      <c r="O763" s="53">
        <f t="shared" si="23"/>
        <v>10000</v>
      </c>
    </row>
    <row r="764" spans="1:15" x14ac:dyDescent="0.2">
      <c r="A764" s="51" t="s">
        <v>3567</v>
      </c>
      <c r="B764" s="51" t="s">
        <v>3568</v>
      </c>
      <c r="C764" s="51" t="s">
        <v>75</v>
      </c>
      <c r="D764" s="51" t="s">
        <v>1088</v>
      </c>
      <c r="E764" s="51" t="s">
        <v>1087</v>
      </c>
      <c r="F764" s="52">
        <v>1673.2670000000001</v>
      </c>
      <c r="G764" s="52">
        <v>3405</v>
      </c>
      <c r="H764" s="52">
        <v>3590</v>
      </c>
      <c r="I764" s="52">
        <v>6995</v>
      </c>
      <c r="J764" s="51">
        <v>0</v>
      </c>
      <c r="K764" s="54">
        <v>0</v>
      </c>
      <c r="L764" s="51">
        <v>1</v>
      </c>
      <c r="M764" s="54">
        <v>14000</v>
      </c>
      <c r="N764" s="53">
        <f t="shared" si="22"/>
        <v>-14000</v>
      </c>
      <c r="O764" s="53">
        <f t="shared" si="23"/>
        <v>14000</v>
      </c>
    </row>
    <row r="765" spans="1:15" x14ac:dyDescent="0.2">
      <c r="A765" s="51" t="s">
        <v>3567</v>
      </c>
      <c r="B765" s="51" t="s">
        <v>3568</v>
      </c>
      <c r="C765" s="51" t="s">
        <v>3619</v>
      </c>
      <c r="D765" s="51" t="s">
        <v>3984</v>
      </c>
      <c r="E765" s="51" t="s">
        <v>3985</v>
      </c>
      <c r="F765" s="52">
        <v>8.6523000000000003</v>
      </c>
      <c r="G765" s="52">
        <v>0</v>
      </c>
      <c r="H765" s="52">
        <v>0</v>
      </c>
      <c r="I765" s="52">
        <v>0</v>
      </c>
      <c r="J765" s="51">
        <v>0</v>
      </c>
      <c r="K765" s="54">
        <v>0</v>
      </c>
      <c r="L765" s="51">
        <v>0</v>
      </c>
      <c r="M765" s="54">
        <v>0</v>
      </c>
      <c r="N765" s="53">
        <f t="shared" si="22"/>
        <v>0</v>
      </c>
      <c r="O765" s="53">
        <f t="shared" si="23"/>
        <v>0</v>
      </c>
    </row>
    <row r="766" spans="1:15" x14ac:dyDescent="0.2">
      <c r="A766" s="51" t="s">
        <v>3567</v>
      </c>
      <c r="B766" s="51" t="s">
        <v>3568</v>
      </c>
      <c r="C766" s="51" t="s">
        <v>59</v>
      </c>
      <c r="D766" s="51" t="s">
        <v>341</v>
      </c>
      <c r="E766" s="51" t="s">
        <v>340</v>
      </c>
      <c r="F766" s="52">
        <v>5855.60275</v>
      </c>
      <c r="G766" s="52">
        <v>6500</v>
      </c>
      <c r="H766" s="52">
        <v>4750</v>
      </c>
      <c r="I766" s="52">
        <v>11250</v>
      </c>
      <c r="J766" s="51">
        <v>0</v>
      </c>
      <c r="K766" s="54">
        <v>0</v>
      </c>
      <c r="L766" s="51">
        <v>1</v>
      </c>
      <c r="M766" s="54">
        <v>10000</v>
      </c>
      <c r="N766" s="53">
        <f t="shared" si="22"/>
        <v>-10000</v>
      </c>
      <c r="O766" s="53">
        <f t="shared" si="23"/>
        <v>10000</v>
      </c>
    </row>
    <row r="767" spans="1:15" x14ac:dyDescent="0.2">
      <c r="A767" s="51" t="s">
        <v>3567</v>
      </c>
      <c r="B767" s="51" t="s">
        <v>3568</v>
      </c>
      <c r="C767" s="51" t="s">
        <v>3763</v>
      </c>
      <c r="D767" s="51" t="s">
        <v>4038</v>
      </c>
      <c r="E767" s="51" t="s">
        <v>4039</v>
      </c>
      <c r="F767" s="52">
        <v>1.3641996762639841</v>
      </c>
      <c r="G767" s="52">
        <v>0</v>
      </c>
      <c r="H767" s="52">
        <v>0</v>
      </c>
      <c r="I767" s="52">
        <v>0</v>
      </c>
      <c r="J767" s="51">
        <v>0</v>
      </c>
      <c r="K767" s="54">
        <v>0</v>
      </c>
      <c r="L767" s="51">
        <v>0</v>
      </c>
      <c r="M767" s="54">
        <v>0</v>
      </c>
      <c r="N767" s="53">
        <f t="shared" si="22"/>
        <v>0</v>
      </c>
      <c r="O767" s="53">
        <f t="shared" si="23"/>
        <v>0</v>
      </c>
    </row>
    <row r="768" spans="1:15" x14ac:dyDescent="0.2">
      <c r="A768" s="51" t="s">
        <v>3567</v>
      </c>
      <c r="B768" s="51" t="s">
        <v>3568</v>
      </c>
      <c r="C768" s="51" t="s">
        <v>67</v>
      </c>
      <c r="D768" s="51" t="s">
        <v>3978</v>
      </c>
      <c r="E768" s="51" t="s">
        <v>3979</v>
      </c>
      <c r="F768" s="52">
        <v>393.4875854437829</v>
      </c>
      <c r="G768" s="52">
        <v>0</v>
      </c>
      <c r="H768" s="52">
        <v>0</v>
      </c>
      <c r="I768" s="52">
        <v>0</v>
      </c>
      <c r="J768" s="51">
        <v>0</v>
      </c>
      <c r="K768" s="54">
        <v>0</v>
      </c>
      <c r="L768" s="51">
        <v>0</v>
      </c>
      <c r="M768" s="54">
        <v>0</v>
      </c>
      <c r="N768" s="53">
        <f t="shared" si="22"/>
        <v>0</v>
      </c>
      <c r="O768" s="53">
        <f t="shared" si="23"/>
        <v>0</v>
      </c>
    </row>
    <row r="769" spans="1:15" x14ac:dyDescent="0.2">
      <c r="A769" s="51" t="s">
        <v>3567</v>
      </c>
      <c r="B769" s="51" t="s">
        <v>3568</v>
      </c>
      <c r="C769" s="51" t="s">
        <v>71</v>
      </c>
      <c r="D769" s="51" t="s">
        <v>2680</v>
      </c>
      <c r="E769" s="51" t="s">
        <v>2679</v>
      </c>
      <c r="F769" s="52">
        <v>291.75970000000001</v>
      </c>
      <c r="G769" s="52">
        <v>1100</v>
      </c>
      <c r="H769" s="52">
        <v>500</v>
      </c>
      <c r="I769" s="52">
        <v>1600</v>
      </c>
      <c r="J769" s="51">
        <v>0</v>
      </c>
      <c r="K769" s="54">
        <v>0</v>
      </c>
      <c r="L769" s="51">
        <v>1</v>
      </c>
      <c r="M769" s="54">
        <v>5000</v>
      </c>
      <c r="N769" s="53">
        <f t="shared" si="22"/>
        <v>-5000</v>
      </c>
      <c r="O769" s="53">
        <f t="shared" si="23"/>
        <v>5000</v>
      </c>
    </row>
    <row r="770" spans="1:15" x14ac:dyDescent="0.2">
      <c r="A770" s="51" t="s">
        <v>3567</v>
      </c>
      <c r="B770" s="51" t="s">
        <v>3568</v>
      </c>
      <c r="C770" s="51" t="s">
        <v>59</v>
      </c>
      <c r="D770" s="51" t="s">
        <v>1785</v>
      </c>
      <c r="E770" s="51" t="s">
        <v>1784</v>
      </c>
      <c r="F770" s="52">
        <v>40294.951861424037</v>
      </c>
      <c r="G770" s="52">
        <v>9072</v>
      </c>
      <c r="H770" s="52">
        <v>34890</v>
      </c>
      <c r="I770" s="52">
        <v>43962</v>
      </c>
      <c r="J770" s="51">
        <v>2</v>
      </c>
      <c r="K770" s="54">
        <v>7000</v>
      </c>
      <c r="L770" s="51">
        <v>0</v>
      </c>
      <c r="M770" s="54">
        <v>0</v>
      </c>
      <c r="N770" s="53">
        <f t="shared" si="22"/>
        <v>7000</v>
      </c>
      <c r="O770" s="53">
        <f t="shared" si="23"/>
        <v>-7000</v>
      </c>
    </row>
    <row r="771" spans="1:15" x14ac:dyDescent="0.2">
      <c r="A771" s="51" t="s">
        <v>3567</v>
      </c>
      <c r="B771" s="51" t="s">
        <v>3568</v>
      </c>
      <c r="C771" s="51" t="s">
        <v>74</v>
      </c>
      <c r="D771" s="51" t="s">
        <v>3505</v>
      </c>
      <c r="E771" s="51" t="s">
        <v>3504</v>
      </c>
      <c r="F771" s="52">
        <v>5679.7708000000002</v>
      </c>
      <c r="G771" s="52">
        <v>2035</v>
      </c>
      <c r="H771" s="52">
        <v>0</v>
      </c>
      <c r="I771" s="52">
        <v>2035</v>
      </c>
      <c r="J771" s="51">
        <v>1</v>
      </c>
      <c r="K771" s="54">
        <v>5000</v>
      </c>
      <c r="L771" s="51">
        <v>0</v>
      </c>
      <c r="M771" s="54">
        <v>0</v>
      </c>
      <c r="N771" s="53">
        <f t="shared" ref="N771:N834" si="24">K771-M771</f>
        <v>5000</v>
      </c>
      <c r="O771" s="53">
        <f t="shared" ref="O771:O834" si="25">M771-K771</f>
        <v>-5000</v>
      </c>
    </row>
    <row r="772" spans="1:15" x14ac:dyDescent="0.2">
      <c r="A772" s="51" t="s">
        <v>3567</v>
      </c>
      <c r="B772" s="51" t="s">
        <v>3568</v>
      </c>
      <c r="C772" s="51" t="s">
        <v>3571</v>
      </c>
      <c r="D772" s="51" t="s">
        <v>3968</v>
      </c>
      <c r="E772" s="51" t="s">
        <v>3969</v>
      </c>
      <c r="F772" s="52">
        <v>43.846899999999998</v>
      </c>
      <c r="G772" s="52">
        <v>0</v>
      </c>
      <c r="H772" s="52">
        <v>0</v>
      </c>
      <c r="I772" s="52">
        <v>0</v>
      </c>
      <c r="J772" s="51">
        <v>0</v>
      </c>
      <c r="K772" s="54">
        <v>0</v>
      </c>
      <c r="L772" s="51">
        <v>0</v>
      </c>
      <c r="M772" s="54">
        <v>0</v>
      </c>
      <c r="N772" s="53">
        <f t="shared" si="24"/>
        <v>0</v>
      </c>
      <c r="O772" s="53">
        <f t="shared" si="25"/>
        <v>0</v>
      </c>
    </row>
    <row r="773" spans="1:15" x14ac:dyDescent="0.2">
      <c r="A773" s="51" t="s">
        <v>3567</v>
      </c>
      <c r="B773" s="51" t="s">
        <v>3568</v>
      </c>
      <c r="C773" s="51" t="s">
        <v>77</v>
      </c>
      <c r="D773" s="51" t="s">
        <v>2148</v>
      </c>
      <c r="E773" s="51" t="s">
        <v>2147</v>
      </c>
      <c r="F773" s="52">
        <v>225.13791363552511</v>
      </c>
      <c r="G773" s="52">
        <v>7500</v>
      </c>
      <c r="H773" s="52">
        <v>200</v>
      </c>
      <c r="I773" s="52">
        <v>7700</v>
      </c>
      <c r="J773" s="51">
        <v>0</v>
      </c>
      <c r="K773" s="54">
        <v>0</v>
      </c>
      <c r="L773" s="51">
        <v>1</v>
      </c>
      <c r="M773" s="54">
        <v>30000</v>
      </c>
      <c r="N773" s="53">
        <f t="shared" si="24"/>
        <v>-30000</v>
      </c>
      <c r="O773" s="53">
        <f t="shared" si="25"/>
        <v>30000</v>
      </c>
    </row>
    <row r="774" spans="1:15" x14ac:dyDescent="0.2">
      <c r="A774" s="51" t="s">
        <v>3567</v>
      </c>
      <c r="B774" s="51" t="s">
        <v>3568</v>
      </c>
      <c r="C774" s="51" t="s">
        <v>69</v>
      </c>
      <c r="D774" s="51" t="s">
        <v>2300</v>
      </c>
      <c r="E774" s="51" t="s">
        <v>145</v>
      </c>
      <c r="F774" s="52">
        <v>6010.1151</v>
      </c>
      <c r="G774" s="52">
        <v>0</v>
      </c>
      <c r="H774" s="52">
        <v>0</v>
      </c>
      <c r="I774" s="52">
        <v>0</v>
      </c>
      <c r="J774" s="51">
        <v>1</v>
      </c>
      <c r="K774" s="54">
        <v>6000</v>
      </c>
      <c r="L774" s="51">
        <v>0</v>
      </c>
      <c r="M774" s="54">
        <v>0</v>
      </c>
      <c r="N774" s="53">
        <f t="shared" si="24"/>
        <v>6000</v>
      </c>
      <c r="O774" s="53">
        <f t="shared" si="25"/>
        <v>-6000</v>
      </c>
    </row>
    <row r="775" spans="1:15" x14ac:dyDescent="0.2">
      <c r="A775" s="51" t="s">
        <v>3567</v>
      </c>
      <c r="B775" s="51" t="s">
        <v>3568</v>
      </c>
      <c r="C775" s="51" t="s">
        <v>92</v>
      </c>
      <c r="D775" s="51" t="s">
        <v>658</v>
      </c>
      <c r="E775" s="51" t="s">
        <v>657</v>
      </c>
      <c r="F775" s="52">
        <v>6510.5230790520609</v>
      </c>
      <c r="G775" s="52">
        <v>2910</v>
      </c>
      <c r="H775" s="52">
        <v>4000</v>
      </c>
      <c r="I775" s="52">
        <v>6910</v>
      </c>
      <c r="J775" s="51">
        <v>1</v>
      </c>
      <c r="K775" s="54">
        <v>5000</v>
      </c>
      <c r="L775" s="51">
        <v>0</v>
      </c>
      <c r="M775" s="54">
        <v>0</v>
      </c>
      <c r="N775" s="53">
        <f t="shared" si="24"/>
        <v>5000</v>
      </c>
      <c r="O775" s="53">
        <f t="shared" si="25"/>
        <v>-5000</v>
      </c>
    </row>
    <row r="776" spans="1:15" x14ac:dyDescent="0.2">
      <c r="A776" s="51" t="s">
        <v>3567</v>
      </c>
      <c r="B776" s="51" t="s">
        <v>3568</v>
      </c>
      <c r="C776" s="51" t="s">
        <v>86</v>
      </c>
      <c r="D776" s="51" t="s">
        <v>4002</v>
      </c>
      <c r="E776" s="51" t="s">
        <v>4003</v>
      </c>
      <c r="F776" s="52">
        <v>45.224131999999997</v>
      </c>
      <c r="G776" s="52">
        <v>0</v>
      </c>
      <c r="H776" s="52">
        <v>0</v>
      </c>
      <c r="I776" s="52">
        <v>0</v>
      </c>
      <c r="J776" s="51">
        <v>0</v>
      </c>
      <c r="K776" s="54">
        <v>0</v>
      </c>
      <c r="L776" s="51">
        <v>0</v>
      </c>
      <c r="M776" s="54">
        <v>0</v>
      </c>
      <c r="N776" s="53">
        <f t="shared" si="24"/>
        <v>0</v>
      </c>
      <c r="O776" s="53">
        <f t="shared" si="25"/>
        <v>0</v>
      </c>
    </row>
    <row r="777" spans="1:15" x14ac:dyDescent="0.2">
      <c r="A777" s="51" t="s">
        <v>3567</v>
      </c>
      <c r="B777" s="51" t="s">
        <v>3568</v>
      </c>
      <c r="C777" s="51" t="s">
        <v>58</v>
      </c>
      <c r="D777" s="51" t="s">
        <v>1395</v>
      </c>
      <c r="E777" s="51" t="s">
        <v>1394</v>
      </c>
      <c r="F777" s="52">
        <v>11978.324199999999</v>
      </c>
      <c r="G777" s="52">
        <v>2320</v>
      </c>
      <c r="H777" s="52">
        <v>14225</v>
      </c>
      <c r="I777" s="52">
        <v>16545</v>
      </c>
      <c r="J777" s="51">
        <v>0</v>
      </c>
      <c r="K777" s="54">
        <v>0</v>
      </c>
      <c r="L777" s="51">
        <v>1</v>
      </c>
      <c r="M777" s="54">
        <v>5000</v>
      </c>
      <c r="N777" s="53">
        <f t="shared" si="24"/>
        <v>-5000</v>
      </c>
      <c r="O777" s="53">
        <f t="shared" si="25"/>
        <v>5000</v>
      </c>
    </row>
    <row r="778" spans="1:15" x14ac:dyDescent="0.2">
      <c r="A778" s="51" t="s">
        <v>3567</v>
      </c>
      <c r="B778" s="51" t="s">
        <v>3568</v>
      </c>
      <c r="C778" s="51" t="s">
        <v>69</v>
      </c>
      <c r="D778" s="51" t="s">
        <v>3957</v>
      </c>
      <c r="E778" s="51" t="s">
        <v>3958</v>
      </c>
      <c r="F778" s="52">
        <v>73.93524703120751</v>
      </c>
      <c r="G778" s="52">
        <v>0</v>
      </c>
      <c r="H778" s="52">
        <v>0</v>
      </c>
      <c r="I778" s="52">
        <v>0</v>
      </c>
      <c r="J778" s="51">
        <v>0</v>
      </c>
      <c r="K778" s="54">
        <v>0</v>
      </c>
      <c r="L778" s="51">
        <v>0</v>
      </c>
      <c r="M778" s="54">
        <v>0</v>
      </c>
      <c r="N778" s="53">
        <f t="shared" si="24"/>
        <v>0</v>
      </c>
      <c r="O778" s="53">
        <f t="shared" si="25"/>
        <v>0</v>
      </c>
    </row>
    <row r="779" spans="1:15" x14ac:dyDescent="0.2">
      <c r="A779" s="51" t="s">
        <v>3567</v>
      </c>
      <c r="B779" s="51" t="s">
        <v>3568</v>
      </c>
      <c r="C779" s="51" t="s">
        <v>58</v>
      </c>
      <c r="D779" s="51" t="s">
        <v>1318</v>
      </c>
      <c r="E779" s="51" t="s">
        <v>1317</v>
      </c>
      <c r="F779" s="52">
        <v>4544.4222182197927</v>
      </c>
      <c r="G779" s="52">
        <v>5240</v>
      </c>
      <c r="H779" s="52">
        <v>5300</v>
      </c>
      <c r="I779" s="52">
        <v>10540</v>
      </c>
      <c r="J779" s="51">
        <v>1</v>
      </c>
      <c r="K779" s="54">
        <v>5000</v>
      </c>
      <c r="L779" s="51">
        <v>0</v>
      </c>
      <c r="M779" s="54">
        <v>0</v>
      </c>
      <c r="N779" s="53">
        <f t="shared" si="24"/>
        <v>5000</v>
      </c>
      <c r="O779" s="53">
        <f t="shared" si="25"/>
        <v>-5000</v>
      </c>
    </row>
    <row r="780" spans="1:15" x14ac:dyDescent="0.2">
      <c r="A780" s="51" t="s">
        <v>3567</v>
      </c>
      <c r="B780" s="51" t="s">
        <v>3568</v>
      </c>
      <c r="C780" s="51" t="s">
        <v>52</v>
      </c>
      <c r="D780" s="51" t="s">
        <v>2585</v>
      </c>
      <c r="E780" s="51" t="s">
        <v>2584</v>
      </c>
      <c r="F780" s="52">
        <v>16398.561750000001</v>
      </c>
      <c r="G780" s="52">
        <v>750</v>
      </c>
      <c r="H780" s="52">
        <v>3500</v>
      </c>
      <c r="I780" s="52">
        <v>4250</v>
      </c>
      <c r="J780" s="51">
        <v>1</v>
      </c>
      <c r="K780" s="54">
        <v>6000</v>
      </c>
      <c r="L780" s="51">
        <v>0</v>
      </c>
      <c r="M780" s="54">
        <v>0</v>
      </c>
      <c r="N780" s="53">
        <f t="shared" si="24"/>
        <v>6000</v>
      </c>
      <c r="O780" s="53">
        <f t="shared" si="25"/>
        <v>-6000</v>
      </c>
    </row>
    <row r="781" spans="1:15" x14ac:dyDescent="0.2">
      <c r="A781" s="51" t="s">
        <v>3567</v>
      </c>
      <c r="B781" s="51" t="s">
        <v>3568</v>
      </c>
      <c r="C781" s="51" t="s">
        <v>80</v>
      </c>
      <c r="D781" s="51" t="s">
        <v>2400</v>
      </c>
      <c r="E781" s="51" t="s">
        <v>2399</v>
      </c>
      <c r="F781" s="52">
        <v>0.46590385249715499</v>
      </c>
      <c r="G781" s="52">
        <v>0</v>
      </c>
      <c r="H781" s="52">
        <v>0</v>
      </c>
      <c r="I781" s="52">
        <v>0</v>
      </c>
      <c r="J781" s="51">
        <v>0</v>
      </c>
      <c r="K781" s="54">
        <v>0</v>
      </c>
      <c r="L781" s="51">
        <v>0</v>
      </c>
      <c r="M781" s="54">
        <v>0</v>
      </c>
      <c r="N781" s="53">
        <f t="shared" si="24"/>
        <v>0</v>
      </c>
      <c r="O781" s="53">
        <f t="shared" si="25"/>
        <v>0</v>
      </c>
    </row>
    <row r="782" spans="1:15" x14ac:dyDescent="0.2">
      <c r="A782" s="51" t="s">
        <v>3567</v>
      </c>
      <c r="B782" s="51" t="s">
        <v>3568</v>
      </c>
      <c r="C782" s="51" t="s">
        <v>3583</v>
      </c>
      <c r="D782" s="51" t="s">
        <v>3986</v>
      </c>
      <c r="E782" s="51" t="s">
        <v>3987</v>
      </c>
      <c r="F782" s="52">
        <v>9.5561339581371136</v>
      </c>
      <c r="G782" s="52">
        <v>0</v>
      </c>
      <c r="H782" s="52">
        <v>0</v>
      </c>
      <c r="I782" s="52">
        <v>0</v>
      </c>
      <c r="J782" s="51">
        <v>0</v>
      </c>
      <c r="K782" s="54">
        <v>0</v>
      </c>
      <c r="L782" s="51">
        <v>0</v>
      </c>
      <c r="M782" s="54">
        <v>0</v>
      </c>
      <c r="N782" s="53">
        <f t="shared" si="24"/>
        <v>0</v>
      </c>
      <c r="O782" s="53">
        <f t="shared" si="25"/>
        <v>0</v>
      </c>
    </row>
    <row r="783" spans="1:15" x14ac:dyDescent="0.2">
      <c r="A783" s="51" t="s">
        <v>3567</v>
      </c>
      <c r="B783" s="51" t="s">
        <v>3568</v>
      </c>
      <c r="C783" s="51" t="s">
        <v>61</v>
      </c>
      <c r="D783" s="51" t="s">
        <v>3003</v>
      </c>
      <c r="E783" s="51" t="s">
        <v>3002</v>
      </c>
      <c r="F783" s="52">
        <v>11306.0895</v>
      </c>
      <c r="G783" s="52">
        <v>3000</v>
      </c>
      <c r="H783" s="52">
        <v>0</v>
      </c>
      <c r="I783" s="52">
        <v>3000</v>
      </c>
      <c r="J783" s="51">
        <v>1</v>
      </c>
      <c r="K783" s="54">
        <v>6000</v>
      </c>
      <c r="L783" s="51">
        <v>0</v>
      </c>
      <c r="M783" s="54">
        <v>0</v>
      </c>
      <c r="N783" s="53">
        <f t="shared" si="24"/>
        <v>6000</v>
      </c>
      <c r="O783" s="53">
        <f t="shared" si="25"/>
        <v>-6000</v>
      </c>
    </row>
    <row r="784" spans="1:15" x14ac:dyDescent="0.2">
      <c r="A784" s="51" t="s">
        <v>3567</v>
      </c>
      <c r="B784" s="51" t="s">
        <v>3568</v>
      </c>
      <c r="C784" s="51" t="s">
        <v>80</v>
      </c>
      <c r="D784" s="51" t="s">
        <v>910</v>
      </c>
      <c r="E784" s="51" t="s">
        <v>909</v>
      </c>
      <c r="F784" s="52">
        <v>18203.270753552719</v>
      </c>
      <c r="G784" s="52">
        <v>1000</v>
      </c>
      <c r="H784" s="52">
        <v>0</v>
      </c>
      <c r="I784" s="52">
        <v>1000</v>
      </c>
      <c r="J784" s="51">
        <v>1</v>
      </c>
      <c r="K784" s="54">
        <v>15000</v>
      </c>
      <c r="L784" s="51">
        <v>0</v>
      </c>
      <c r="M784" s="54">
        <v>0</v>
      </c>
      <c r="N784" s="53">
        <f t="shared" si="24"/>
        <v>15000</v>
      </c>
      <c r="O784" s="53">
        <f t="shared" si="25"/>
        <v>-15000</v>
      </c>
    </row>
    <row r="785" spans="1:15" x14ac:dyDescent="0.2">
      <c r="A785" s="51" t="s">
        <v>3567</v>
      </c>
      <c r="B785" s="51" t="s">
        <v>3568</v>
      </c>
      <c r="C785" s="51" t="s">
        <v>54</v>
      </c>
      <c r="D785" s="51" t="s">
        <v>188</v>
      </c>
      <c r="E785" s="51" t="s">
        <v>187</v>
      </c>
      <c r="F785" s="52">
        <v>11109.791580313429</v>
      </c>
      <c r="G785" s="52">
        <v>2780</v>
      </c>
      <c r="H785" s="52">
        <v>1190</v>
      </c>
      <c r="I785" s="52">
        <v>3970</v>
      </c>
      <c r="J785" s="51">
        <v>2</v>
      </c>
      <c r="K785" s="54">
        <v>10000</v>
      </c>
      <c r="L785" s="51">
        <v>0</v>
      </c>
      <c r="M785" s="54">
        <v>0</v>
      </c>
      <c r="N785" s="53">
        <f t="shared" si="24"/>
        <v>10000</v>
      </c>
      <c r="O785" s="53">
        <f t="shared" si="25"/>
        <v>-10000</v>
      </c>
    </row>
    <row r="786" spans="1:15" x14ac:dyDescent="0.2">
      <c r="A786" s="51" t="s">
        <v>3567</v>
      </c>
      <c r="B786" s="51" t="s">
        <v>3568</v>
      </c>
      <c r="C786" s="51" t="s">
        <v>77</v>
      </c>
      <c r="D786" s="51" t="s">
        <v>875</v>
      </c>
      <c r="E786" s="51" t="s">
        <v>874</v>
      </c>
      <c r="F786" s="52">
        <v>26056.523830150942</v>
      </c>
      <c r="G786" s="52">
        <v>2265</v>
      </c>
      <c r="H786" s="52">
        <v>5735</v>
      </c>
      <c r="I786" s="52">
        <v>8000</v>
      </c>
      <c r="J786" s="51">
        <v>0</v>
      </c>
      <c r="K786" s="54">
        <v>0</v>
      </c>
      <c r="L786" s="51">
        <v>1</v>
      </c>
      <c r="M786" s="54">
        <v>20000</v>
      </c>
      <c r="N786" s="53">
        <f t="shared" si="24"/>
        <v>-20000</v>
      </c>
      <c r="O786" s="53">
        <f t="shared" si="25"/>
        <v>20000</v>
      </c>
    </row>
    <row r="787" spans="1:15" x14ac:dyDescent="0.2">
      <c r="A787" s="51" t="s">
        <v>3567</v>
      </c>
      <c r="B787" s="51" t="s">
        <v>3568</v>
      </c>
      <c r="C787" s="51" t="s">
        <v>64</v>
      </c>
      <c r="D787" s="51" t="s">
        <v>3053</v>
      </c>
      <c r="E787" s="51" t="s">
        <v>3052</v>
      </c>
      <c r="F787" s="52">
        <v>1218.9431183650479</v>
      </c>
      <c r="G787" s="52">
        <v>9705</v>
      </c>
      <c r="H787" s="52">
        <v>20810</v>
      </c>
      <c r="I787" s="52">
        <v>30515</v>
      </c>
      <c r="J787" s="51">
        <v>0</v>
      </c>
      <c r="K787" s="54">
        <v>0</v>
      </c>
      <c r="L787" s="51">
        <v>3</v>
      </c>
      <c r="M787" s="54">
        <v>45000</v>
      </c>
      <c r="N787" s="53">
        <f t="shared" si="24"/>
        <v>-45000</v>
      </c>
      <c r="O787" s="53">
        <f t="shared" si="25"/>
        <v>45000</v>
      </c>
    </row>
    <row r="788" spans="1:15" x14ac:dyDescent="0.2">
      <c r="A788" s="51" t="s">
        <v>3567</v>
      </c>
      <c r="B788" s="51" t="s">
        <v>3568</v>
      </c>
      <c r="C788" s="51" t="s">
        <v>70</v>
      </c>
      <c r="D788" s="51" t="s">
        <v>3198</v>
      </c>
      <c r="E788" s="51" t="s">
        <v>3197</v>
      </c>
      <c r="F788" s="52">
        <v>13181.0138734797</v>
      </c>
      <c r="G788" s="52">
        <v>0</v>
      </c>
      <c r="H788" s="52">
        <v>1500</v>
      </c>
      <c r="I788" s="52">
        <v>1500</v>
      </c>
      <c r="J788" s="51">
        <v>1</v>
      </c>
      <c r="K788" s="54">
        <v>5000</v>
      </c>
      <c r="L788" s="51">
        <v>0</v>
      </c>
      <c r="M788" s="54">
        <v>0</v>
      </c>
      <c r="N788" s="53">
        <f t="shared" si="24"/>
        <v>5000</v>
      </c>
      <c r="O788" s="53">
        <f t="shared" si="25"/>
        <v>-5000</v>
      </c>
    </row>
    <row r="789" spans="1:15" x14ac:dyDescent="0.2">
      <c r="A789" s="51" t="s">
        <v>3567</v>
      </c>
      <c r="B789" s="51" t="s">
        <v>3568</v>
      </c>
      <c r="C789" s="51" t="s">
        <v>68</v>
      </c>
      <c r="D789" s="51" t="s">
        <v>2275</v>
      </c>
      <c r="E789" s="51" t="s">
        <v>2274</v>
      </c>
      <c r="F789" s="52">
        <v>0.138908699</v>
      </c>
      <c r="G789" s="52">
        <v>0</v>
      </c>
      <c r="H789" s="52">
        <v>0</v>
      </c>
      <c r="I789" s="52">
        <v>0</v>
      </c>
      <c r="J789" s="51">
        <v>0</v>
      </c>
      <c r="K789" s="54">
        <v>0</v>
      </c>
      <c r="L789" s="51">
        <v>0</v>
      </c>
      <c r="M789" s="54">
        <v>0</v>
      </c>
      <c r="N789" s="53">
        <f t="shared" si="24"/>
        <v>0</v>
      </c>
      <c r="O789" s="53">
        <f t="shared" si="25"/>
        <v>0</v>
      </c>
    </row>
    <row r="790" spans="1:15" x14ac:dyDescent="0.2">
      <c r="A790" s="51" t="s">
        <v>3567</v>
      </c>
      <c r="B790" s="51" t="s">
        <v>3568</v>
      </c>
      <c r="C790" s="51" t="s">
        <v>53</v>
      </c>
      <c r="D790" s="51" t="s">
        <v>1328</v>
      </c>
      <c r="E790" s="51" t="s">
        <v>1327</v>
      </c>
      <c r="F790" s="52">
        <v>2052.4621900000002</v>
      </c>
      <c r="G790" s="52">
        <v>1470</v>
      </c>
      <c r="H790" s="52">
        <v>4890</v>
      </c>
      <c r="I790" s="52">
        <v>6360</v>
      </c>
      <c r="J790" s="51">
        <v>0</v>
      </c>
      <c r="K790" s="54">
        <v>0</v>
      </c>
      <c r="L790" s="51">
        <v>1</v>
      </c>
      <c r="M790" s="54">
        <v>7000</v>
      </c>
      <c r="N790" s="53">
        <f t="shared" si="24"/>
        <v>-7000</v>
      </c>
      <c r="O790" s="53">
        <f t="shared" si="25"/>
        <v>7000</v>
      </c>
    </row>
    <row r="791" spans="1:15" x14ac:dyDescent="0.2">
      <c r="A791" s="51" t="s">
        <v>3567</v>
      </c>
      <c r="B791" s="51" t="s">
        <v>3568</v>
      </c>
      <c r="C791" s="51" t="s">
        <v>57</v>
      </c>
      <c r="D791" s="51" t="s">
        <v>3982</v>
      </c>
      <c r="E791" s="51" t="s">
        <v>3983</v>
      </c>
      <c r="F791" s="52">
        <v>36.189652113559049</v>
      </c>
      <c r="G791" s="52">
        <v>0</v>
      </c>
      <c r="H791" s="52">
        <v>0</v>
      </c>
      <c r="I791" s="52">
        <v>0</v>
      </c>
      <c r="J791" s="51">
        <v>0</v>
      </c>
      <c r="K791" s="54">
        <v>0</v>
      </c>
      <c r="L791" s="51">
        <v>0</v>
      </c>
      <c r="M791" s="54">
        <v>0</v>
      </c>
      <c r="N791" s="53">
        <f t="shared" si="24"/>
        <v>0</v>
      </c>
      <c r="O791" s="53">
        <f t="shared" si="25"/>
        <v>0</v>
      </c>
    </row>
    <row r="792" spans="1:15" x14ac:dyDescent="0.2">
      <c r="A792" s="51" t="s">
        <v>3567</v>
      </c>
      <c r="B792" s="51" t="s">
        <v>3568</v>
      </c>
      <c r="C792" s="51" t="s">
        <v>87</v>
      </c>
      <c r="D792" s="51" t="s">
        <v>214</v>
      </c>
      <c r="E792" s="51" t="s">
        <v>213</v>
      </c>
      <c r="F792" s="52">
        <v>1837.27315</v>
      </c>
      <c r="G792" s="52">
        <v>0</v>
      </c>
      <c r="H792" s="52">
        <v>0</v>
      </c>
      <c r="I792" s="52">
        <v>0</v>
      </c>
      <c r="J792" s="51">
        <v>0</v>
      </c>
      <c r="K792" s="54">
        <v>0</v>
      </c>
      <c r="L792" s="51">
        <v>1</v>
      </c>
      <c r="M792" s="54">
        <v>5000</v>
      </c>
      <c r="N792" s="53">
        <f t="shared" si="24"/>
        <v>-5000</v>
      </c>
      <c r="O792" s="53">
        <f t="shared" si="25"/>
        <v>5000</v>
      </c>
    </row>
    <row r="793" spans="1:15" x14ac:dyDescent="0.2">
      <c r="A793" s="51" t="s">
        <v>3567</v>
      </c>
      <c r="B793" s="51" t="s">
        <v>3568</v>
      </c>
      <c r="C793" s="51" t="s">
        <v>68</v>
      </c>
      <c r="D793" s="51" t="s">
        <v>1727</v>
      </c>
      <c r="E793" s="51" t="s">
        <v>1726</v>
      </c>
      <c r="F793" s="52">
        <v>57839.215985512659</v>
      </c>
      <c r="G793" s="52">
        <v>49940</v>
      </c>
      <c r="H793" s="52">
        <v>92480</v>
      </c>
      <c r="I793" s="52">
        <v>142420</v>
      </c>
      <c r="J793" s="51">
        <v>1</v>
      </c>
      <c r="K793" s="54">
        <v>5000</v>
      </c>
      <c r="L793" s="51">
        <v>0</v>
      </c>
      <c r="M793" s="54">
        <v>0</v>
      </c>
      <c r="N793" s="53">
        <f t="shared" si="24"/>
        <v>5000</v>
      </c>
      <c r="O793" s="53">
        <f t="shared" si="25"/>
        <v>-5000</v>
      </c>
    </row>
    <row r="794" spans="1:15" x14ac:dyDescent="0.2">
      <c r="A794" s="51" t="s">
        <v>3567</v>
      </c>
      <c r="B794" s="51" t="s">
        <v>3568</v>
      </c>
      <c r="C794" s="51" t="s">
        <v>3707</v>
      </c>
      <c r="D794" s="51" t="s">
        <v>3917</v>
      </c>
      <c r="E794" s="51" t="s">
        <v>3918</v>
      </c>
      <c r="F794" s="52">
        <v>3.8728943874327539</v>
      </c>
      <c r="G794" s="52">
        <v>0</v>
      </c>
      <c r="H794" s="52">
        <v>0</v>
      </c>
      <c r="I794" s="52">
        <v>0</v>
      </c>
      <c r="J794" s="51">
        <v>0</v>
      </c>
      <c r="K794" s="54">
        <v>0</v>
      </c>
      <c r="L794" s="51">
        <v>0</v>
      </c>
      <c r="M794" s="54">
        <v>0</v>
      </c>
      <c r="N794" s="53">
        <f t="shared" si="24"/>
        <v>0</v>
      </c>
      <c r="O794" s="53">
        <f t="shared" si="25"/>
        <v>0</v>
      </c>
    </row>
    <row r="795" spans="1:15" x14ac:dyDescent="0.2">
      <c r="A795" s="51" t="s">
        <v>3567</v>
      </c>
      <c r="B795" s="51" t="s">
        <v>3568</v>
      </c>
      <c r="C795" s="51" t="s">
        <v>53</v>
      </c>
      <c r="D795" s="51" t="s">
        <v>2960</v>
      </c>
      <c r="E795" s="51" t="s">
        <v>2959</v>
      </c>
      <c r="F795" s="52">
        <v>5708.7360514264374</v>
      </c>
      <c r="G795" s="52">
        <v>0</v>
      </c>
      <c r="H795" s="52">
        <v>0</v>
      </c>
      <c r="I795" s="52">
        <v>0</v>
      </c>
      <c r="J795" s="51">
        <v>1</v>
      </c>
      <c r="K795" s="54">
        <v>5000</v>
      </c>
      <c r="L795" s="51">
        <v>0</v>
      </c>
      <c r="M795" s="54">
        <v>0</v>
      </c>
      <c r="N795" s="53">
        <f t="shared" si="24"/>
        <v>5000</v>
      </c>
      <c r="O795" s="53">
        <f t="shared" si="25"/>
        <v>-5000</v>
      </c>
    </row>
    <row r="796" spans="1:15" x14ac:dyDescent="0.2">
      <c r="A796" s="51" t="s">
        <v>3567</v>
      </c>
      <c r="B796" s="51" t="s">
        <v>3568</v>
      </c>
      <c r="C796" s="51" t="s">
        <v>3718</v>
      </c>
      <c r="D796" s="51" t="s">
        <v>4000</v>
      </c>
      <c r="E796" s="51" t="s">
        <v>4001</v>
      </c>
      <c r="F796" s="52">
        <v>9.7150147870999994</v>
      </c>
      <c r="G796" s="52">
        <v>0</v>
      </c>
      <c r="H796" s="52">
        <v>0</v>
      </c>
      <c r="I796" s="52">
        <v>0</v>
      </c>
      <c r="J796" s="51">
        <v>0</v>
      </c>
      <c r="K796" s="54">
        <v>0</v>
      </c>
      <c r="L796" s="51">
        <v>0</v>
      </c>
      <c r="M796" s="54">
        <v>0</v>
      </c>
      <c r="N796" s="53">
        <f t="shared" si="24"/>
        <v>0</v>
      </c>
      <c r="O796" s="53">
        <f t="shared" si="25"/>
        <v>0</v>
      </c>
    </row>
    <row r="797" spans="1:15" x14ac:dyDescent="0.2">
      <c r="A797" s="51" t="s">
        <v>3567</v>
      </c>
      <c r="B797" s="51" t="s">
        <v>3568</v>
      </c>
      <c r="C797" s="51" t="s">
        <v>3583</v>
      </c>
      <c r="D797" s="51" t="s">
        <v>4006</v>
      </c>
      <c r="E797" s="51" t="s">
        <v>4007</v>
      </c>
      <c r="F797" s="52">
        <v>6.4393871454200002E-3</v>
      </c>
      <c r="G797" s="52">
        <v>0</v>
      </c>
      <c r="H797" s="52">
        <v>0</v>
      </c>
      <c r="I797" s="52">
        <v>0</v>
      </c>
      <c r="J797" s="51">
        <v>0</v>
      </c>
      <c r="K797" s="54">
        <v>0</v>
      </c>
      <c r="L797" s="51">
        <v>0</v>
      </c>
      <c r="M797" s="54">
        <v>0</v>
      </c>
      <c r="N797" s="53">
        <f t="shared" si="24"/>
        <v>0</v>
      </c>
      <c r="O797" s="53">
        <f t="shared" si="25"/>
        <v>0</v>
      </c>
    </row>
    <row r="798" spans="1:15" x14ac:dyDescent="0.2">
      <c r="A798" s="51" t="s">
        <v>3567</v>
      </c>
      <c r="B798" s="51" t="s">
        <v>3568</v>
      </c>
      <c r="C798" s="51" t="s">
        <v>77</v>
      </c>
      <c r="D798" s="51" t="s">
        <v>2911</v>
      </c>
      <c r="E798" s="51" t="s">
        <v>2910</v>
      </c>
      <c r="F798" s="52">
        <v>61.762320000000003</v>
      </c>
      <c r="G798" s="52">
        <v>0</v>
      </c>
      <c r="H798" s="52">
        <v>0</v>
      </c>
      <c r="I798" s="52">
        <v>0</v>
      </c>
      <c r="J798" s="51">
        <v>0</v>
      </c>
      <c r="K798" s="54">
        <v>0</v>
      </c>
      <c r="L798" s="51">
        <v>0</v>
      </c>
      <c r="M798" s="54">
        <v>0</v>
      </c>
      <c r="N798" s="53">
        <f t="shared" si="24"/>
        <v>0</v>
      </c>
      <c r="O798" s="53">
        <f t="shared" si="25"/>
        <v>0</v>
      </c>
    </row>
    <row r="799" spans="1:15" x14ac:dyDescent="0.2">
      <c r="A799" s="51" t="s">
        <v>3567</v>
      </c>
      <c r="B799" s="51" t="s">
        <v>3568</v>
      </c>
      <c r="C799" s="51" t="s">
        <v>67</v>
      </c>
      <c r="D799" s="51" t="s">
        <v>297</v>
      </c>
      <c r="E799" s="51" t="s">
        <v>296</v>
      </c>
      <c r="F799" s="52">
        <v>73.919499530214907</v>
      </c>
      <c r="G799" s="52">
        <v>12145</v>
      </c>
      <c r="H799" s="52">
        <v>132605</v>
      </c>
      <c r="I799" s="52">
        <v>144750</v>
      </c>
      <c r="J799" s="51">
        <v>0</v>
      </c>
      <c r="K799" s="54">
        <v>0</v>
      </c>
      <c r="L799" s="51">
        <v>3</v>
      </c>
      <c r="M799" s="54">
        <v>130000</v>
      </c>
      <c r="N799" s="53">
        <f t="shared" si="24"/>
        <v>-130000</v>
      </c>
      <c r="O799" s="53">
        <f t="shared" si="25"/>
        <v>130000</v>
      </c>
    </row>
    <row r="800" spans="1:15" x14ac:dyDescent="0.2">
      <c r="A800" s="51" t="s">
        <v>3567</v>
      </c>
      <c r="B800" s="51" t="s">
        <v>3568</v>
      </c>
      <c r="C800" s="51" t="s">
        <v>78</v>
      </c>
      <c r="D800" s="51" t="s">
        <v>1357</v>
      </c>
      <c r="E800" s="51" t="s">
        <v>1356</v>
      </c>
      <c r="F800" s="52">
        <v>6369.848925992851</v>
      </c>
      <c r="G800" s="52">
        <v>6000</v>
      </c>
      <c r="H800" s="52">
        <v>0</v>
      </c>
      <c r="I800" s="52">
        <v>6000</v>
      </c>
      <c r="J800" s="51">
        <v>2</v>
      </c>
      <c r="K800" s="54">
        <v>6000</v>
      </c>
      <c r="L800" s="51">
        <v>0</v>
      </c>
      <c r="M800" s="54">
        <v>0</v>
      </c>
      <c r="N800" s="53">
        <f t="shared" si="24"/>
        <v>6000</v>
      </c>
      <c r="O800" s="53">
        <f t="shared" si="25"/>
        <v>-6000</v>
      </c>
    </row>
    <row r="801" spans="1:15" x14ac:dyDescent="0.2">
      <c r="A801" s="51" t="s">
        <v>3567</v>
      </c>
      <c r="B801" s="51" t="s">
        <v>3568</v>
      </c>
      <c r="C801" s="51" t="s">
        <v>65</v>
      </c>
      <c r="D801" s="51" t="s">
        <v>3156</v>
      </c>
      <c r="E801" s="51" t="s">
        <v>3155</v>
      </c>
      <c r="F801" s="52">
        <v>1251.8324</v>
      </c>
      <c r="G801" s="52">
        <v>5905</v>
      </c>
      <c r="H801" s="52">
        <v>5060</v>
      </c>
      <c r="I801" s="52">
        <v>10965</v>
      </c>
      <c r="J801" s="51">
        <v>1</v>
      </c>
      <c r="K801" s="54">
        <v>5000</v>
      </c>
      <c r="L801" s="51">
        <v>0</v>
      </c>
      <c r="M801" s="54">
        <v>0</v>
      </c>
      <c r="N801" s="53">
        <f t="shared" si="24"/>
        <v>5000</v>
      </c>
      <c r="O801" s="53">
        <f t="shared" si="25"/>
        <v>-5000</v>
      </c>
    </row>
    <row r="802" spans="1:15" x14ac:dyDescent="0.2">
      <c r="A802" s="51" t="s">
        <v>3567</v>
      </c>
      <c r="B802" s="51" t="s">
        <v>3568</v>
      </c>
      <c r="C802" s="51" t="s">
        <v>82</v>
      </c>
      <c r="D802" s="51" t="s">
        <v>3316</v>
      </c>
      <c r="E802" s="51" t="s">
        <v>3315</v>
      </c>
      <c r="F802" s="52">
        <v>943.87546618744193</v>
      </c>
      <c r="G802" s="52">
        <v>0</v>
      </c>
      <c r="H802" s="52">
        <v>7445</v>
      </c>
      <c r="I802" s="52">
        <v>7445</v>
      </c>
      <c r="J802" s="51">
        <v>0</v>
      </c>
      <c r="K802" s="54">
        <v>0</v>
      </c>
      <c r="L802" s="51">
        <v>0</v>
      </c>
      <c r="M802" s="54">
        <v>0</v>
      </c>
      <c r="N802" s="53">
        <f t="shared" si="24"/>
        <v>0</v>
      </c>
      <c r="O802" s="53">
        <f t="shared" si="25"/>
        <v>0</v>
      </c>
    </row>
    <row r="803" spans="1:15" x14ac:dyDescent="0.2">
      <c r="A803" s="51" t="s">
        <v>3567</v>
      </c>
      <c r="B803" s="51" t="s">
        <v>3568</v>
      </c>
      <c r="C803" s="51" t="s">
        <v>3666</v>
      </c>
      <c r="D803" s="51" t="s">
        <v>3988</v>
      </c>
      <c r="E803" s="51" t="s">
        <v>3989</v>
      </c>
      <c r="F803" s="52">
        <v>0.84</v>
      </c>
      <c r="G803" s="52">
        <v>0</v>
      </c>
      <c r="H803" s="52">
        <v>0</v>
      </c>
      <c r="I803" s="52">
        <v>0</v>
      </c>
      <c r="J803" s="51">
        <v>0</v>
      </c>
      <c r="K803" s="54">
        <v>0</v>
      </c>
      <c r="L803" s="51">
        <v>0</v>
      </c>
      <c r="M803" s="54">
        <v>0</v>
      </c>
      <c r="N803" s="53">
        <f t="shared" si="24"/>
        <v>0</v>
      </c>
      <c r="O803" s="53">
        <f t="shared" si="25"/>
        <v>0</v>
      </c>
    </row>
    <row r="804" spans="1:15" x14ac:dyDescent="0.2">
      <c r="A804" s="51" t="s">
        <v>3567</v>
      </c>
      <c r="B804" s="51" t="s">
        <v>3568</v>
      </c>
      <c r="C804" s="51" t="s">
        <v>63</v>
      </c>
      <c r="D804" s="51" t="s">
        <v>3990</v>
      </c>
      <c r="E804" s="51" t="s">
        <v>3991</v>
      </c>
      <c r="F804" s="52">
        <v>3.3867541033368571</v>
      </c>
      <c r="G804" s="52">
        <v>0</v>
      </c>
      <c r="H804" s="52">
        <v>0</v>
      </c>
      <c r="I804" s="52">
        <v>0</v>
      </c>
      <c r="J804" s="51">
        <v>0</v>
      </c>
      <c r="K804" s="54">
        <v>0</v>
      </c>
      <c r="L804" s="51">
        <v>0</v>
      </c>
      <c r="M804" s="54">
        <v>0</v>
      </c>
      <c r="N804" s="53">
        <f t="shared" si="24"/>
        <v>0</v>
      </c>
      <c r="O804" s="53">
        <f t="shared" si="25"/>
        <v>0</v>
      </c>
    </row>
    <row r="805" spans="1:15" x14ac:dyDescent="0.2">
      <c r="A805" s="51" t="s">
        <v>3567</v>
      </c>
      <c r="B805" s="51" t="s">
        <v>3568</v>
      </c>
      <c r="C805" s="51" t="s">
        <v>87</v>
      </c>
      <c r="D805" s="51" t="s">
        <v>2293</v>
      </c>
      <c r="E805" s="51" t="s">
        <v>2292</v>
      </c>
      <c r="F805" s="52">
        <v>6622.6878621167643</v>
      </c>
      <c r="G805" s="52">
        <v>0</v>
      </c>
      <c r="H805" s="52">
        <v>0</v>
      </c>
      <c r="I805" s="52">
        <v>0</v>
      </c>
      <c r="J805" s="51">
        <v>1</v>
      </c>
      <c r="K805" s="54">
        <v>5000</v>
      </c>
      <c r="L805" s="51">
        <v>0</v>
      </c>
      <c r="M805" s="54">
        <v>0</v>
      </c>
      <c r="N805" s="53">
        <f t="shared" si="24"/>
        <v>5000</v>
      </c>
      <c r="O805" s="53">
        <f t="shared" si="25"/>
        <v>-5000</v>
      </c>
    </row>
    <row r="806" spans="1:15" x14ac:dyDescent="0.2">
      <c r="A806" s="51" t="s">
        <v>3567</v>
      </c>
      <c r="B806" s="51" t="s">
        <v>3568</v>
      </c>
      <c r="C806" s="51" t="s">
        <v>68</v>
      </c>
      <c r="D806" s="51" t="s">
        <v>3491</v>
      </c>
      <c r="E806" s="51" t="s">
        <v>3490</v>
      </c>
      <c r="F806" s="52">
        <v>14524.796200000001</v>
      </c>
      <c r="G806" s="52">
        <v>0</v>
      </c>
      <c r="H806" s="52">
        <v>0</v>
      </c>
      <c r="I806" s="52">
        <v>0</v>
      </c>
      <c r="J806" s="51">
        <v>1</v>
      </c>
      <c r="K806" s="54">
        <v>6000</v>
      </c>
      <c r="L806" s="51">
        <v>0</v>
      </c>
      <c r="M806" s="54">
        <v>0</v>
      </c>
      <c r="N806" s="53">
        <f t="shared" si="24"/>
        <v>6000</v>
      </c>
      <c r="O806" s="53">
        <f t="shared" si="25"/>
        <v>-6000</v>
      </c>
    </row>
    <row r="807" spans="1:15" x14ac:dyDescent="0.2">
      <c r="A807" s="51" t="s">
        <v>3567</v>
      </c>
      <c r="B807" s="51" t="s">
        <v>3568</v>
      </c>
      <c r="C807" s="51" t="s">
        <v>82</v>
      </c>
      <c r="D807" s="51" t="s">
        <v>2948</v>
      </c>
      <c r="E807" s="51" t="s">
        <v>2947</v>
      </c>
      <c r="F807" s="52">
        <v>4312.5240631229099</v>
      </c>
      <c r="G807" s="52">
        <v>4900</v>
      </c>
      <c r="H807" s="52">
        <v>0</v>
      </c>
      <c r="I807" s="52">
        <v>4900</v>
      </c>
      <c r="J807" s="51">
        <v>1</v>
      </c>
      <c r="K807" s="54">
        <v>6000</v>
      </c>
      <c r="L807" s="51">
        <v>0</v>
      </c>
      <c r="M807" s="54">
        <v>0</v>
      </c>
      <c r="N807" s="53">
        <f t="shared" si="24"/>
        <v>6000</v>
      </c>
      <c r="O807" s="53">
        <f t="shared" si="25"/>
        <v>-6000</v>
      </c>
    </row>
    <row r="808" spans="1:15" x14ac:dyDescent="0.2">
      <c r="A808" s="51" t="s">
        <v>3567</v>
      </c>
      <c r="B808" s="51" t="s">
        <v>3568</v>
      </c>
      <c r="C808" s="51" t="s">
        <v>3786</v>
      </c>
      <c r="D808" s="51" t="s">
        <v>4030</v>
      </c>
      <c r="E808" s="51" t="s">
        <v>4031</v>
      </c>
      <c r="F808" s="52">
        <v>1.09929951667522</v>
      </c>
      <c r="G808" s="52">
        <v>0</v>
      </c>
      <c r="H808" s="52">
        <v>0</v>
      </c>
      <c r="I808" s="52">
        <v>0</v>
      </c>
      <c r="J808" s="51">
        <v>0</v>
      </c>
      <c r="K808" s="54">
        <v>0</v>
      </c>
      <c r="L808" s="51">
        <v>0</v>
      </c>
      <c r="M808" s="54">
        <v>0</v>
      </c>
      <c r="N808" s="53">
        <f t="shared" si="24"/>
        <v>0</v>
      </c>
      <c r="O808" s="53">
        <f t="shared" si="25"/>
        <v>0</v>
      </c>
    </row>
    <row r="809" spans="1:15" x14ac:dyDescent="0.2">
      <c r="A809" s="51" t="s">
        <v>3567</v>
      </c>
      <c r="B809" s="51" t="s">
        <v>3568</v>
      </c>
      <c r="C809" s="51" t="s">
        <v>81</v>
      </c>
      <c r="D809" s="51" t="s">
        <v>424</v>
      </c>
      <c r="E809" s="51" t="s">
        <v>423</v>
      </c>
      <c r="F809" s="52">
        <v>5501.5817533274749</v>
      </c>
      <c r="G809" s="52">
        <v>15568</v>
      </c>
      <c r="H809" s="52">
        <v>50494.27</v>
      </c>
      <c r="I809" s="52">
        <v>66062.27</v>
      </c>
      <c r="J809" s="51">
        <v>1</v>
      </c>
      <c r="K809" s="54">
        <v>5000</v>
      </c>
      <c r="L809" s="51">
        <v>3</v>
      </c>
      <c r="M809" s="54">
        <v>77000</v>
      </c>
      <c r="N809" s="53">
        <f t="shared" si="24"/>
        <v>-72000</v>
      </c>
      <c r="O809" s="53">
        <f t="shared" si="25"/>
        <v>72000</v>
      </c>
    </row>
    <row r="810" spans="1:15" x14ac:dyDescent="0.2">
      <c r="A810" s="51" t="s">
        <v>3567</v>
      </c>
      <c r="B810" s="51" t="s">
        <v>3568</v>
      </c>
      <c r="C810" s="51" t="s">
        <v>75</v>
      </c>
      <c r="D810" s="51" t="s">
        <v>1755</v>
      </c>
      <c r="E810" s="51" t="s">
        <v>1754</v>
      </c>
      <c r="F810" s="52">
        <v>19509.116993321331</v>
      </c>
      <c r="G810" s="52">
        <v>2513</v>
      </c>
      <c r="H810" s="52">
        <v>0</v>
      </c>
      <c r="I810" s="52">
        <v>2513</v>
      </c>
      <c r="J810" s="51">
        <v>0</v>
      </c>
      <c r="K810" s="54">
        <v>0</v>
      </c>
      <c r="L810" s="51">
        <v>0</v>
      </c>
      <c r="M810" s="54">
        <v>0</v>
      </c>
      <c r="N810" s="53">
        <f t="shared" si="24"/>
        <v>0</v>
      </c>
      <c r="O810" s="53">
        <f t="shared" si="25"/>
        <v>0</v>
      </c>
    </row>
    <row r="811" spans="1:15" x14ac:dyDescent="0.2">
      <c r="A811" s="51" t="s">
        <v>3567</v>
      </c>
      <c r="B811" s="51" t="s">
        <v>3568</v>
      </c>
      <c r="C811" s="51" t="s">
        <v>79</v>
      </c>
      <c r="D811" s="51" t="s">
        <v>1610</v>
      </c>
      <c r="E811" s="51" t="s">
        <v>1609</v>
      </c>
      <c r="F811" s="52">
        <v>1247.6999000000001</v>
      </c>
      <c r="G811" s="52">
        <v>3900</v>
      </c>
      <c r="H811" s="52">
        <v>0</v>
      </c>
      <c r="I811" s="52">
        <v>3900</v>
      </c>
      <c r="J811" s="51">
        <v>1</v>
      </c>
      <c r="K811" s="54">
        <v>5000</v>
      </c>
      <c r="L811" s="51">
        <v>0</v>
      </c>
      <c r="M811" s="54">
        <v>0</v>
      </c>
      <c r="N811" s="53">
        <f t="shared" si="24"/>
        <v>5000</v>
      </c>
      <c r="O811" s="53">
        <f t="shared" si="25"/>
        <v>-5000</v>
      </c>
    </row>
    <row r="812" spans="1:15" x14ac:dyDescent="0.2">
      <c r="A812" s="51" t="s">
        <v>3567</v>
      </c>
      <c r="B812" s="51" t="s">
        <v>3568</v>
      </c>
      <c r="C812" s="51" t="s">
        <v>54</v>
      </c>
      <c r="D812" s="51" t="s">
        <v>3326</v>
      </c>
      <c r="E812" s="51" t="s">
        <v>3325</v>
      </c>
      <c r="F812" s="52">
        <v>6846.549</v>
      </c>
      <c r="G812" s="52">
        <v>1000</v>
      </c>
      <c r="H812" s="52">
        <v>4240</v>
      </c>
      <c r="I812" s="52">
        <v>5240</v>
      </c>
      <c r="J812" s="51">
        <v>0</v>
      </c>
      <c r="K812" s="54">
        <v>0</v>
      </c>
      <c r="L812" s="51">
        <v>1</v>
      </c>
      <c r="M812" s="54">
        <v>5000</v>
      </c>
      <c r="N812" s="53">
        <f t="shared" si="24"/>
        <v>-5000</v>
      </c>
      <c r="O812" s="53">
        <f t="shared" si="25"/>
        <v>5000</v>
      </c>
    </row>
    <row r="813" spans="1:15" x14ac:dyDescent="0.2">
      <c r="A813" s="51" t="s">
        <v>3567</v>
      </c>
      <c r="B813" s="51" t="s">
        <v>3568</v>
      </c>
      <c r="C813" s="51" t="s">
        <v>52</v>
      </c>
      <c r="D813" s="51" t="s">
        <v>3098</v>
      </c>
      <c r="E813" s="51" t="s">
        <v>3097</v>
      </c>
      <c r="F813" s="52">
        <v>7383.4906965730916</v>
      </c>
      <c r="G813" s="52">
        <v>5020</v>
      </c>
      <c r="H813" s="52">
        <v>2800</v>
      </c>
      <c r="I813" s="52">
        <v>7820</v>
      </c>
      <c r="J813" s="51">
        <v>1</v>
      </c>
      <c r="K813" s="54">
        <v>5000</v>
      </c>
      <c r="L813" s="51">
        <v>0</v>
      </c>
      <c r="M813" s="54">
        <v>0</v>
      </c>
      <c r="N813" s="53">
        <f t="shared" si="24"/>
        <v>5000</v>
      </c>
      <c r="O813" s="53">
        <f t="shared" si="25"/>
        <v>-5000</v>
      </c>
    </row>
    <row r="814" spans="1:15" x14ac:dyDescent="0.2">
      <c r="A814" s="51" t="s">
        <v>3567</v>
      </c>
      <c r="B814" s="51" t="s">
        <v>3568</v>
      </c>
      <c r="C814" s="51" t="s">
        <v>3653</v>
      </c>
      <c r="D814" s="51" t="s">
        <v>4028</v>
      </c>
      <c r="E814" s="51" t="s">
        <v>4029</v>
      </c>
      <c r="F814" s="52">
        <v>5.8278030912882706</v>
      </c>
      <c r="G814" s="52">
        <v>0</v>
      </c>
      <c r="H814" s="52">
        <v>0</v>
      </c>
      <c r="I814" s="52">
        <v>0</v>
      </c>
      <c r="J814" s="51">
        <v>0</v>
      </c>
      <c r="K814" s="54">
        <v>0</v>
      </c>
      <c r="L814" s="51">
        <v>0</v>
      </c>
      <c r="M814" s="54">
        <v>0</v>
      </c>
      <c r="N814" s="53">
        <f t="shared" si="24"/>
        <v>0</v>
      </c>
      <c r="O814" s="53">
        <f t="shared" si="25"/>
        <v>0</v>
      </c>
    </row>
    <row r="815" spans="1:15" x14ac:dyDescent="0.2">
      <c r="A815" s="51" t="s">
        <v>3567</v>
      </c>
      <c r="B815" s="51" t="s">
        <v>3568</v>
      </c>
      <c r="C815" s="51" t="s">
        <v>87</v>
      </c>
      <c r="D815" s="51" t="s">
        <v>194</v>
      </c>
      <c r="E815" s="51" t="s">
        <v>193</v>
      </c>
      <c r="F815" s="52">
        <v>1077.810315687952</v>
      </c>
      <c r="G815" s="52">
        <v>1400</v>
      </c>
      <c r="H815" s="52">
        <v>1470</v>
      </c>
      <c r="I815" s="52">
        <v>2870</v>
      </c>
      <c r="J815" s="51">
        <v>0</v>
      </c>
      <c r="K815" s="54">
        <v>0</v>
      </c>
      <c r="L815" s="51">
        <v>1</v>
      </c>
      <c r="M815" s="54">
        <v>12000</v>
      </c>
      <c r="N815" s="53">
        <f t="shared" si="24"/>
        <v>-12000</v>
      </c>
      <c r="O815" s="53">
        <f t="shared" si="25"/>
        <v>12000</v>
      </c>
    </row>
    <row r="816" spans="1:15" x14ac:dyDescent="0.2">
      <c r="A816" s="51" t="s">
        <v>3567</v>
      </c>
      <c r="B816" s="51" t="s">
        <v>3568</v>
      </c>
      <c r="C816" s="51" t="s">
        <v>55</v>
      </c>
      <c r="D816" s="51" t="s">
        <v>4036</v>
      </c>
      <c r="E816" s="51" t="s">
        <v>4037</v>
      </c>
      <c r="F816" s="52">
        <v>5.5367317677751844</v>
      </c>
      <c r="G816" s="52">
        <v>0</v>
      </c>
      <c r="H816" s="52">
        <v>0</v>
      </c>
      <c r="I816" s="52">
        <v>0</v>
      </c>
      <c r="J816" s="51">
        <v>0</v>
      </c>
      <c r="K816" s="54">
        <v>0</v>
      </c>
      <c r="L816" s="51">
        <v>0</v>
      </c>
      <c r="M816" s="54">
        <v>0</v>
      </c>
      <c r="N816" s="53">
        <f t="shared" si="24"/>
        <v>0</v>
      </c>
      <c r="O816" s="53">
        <f t="shared" si="25"/>
        <v>0</v>
      </c>
    </row>
    <row r="817" spans="1:15" x14ac:dyDescent="0.2">
      <c r="A817" s="51" t="s">
        <v>3567</v>
      </c>
      <c r="B817" s="51" t="s">
        <v>3568</v>
      </c>
      <c r="C817" s="51" t="s">
        <v>64</v>
      </c>
      <c r="D817" s="51" t="s">
        <v>617</v>
      </c>
      <c r="E817" s="51" t="s">
        <v>616</v>
      </c>
      <c r="F817" s="52">
        <v>31033.780500000001</v>
      </c>
      <c r="G817" s="52">
        <v>20740</v>
      </c>
      <c r="H817" s="52">
        <v>16280</v>
      </c>
      <c r="I817" s="52">
        <v>37020</v>
      </c>
      <c r="J817" s="51">
        <v>3</v>
      </c>
      <c r="K817" s="54">
        <v>30000</v>
      </c>
      <c r="L817" s="51">
        <v>0</v>
      </c>
      <c r="M817" s="54">
        <v>0</v>
      </c>
      <c r="N817" s="53">
        <f t="shared" si="24"/>
        <v>30000</v>
      </c>
      <c r="O817" s="53">
        <f t="shared" si="25"/>
        <v>-30000</v>
      </c>
    </row>
    <row r="818" spans="1:15" x14ac:dyDescent="0.2">
      <c r="A818" s="51" t="s">
        <v>3567</v>
      </c>
      <c r="B818" s="51" t="s">
        <v>3568</v>
      </c>
      <c r="C818" s="51" t="s">
        <v>85</v>
      </c>
      <c r="D818" s="51" t="s">
        <v>1313</v>
      </c>
      <c r="E818" s="51" t="s">
        <v>1312</v>
      </c>
      <c r="F818" s="52">
        <v>16582.566114575049</v>
      </c>
      <c r="G818" s="52">
        <v>0</v>
      </c>
      <c r="H818" s="52">
        <v>57620</v>
      </c>
      <c r="I818" s="52">
        <v>57620</v>
      </c>
      <c r="J818" s="51">
        <v>0</v>
      </c>
      <c r="K818" s="54">
        <v>0</v>
      </c>
      <c r="L818" s="51">
        <v>1</v>
      </c>
      <c r="M818" s="54">
        <v>65000</v>
      </c>
      <c r="N818" s="53">
        <f t="shared" si="24"/>
        <v>-65000</v>
      </c>
      <c r="O818" s="53">
        <f t="shared" si="25"/>
        <v>65000</v>
      </c>
    </row>
    <row r="819" spans="1:15" x14ac:dyDescent="0.2">
      <c r="A819" s="51" t="s">
        <v>3567</v>
      </c>
      <c r="B819" s="51" t="s">
        <v>3568</v>
      </c>
      <c r="C819" s="51" t="s">
        <v>70</v>
      </c>
      <c r="D819" s="51" t="s">
        <v>2257</v>
      </c>
      <c r="E819" s="51" t="s">
        <v>2256</v>
      </c>
      <c r="F819" s="52">
        <v>2026.10895</v>
      </c>
      <c r="G819" s="52">
        <v>13050</v>
      </c>
      <c r="H819" s="52">
        <v>0</v>
      </c>
      <c r="I819" s="52">
        <v>13050</v>
      </c>
      <c r="J819" s="51">
        <v>3</v>
      </c>
      <c r="K819" s="54">
        <v>15000</v>
      </c>
      <c r="L819" s="51">
        <v>0</v>
      </c>
      <c r="M819" s="54">
        <v>0</v>
      </c>
      <c r="N819" s="53">
        <f t="shared" si="24"/>
        <v>15000</v>
      </c>
      <c r="O819" s="53">
        <f t="shared" si="25"/>
        <v>-15000</v>
      </c>
    </row>
    <row r="820" spans="1:15" x14ac:dyDescent="0.2">
      <c r="A820" s="51" t="s">
        <v>3567</v>
      </c>
      <c r="B820" s="51" t="s">
        <v>3568</v>
      </c>
      <c r="C820" s="51" t="s">
        <v>92</v>
      </c>
      <c r="D820" s="51" t="s">
        <v>1771</v>
      </c>
      <c r="E820" s="51" t="s">
        <v>1770</v>
      </c>
      <c r="F820" s="52">
        <v>32539.285367660199</v>
      </c>
      <c r="G820" s="52">
        <v>3670</v>
      </c>
      <c r="H820" s="52">
        <v>7630</v>
      </c>
      <c r="I820" s="52">
        <v>11300</v>
      </c>
      <c r="J820" s="51">
        <v>0</v>
      </c>
      <c r="K820" s="54">
        <v>0</v>
      </c>
      <c r="L820" s="51">
        <v>1</v>
      </c>
      <c r="M820" s="54">
        <v>5000</v>
      </c>
      <c r="N820" s="53">
        <f t="shared" si="24"/>
        <v>-5000</v>
      </c>
      <c r="O820" s="53">
        <f t="shared" si="25"/>
        <v>5000</v>
      </c>
    </row>
    <row r="821" spans="1:15" x14ac:dyDescent="0.2">
      <c r="A821" s="51" t="s">
        <v>3567</v>
      </c>
      <c r="B821" s="51" t="s">
        <v>3568</v>
      </c>
      <c r="C821" s="51" t="s">
        <v>3653</v>
      </c>
      <c r="D821" s="51" t="s">
        <v>4004</v>
      </c>
      <c r="E821" s="51" t="s">
        <v>4005</v>
      </c>
      <c r="F821" s="52">
        <v>24.323915781770509</v>
      </c>
      <c r="G821" s="52">
        <v>0</v>
      </c>
      <c r="H821" s="52">
        <v>0</v>
      </c>
      <c r="I821" s="52">
        <v>0</v>
      </c>
      <c r="J821" s="51">
        <v>0</v>
      </c>
      <c r="K821" s="54">
        <v>0</v>
      </c>
      <c r="L821" s="51">
        <v>0</v>
      </c>
      <c r="M821" s="54">
        <v>0</v>
      </c>
      <c r="N821" s="53">
        <f t="shared" si="24"/>
        <v>0</v>
      </c>
      <c r="O821" s="53">
        <f t="shared" si="25"/>
        <v>0</v>
      </c>
    </row>
    <row r="822" spans="1:15" x14ac:dyDescent="0.2">
      <c r="A822" s="51" t="s">
        <v>3567</v>
      </c>
      <c r="B822" s="51" t="s">
        <v>3568</v>
      </c>
      <c r="C822" s="51" t="s">
        <v>77</v>
      </c>
      <c r="D822" s="51" t="s">
        <v>2990</v>
      </c>
      <c r="E822" s="51" t="s">
        <v>2989</v>
      </c>
      <c r="F822" s="52">
        <v>303.27409150600249</v>
      </c>
      <c r="G822" s="52">
        <v>300</v>
      </c>
      <c r="H822" s="52">
        <v>10990</v>
      </c>
      <c r="I822" s="52">
        <v>11290</v>
      </c>
      <c r="J822" s="51">
        <v>0</v>
      </c>
      <c r="K822" s="54">
        <v>0</v>
      </c>
      <c r="L822" s="51">
        <v>1</v>
      </c>
      <c r="M822" s="54">
        <v>12000</v>
      </c>
      <c r="N822" s="53">
        <f t="shared" si="24"/>
        <v>-12000</v>
      </c>
      <c r="O822" s="53">
        <f t="shared" si="25"/>
        <v>12000</v>
      </c>
    </row>
    <row r="823" spans="1:15" x14ac:dyDescent="0.2">
      <c r="A823" s="51" t="s">
        <v>3567</v>
      </c>
      <c r="B823" s="51" t="s">
        <v>3568</v>
      </c>
      <c r="C823" s="51" t="s">
        <v>73</v>
      </c>
      <c r="D823" s="51" t="s">
        <v>3501</v>
      </c>
      <c r="E823" s="51" t="s">
        <v>3500</v>
      </c>
      <c r="F823" s="52">
        <v>85.792500000000004</v>
      </c>
      <c r="G823" s="52">
        <v>0</v>
      </c>
      <c r="H823" s="52">
        <v>200</v>
      </c>
      <c r="I823" s="52">
        <v>200</v>
      </c>
      <c r="J823" s="51">
        <v>0</v>
      </c>
      <c r="K823" s="54">
        <v>0</v>
      </c>
      <c r="L823" s="51">
        <v>1</v>
      </c>
      <c r="M823" s="54">
        <v>8000</v>
      </c>
      <c r="N823" s="53">
        <f t="shared" si="24"/>
        <v>-8000</v>
      </c>
      <c r="O823" s="53">
        <f t="shared" si="25"/>
        <v>8000</v>
      </c>
    </row>
    <row r="824" spans="1:15" x14ac:dyDescent="0.2">
      <c r="A824" s="51" t="s">
        <v>3567</v>
      </c>
      <c r="B824" s="51" t="s">
        <v>3568</v>
      </c>
      <c r="C824" s="51" t="s">
        <v>3619</v>
      </c>
      <c r="D824" s="51" t="s">
        <v>3992</v>
      </c>
      <c r="E824" s="51" t="s">
        <v>3993</v>
      </c>
      <c r="F824" s="52">
        <v>0.3362</v>
      </c>
      <c r="G824" s="52">
        <v>0</v>
      </c>
      <c r="H824" s="52">
        <v>0</v>
      </c>
      <c r="I824" s="52">
        <v>0</v>
      </c>
      <c r="J824" s="51">
        <v>0</v>
      </c>
      <c r="K824" s="54">
        <v>0</v>
      </c>
      <c r="L824" s="51">
        <v>0</v>
      </c>
      <c r="M824" s="54">
        <v>0</v>
      </c>
      <c r="N824" s="53">
        <f t="shared" si="24"/>
        <v>0</v>
      </c>
      <c r="O824" s="53">
        <f t="shared" si="25"/>
        <v>0</v>
      </c>
    </row>
    <row r="825" spans="1:15" x14ac:dyDescent="0.2">
      <c r="A825" s="51" t="s">
        <v>3567</v>
      </c>
      <c r="B825" s="51" t="s">
        <v>3568</v>
      </c>
      <c r="C825" s="51" t="s">
        <v>74</v>
      </c>
      <c r="D825" s="51" t="s">
        <v>2226</v>
      </c>
      <c r="E825" s="51" t="s">
        <v>2225</v>
      </c>
      <c r="F825" s="52">
        <v>963.89864999999998</v>
      </c>
      <c r="G825" s="52">
        <v>0</v>
      </c>
      <c r="H825" s="52">
        <v>0</v>
      </c>
      <c r="I825" s="52">
        <v>0</v>
      </c>
      <c r="J825" s="51">
        <v>0</v>
      </c>
      <c r="K825" s="54">
        <v>0</v>
      </c>
      <c r="L825" s="51">
        <v>0</v>
      </c>
      <c r="M825" s="54">
        <v>0</v>
      </c>
      <c r="N825" s="53">
        <f t="shared" si="24"/>
        <v>0</v>
      </c>
      <c r="O825" s="53">
        <f t="shared" si="25"/>
        <v>0</v>
      </c>
    </row>
    <row r="826" spans="1:15" x14ac:dyDescent="0.2">
      <c r="A826" s="51" t="s">
        <v>3567</v>
      </c>
      <c r="B826" s="51" t="s">
        <v>3568</v>
      </c>
      <c r="C826" s="51" t="s">
        <v>70</v>
      </c>
      <c r="D826" s="51" t="s">
        <v>843</v>
      </c>
      <c r="E826" s="51" t="s">
        <v>842</v>
      </c>
      <c r="F826" s="52">
        <v>9438.3757500095999</v>
      </c>
      <c r="G826" s="52">
        <v>0</v>
      </c>
      <c r="H826" s="52">
        <v>0</v>
      </c>
      <c r="I826" s="52">
        <v>0</v>
      </c>
      <c r="J826" s="51">
        <v>1</v>
      </c>
      <c r="K826" s="54">
        <v>5000</v>
      </c>
      <c r="L826" s="51">
        <v>0</v>
      </c>
      <c r="M826" s="54">
        <v>0</v>
      </c>
      <c r="N826" s="53">
        <f t="shared" si="24"/>
        <v>5000</v>
      </c>
      <c r="O826" s="53">
        <f t="shared" si="25"/>
        <v>-5000</v>
      </c>
    </row>
    <row r="827" spans="1:15" x14ac:dyDescent="0.2">
      <c r="A827" s="51" t="s">
        <v>3567</v>
      </c>
      <c r="B827" s="51" t="s">
        <v>3568</v>
      </c>
      <c r="C827" s="51" t="s">
        <v>53</v>
      </c>
      <c r="D827" s="51" t="s">
        <v>1804</v>
      </c>
      <c r="E827" s="51" t="s">
        <v>1803</v>
      </c>
      <c r="F827" s="52">
        <v>7974.8679000000002</v>
      </c>
      <c r="G827" s="52">
        <v>1000</v>
      </c>
      <c r="H827" s="52">
        <v>1000</v>
      </c>
      <c r="I827" s="52">
        <v>2000</v>
      </c>
      <c r="J827" s="51">
        <v>1</v>
      </c>
      <c r="K827" s="54">
        <v>6000</v>
      </c>
      <c r="L827" s="51">
        <v>0</v>
      </c>
      <c r="M827" s="54">
        <v>0</v>
      </c>
      <c r="N827" s="53">
        <f t="shared" si="24"/>
        <v>6000</v>
      </c>
      <c r="O827" s="53">
        <f t="shared" si="25"/>
        <v>-6000</v>
      </c>
    </row>
    <row r="828" spans="1:15" x14ac:dyDescent="0.2">
      <c r="A828" s="51" t="s">
        <v>3567</v>
      </c>
      <c r="B828" s="51" t="s">
        <v>3568</v>
      </c>
      <c r="C828" s="51" t="s">
        <v>52</v>
      </c>
      <c r="D828" s="51" t="s">
        <v>2204</v>
      </c>
      <c r="E828" s="51" t="s">
        <v>2203</v>
      </c>
      <c r="F828" s="52">
        <v>5043.5731782610001</v>
      </c>
      <c r="G828" s="52">
        <v>2000</v>
      </c>
      <c r="H828" s="52">
        <v>23000</v>
      </c>
      <c r="I828" s="52">
        <v>25000</v>
      </c>
      <c r="J828" s="51">
        <v>0</v>
      </c>
      <c r="K828" s="54">
        <v>0</v>
      </c>
      <c r="L828" s="51">
        <v>1</v>
      </c>
      <c r="M828" s="54">
        <v>27000</v>
      </c>
      <c r="N828" s="53">
        <f t="shared" si="24"/>
        <v>-27000</v>
      </c>
      <c r="O828" s="53">
        <f t="shared" si="25"/>
        <v>27000</v>
      </c>
    </row>
    <row r="829" spans="1:15" x14ac:dyDescent="0.2">
      <c r="A829" s="51" t="s">
        <v>3567</v>
      </c>
      <c r="B829" s="51" t="s">
        <v>3568</v>
      </c>
      <c r="C829" s="51" t="s">
        <v>56</v>
      </c>
      <c r="D829" s="51" t="s">
        <v>772</v>
      </c>
      <c r="E829" s="51" t="s">
        <v>771</v>
      </c>
      <c r="F829" s="52">
        <v>5007.7865587073184</v>
      </c>
      <c r="G829" s="52">
        <v>0</v>
      </c>
      <c r="H829" s="52">
        <v>0</v>
      </c>
      <c r="I829" s="52">
        <v>0</v>
      </c>
      <c r="J829" s="51">
        <v>1</v>
      </c>
      <c r="K829" s="54">
        <v>5000</v>
      </c>
      <c r="L829" s="51">
        <v>0</v>
      </c>
      <c r="M829" s="54">
        <v>0</v>
      </c>
      <c r="N829" s="53">
        <f t="shared" si="24"/>
        <v>5000</v>
      </c>
      <c r="O829" s="53">
        <f t="shared" si="25"/>
        <v>-5000</v>
      </c>
    </row>
    <row r="830" spans="1:15" x14ac:dyDescent="0.2">
      <c r="A830" s="51" t="s">
        <v>3567</v>
      </c>
      <c r="B830" s="51" t="s">
        <v>3568</v>
      </c>
      <c r="C830" s="51" t="s">
        <v>64</v>
      </c>
      <c r="D830" s="51" t="s">
        <v>2933</v>
      </c>
      <c r="E830" s="51" t="s">
        <v>2932</v>
      </c>
      <c r="F830" s="52">
        <v>16985.12615390998</v>
      </c>
      <c r="G830" s="52">
        <v>5050</v>
      </c>
      <c r="H830" s="52">
        <v>8628</v>
      </c>
      <c r="I830" s="52">
        <v>13678</v>
      </c>
      <c r="J830" s="51">
        <v>0</v>
      </c>
      <c r="K830" s="54">
        <v>0</v>
      </c>
      <c r="L830" s="51">
        <v>1</v>
      </c>
      <c r="M830" s="54">
        <v>5000</v>
      </c>
      <c r="N830" s="53">
        <f t="shared" si="24"/>
        <v>-5000</v>
      </c>
      <c r="O830" s="53">
        <f t="shared" si="25"/>
        <v>5000</v>
      </c>
    </row>
    <row r="831" spans="1:15" x14ac:dyDescent="0.2">
      <c r="A831" s="51" t="s">
        <v>3567</v>
      </c>
      <c r="B831" s="51" t="s">
        <v>3568</v>
      </c>
      <c r="C831" s="51" t="s">
        <v>65</v>
      </c>
      <c r="D831" s="51" t="s">
        <v>1398</v>
      </c>
      <c r="E831" s="51" t="s">
        <v>1281</v>
      </c>
      <c r="F831" s="52">
        <v>12031.0304</v>
      </c>
      <c r="G831" s="52">
        <v>3530</v>
      </c>
      <c r="H831" s="52">
        <v>5040</v>
      </c>
      <c r="I831" s="52">
        <v>8570</v>
      </c>
      <c r="J831" s="51">
        <v>1</v>
      </c>
      <c r="K831" s="54">
        <v>5000</v>
      </c>
      <c r="L831" s="51">
        <v>0</v>
      </c>
      <c r="M831" s="54">
        <v>0</v>
      </c>
      <c r="N831" s="53">
        <f t="shared" si="24"/>
        <v>5000</v>
      </c>
      <c r="O831" s="53">
        <f t="shared" si="25"/>
        <v>-5000</v>
      </c>
    </row>
    <row r="832" spans="1:15" x14ac:dyDescent="0.2">
      <c r="A832" s="51" t="s">
        <v>3567</v>
      </c>
      <c r="B832" s="51" t="s">
        <v>3568</v>
      </c>
      <c r="C832" s="51" t="s">
        <v>68</v>
      </c>
      <c r="D832" s="51" t="s">
        <v>2387</v>
      </c>
      <c r="E832" s="51" t="s">
        <v>1247</v>
      </c>
      <c r="F832" s="52">
        <v>2.6322999999999999</v>
      </c>
      <c r="G832" s="52">
        <v>0</v>
      </c>
      <c r="H832" s="52">
        <v>0</v>
      </c>
      <c r="I832" s="52">
        <v>0</v>
      </c>
      <c r="J832" s="51">
        <v>0</v>
      </c>
      <c r="K832" s="54">
        <v>0</v>
      </c>
      <c r="L832" s="51">
        <v>0</v>
      </c>
      <c r="M832" s="54">
        <v>0</v>
      </c>
      <c r="N832" s="53">
        <f t="shared" si="24"/>
        <v>0</v>
      </c>
      <c r="O832" s="53">
        <f t="shared" si="25"/>
        <v>0</v>
      </c>
    </row>
    <row r="833" spans="1:15" x14ac:dyDescent="0.2">
      <c r="A833" s="51" t="s">
        <v>3567</v>
      </c>
      <c r="B833" s="51" t="s">
        <v>3568</v>
      </c>
      <c r="C833" s="51" t="s">
        <v>57</v>
      </c>
      <c r="D833" s="51" t="s">
        <v>1751</v>
      </c>
      <c r="E833" s="51" t="s">
        <v>1750</v>
      </c>
      <c r="F833" s="52">
        <v>118.2286174416423</v>
      </c>
      <c r="G833" s="52">
        <v>980</v>
      </c>
      <c r="H833" s="52">
        <v>19140</v>
      </c>
      <c r="I833" s="52">
        <v>20120</v>
      </c>
      <c r="J833" s="51">
        <v>0</v>
      </c>
      <c r="K833" s="54">
        <v>0</v>
      </c>
      <c r="L833" s="51">
        <v>0</v>
      </c>
      <c r="M833" s="54">
        <v>0</v>
      </c>
      <c r="N833" s="53">
        <f t="shared" si="24"/>
        <v>0</v>
      </c>
      <c r="O833" s="53">
        <f t="shared" si="25"/>
        <v>0</v>
      </c>
    </row>
    <row r="834" spans="1:15" x14ac:dyDescent="0.2">
      <c r="A834" s="51" t="s">
        <v>3567</v>
      </c>
      <c r="B834" s="51" t="s">
        <v>3568</v>
      </c>
      <c r="C834" s="51" t="s">
        <v>85</v>
      </c>
      <c r="D834" s="51" t="s">
        <v>2124</v>
      </c>
      <c r="E834" s="51" t="s">
        <v>2123</v>
      </c>
      <c r="F834" s="52">
        <v>2652.9477734774309</v>
      </c>
      <c r="G834" s="52">
        <v>425</v>
      </c>
      <c r="H834" s="52">
        <v>2600</v>
      </c>
      <c r="I834" s="52">
        <v>3025</v>
      </c>
      <c r="J834" s="51">
        <v>0</v>
      </c>
      <c r="K834" s="54">
        <v>0</v>
      </c>
      <c r="L834" s="51">
        <v>1</v>
      </c>
      <c r="M834" s="54">
        <v>45000</v>
      </c>
      <c r="N834" s="53">
        <f t="shared" si="24"/>
        <v>-45000</v>
      </c>
      <c r="O834" s="53">
        <f t="shared" si="25"/>
        <v>45000</v>
      </c>
    </row>
    <row r="835" spans="1:15" x14ac:dyDescent="0.2">
      <c r="A835" s="51" t="s">
        <v>3567</v>
      </c>
      <c r="B835" s="51" t="s">
        <v>3568</v>
      </c>
      <c r="C835" s="51" t="s">
        <v>85</v>
      </c>
      <c r="D835" s="51" t="s">
        <v>629</v>
      </c>
      <c r="E835" s="51" t="s">
        <v>628</v>
      </c>
      <c r="F835" s="52">
        <v>15408.37058771965</v>
      </c>
      <c r="G835" s="52">
        <v>7470</v>
      </c>
      <c r="H835" s="52">
        <v>20907</v>
      </c>
      <c r="I835" s="52">
        <v>28377</v>
      </c>
      <c r="J835" s="51">
        <v>0</v>
      </c>
      <c r="K835" s="54">
        <v>0</v>
      </c>
      <c r="L835" s="51">
        <v>1</v>
      </c>
      <c r="M835" s="54">
        <v>20000</v>
      </c>
      <c r="N835" s="53">
        <f t="shared" ref="N835:N898" si="26">K835-M835</f>
        <v>-20000</v>
      </c>
      <c r="O835" s="53">
        <f t="shared" ref="O835:O898" si="27">M835-K835</f>
        <v>20000</v>
      </c>
    </row>
    <row r="836" spans="1:15" x14ac:dyDescent="0.2">
      <c r="A836" s="51" t="s">
        <v>3567</v>
      </c>
      <c r="B836" s="51" t="s">
        <v>3568</v>
      </c>
      <c r="C836" s="51" t="s">
        <v>66</v>
      </c>
      <c r="D836" s="51" t="s">
        <v>4026</v>
      </c>
      <c r="E836" s="51" t="s">
        <v>4027</v>
      </c>
      <c r="F836" s="52">
        <v>4.1773999999999996</v>
      </c>
      <c r="G836" s="52">
        <v>0</v>
      </c>
      <c r="H836" s="52">
        <v>0</v>
      </c>
      <c r="I836" s="52">
        <v>0</v>
      </c>
      <c r="J836" s="51">
        <v>0</v>
      </c>
      <c r="K836" s="54">
        <v>0</v>
      </c>
      <c r="L836" s="51">
        <v>0</v>
      </c>
      <c r="M836" s="54">
        <v>0</v>
      </c>
      <c r="N836" s="53">
        <f t="shared" si="26"/>
        <v>0</v>
      </c>
      <c r="O836" s="53">
        <f t="shared" si="27"/>
        <v>0</v>
      </c>
    </row>
    <row r="837" spans="1:15" x14ac:dyDescent="0.2">
      <c r="A837" s="51" t="s">
        <v>3567</v>
      </c>
      <c r="B837" s="51" t="s">
        <v>3568</v>
      </c>
      <c r="C837" s="51" t="s">
        <v>83</v>
      </c>
      <c r="D837" s="51" t="s">
        <v>1368</v>
      </c>
      <c r="E837" s="51" t="s">
        <v>1367</v>
      </c>
      <c r="F837" s="52">
        <v>4684.2133999999996</v>
      </c>
      <c r="G837" s="52">
        <v>0</v>
      </c>
      <c r="H837" s="52">
        <v>0</v>
      </c>
      <c r="I837" s="52">
        <v>0</v>
      </c>
      <c r="J837" s="51">
        <v>1</v>
      </c>
      <c r="K837" s="54">
        <v>4500</v>
      </c>
      <c r="L837" s="51">
        <v>0</v>
      </c>
      <c r="M837" s="54">
        <v>0</v>
      </c>
      <c r="N837" s="53">
        <f t="shared" si="26"/>
        <v>4500</v>
      </c>
      <c r="O837" s="53">
        <f t="shared" si="27"/>
        <v>-4500</v>
      </c>
    </row>
    <row r="838" spans="1:15" x14ac:dyDescent="0.2">
      <c r="A838" s="51" t="s">
        <v>3567</v>
      </c>
      <c r="B838" s="51" t="s">
        <v>3568</v>
      </c>
      <c r="C838" s="51" t="s">
        <v>81</v>
      </c>
      <c r="D838" s="51" t="s">
        <v>601</v>
      </c>
      <c r="E838" s="51" t="s">
        <v>600</v>
      </c>
      <c r="F838" s="52">
        <v>1131.710347</v>
      </c>
      <c r="G838" s="52">
        <v>6330</v>
      </c>
      <c r="H838" s="52">
        <v>0</v>
      </c>
      <c r="I838" s="52">
        <v>6330</v>
      </c>
      <c r="J838" s="51">
        <v>0</v>
      </c>
      <c r="K838" s="54">
        <v>0</v>
      </c>
      <c r="L838" s="51">
        <v>1</v>
      </c>
      <c r="M838" s="54">
        <v>5000</v>
      </c>
      <c r="N838" s="53">
        <f t="shared" si="26"/>
        <v>-5000</v>
      </c>
      <c r="O838" s="53">
        <f t="shared" si="27"/>
        <v>5000</v>
      </c>
    </row>
    <row r="839" spans="1:15" x14ac:dyDescent="0.2">
      <c r="A839" s="51" t="s">
        <v>3567</v>
      </c>
      <c r="B839" s="51" t="s">
        <v>3568</v>
      </c>
      <c r="C839" s="51" t="s">
        <v>3944</v>
      </c>
      <c r="D839" s="51" t="s">
        <v>4022</v>
      </c>
      <c r="E839" s="51" t="s">
        <v>4023</v>
      </c>
      <c r="F839" s="52">
        <v>1.0581</v>
      </c>
      <c r="G839" s="52">
        <v>0</v>
      </c>
      <c r="H839" s="52">
        <v>0</v>
      </c>
      <c r="I839" s="52">
        <v>0</v>
      </c>
      <c r="J839" s="51">
        <v>0</v>
      </c>
      <c r="K839" s="54">
        <v>0</v>
      </c>
      <c r="L839" s="51">
        <v>0</v>
      </c>
      <c r="M839" s="54">
        <v>0</v>
      </c>
      <c r="N839" s="53">
        <f t="shared" si="26"/>
        <v>0</v>
      </c>
      <c r="O839" s="53">
        <f t="shared" si="27"/>
        <v>0</v>
      </c>
    </row>
    <row r="840" spans="1:15" x14ac:dyDescent="0.2">
      <c r="A840" s="51" t="s">
        <v>3567</v>
      </c>
      <c r="B840" s="51" t="s">
        <v>3568</v>
      </c>
      <c r="C840" s="51" t="s">
        <v>3707</v>
      </c>
      <c r="D840" s="51" t="s">
        <v>4016</v>
      </c>
      <c r="E840" s="51" t="s">
        <v>4017</v>
      </c>
      <c r="F840" s="52">
        <v>4.5148792398021076</v>
      </c>
      <c r="G840" s="52">
        <v>0</v>
      </c>
      <c r="H840" s="52">
        <v>0</v>
      </c>
      <c r="I840" s="52">
        <v>0</v>
      </c>
      <c r="J840" s="51">
        <v>0</v>
      </c>
      <c r="K840" s="54">
        <v>0</v>
      </c>
      <c r="L840" s="51">
        <v>0</v>
      </c>
      <c r="M840" s="54">
        <v>0</v>
      </c>
      <c r="N840" s="53">
        <f t="shared" si="26"/>
        <v>0</v>
      </c>
      <c r="O840" s="53">
        <f t="shared" si="27"/>
        <v>0</v>
      </c>
    </row>
    <row r="841" spans="1:15" x14ac:dyDescent="0.2">
      <c r="A841" s="51" t="s">
        <v>3567</v>
      </c>
      <c r="B841" s="51" t="s">
        <v>3568</v>
      </c>
      <c r="C841" s="51" t="s">
        <v>65</v>
      </c>
      <c r="D841" s="51" t="s">
        <v>4018</v>
      </c>
      <c r="E841" s="51" t="s">
        <v>4019</v>
      </c>
      <c r="F841" s="52">
        <v>9.7598000000000003</v>
      </c>
      <c r="G841" s="52">
        <v>0</v>
      </c>
      <c r="H841" s="52">
        <v>0</v>
      </c>
      <c r="I841" s="52">
        <v>0</v>
      </c>
      <c r="J841" s="51">
        <v>0</v>
      </c>
      <c r="K841" s="54">
        <v>0</v>
      </c>
      <c r="L841" s="51">
        <v>0</v>
      </c>
      <c r="M841" s="54">
        <v>0</v>
      </c>
      <c r="N841" s="53">
        <f t="shared" si="26"/>
        <v>0</v>
      </c>
      <c r="O841" s="53">
        <f t="shared" si="27"/>
        <v>0</v>
      </c>
    </row>
    <row r="842" spans="1:15" x14ac:dyDescent="0.2">
      <c r="A842" s="51" t="s">
        <v>3567</v>
      </c>
      <c r="B842" s="51" t="s">
        <v>3568</v>
      </c>
      <c r="C842" s="51" t="s">
        <v>83</v>
      </c>
      <c r="D842" s="51" t="s">
        <v>1541</v>
      </c>
      <c r="E842" s="51" t="s">
        <v>1540</v>
      </c>
      <c r="F842" s="52">
        <v>5661.225804076852</v>
      </c>
      <c r="G842" s="52">
        <v>1400</v>
      </c>
      <c r="H842" s="52">
        <v>1000</v>
      </c>
      <c r="I842" s="52">
        <v>2400</v>
      </c>
      <c r="J842" s="51">
        <v>1</v>
      </c>
      <c r="K842" s="54">
        <v>5000</v>
      </c>
      <c r="L842" s="51">
        <v>0</v>
      </c>
      <c r="M842" s="54">
        <v>0</v>
      </c>
      <c r="N842" s="53">
        <f t="shared" si="26"/>
        <v>5000</v>
      </c>
      <c r="O842" s="53">
        <f t="shared" si="27"/>
        <v>-5000</v>
      </c>
    </row>
    <row r="843" spans="1:15" x14ac:dyDescent="0.2">
      <c r="A843" s="51" t="s">
        <v>3567</v>
      </c>
      <c r="B843" s="51" t="s">
        <v>3568</v>
      </c>
      <c r="C843" s="51" t="s">
        <v>77</v>
      </c>
      <c r="D843" s="51" t="s">
        <v>3084</v>
      </c>
      <c r="E843" s="51" t="s">
        <v>3083</v>
      </c>
      <c r="F843" s="52">
        <v>986.65579100000002</v>
      </c>
      <c r="G843" s="52">
        <v>0</v>
      </c>
      <c r="H843" s="52">
        <v>0</v>
      </c>
      <c r="I843" s="52">
        <v>0</v>
      </c>
      <c r="J843" s="51">
        <v>0</v>
      </c>
      <c r="K843" s="54">
        <v>0</v>
      </c>
      <c r="L843" s="51">
        <v>1</v>
      </c>
      <c r="M843" s="54">
        <v>5000</v>
      </c>
      <c r="N843" s="53">
        <f t="shared" si="26"/>
        <v>-5000</v>
      </c>
      <c r="O843" s="53">
        <f t="shared" si="27"/>
        <v>5000</v>
      </c>
    </row>
    <row r="844" spans="1:15" x14ac:dyDescent="0.2">
      <c r="A844" s="51" t="s">
        <v>3567</v>
      </c>
      <c r="B844" s="51" t="s">
        <v>3568</v>
      </c>
      <c r="C844" s="51" t="s">
        <v>92</v>
      </c>
      <c r="D844" s="51" t="s">
        <v>200</v>
      </c>
      <c r="E844" s="51" t="s">
        <v>199</v>
      </c>
      <c r="F844" s="52">
        <v>837.08299999999997</v>
      </c>
      <c r="G844" s="52">
        <v>830</v>
      </c>
      <c r="H844" s="52">
        <v>5880</v>
      </c>
      <c r="I844" s="52">
        <v>6710</v>
      </c>
      <c r="J844" s="51">
        <v>1</v>
      </c>
      <c r="K844" s="54">
        <v>5000</v>
      </c>
      <c r="L844" s="51">
        <v>1</v>
      </c>
      <c r="M844" s="54">
        <v>10000</v>
      </c>
      <c r="N844" s="53">
        <f t="shared" si="26"/>
        <v>-5000</v>
      </c>
      <c r="O844" s="53">
        <f t="shared" si="27"/>
        <v>5000</v>
      </c>
    </row>
    <row r="845" spans="1:15" x14ac:dyDescent="0.2">
      <c r="A845" s="51" t="s">
        <v>3567</v>
      </c>
      <c r="B845" s="51" t="s">
        <v>3568</v>
      </c>
      <c r="C845" s="51" t="s">
        <v>57</v>
      </c>
      <c r="D845" s="51" t="s">
        <v>1400</v>
      </c>
      <c r="E845" s="51" t="s">
        <v>1399</v>
      </c>
      <c r="F845" s="52">
        <v>2.525152197907043</v>
      </c>
      <c r="G845" s="52">
        <v>50</v>
      </c>
      <c r="H845" s="52">
        <v>0</v>
      </c>
      <c r="I845" s="52">
        <v>50</v>
      </c>
      <c r="J845" s="51">
        <v>0</v>
      </c>
      <c r="K845" s="54">
        <v>0</v>
      </c>
      <c r="L845" s="51">
        <v>0</v>
      </c>
      <c r="M845" s="54">
        <v>0</v>
      </c>
      <c r="N845" s="53">
        <f t="shared" si="26"/>
        <v>0</v>
      </c>
      <c r="O845" s="53">
        <f t="shared" si="27"/>
        <v>0</v>
      </c>
    </row>
    <row r="846" spans="1:15" x14ac:dyDescent="0.2">
      <c r="A846" s="51" t="s">
        <v>3567</v>
      </c>
      <c r="B846" s="51" t="s">
        <v>3568</v>
      </c>
      <c r="C846" s="51" t="s">
        <v>60</v>
      </c>
      <c r="D846" s="51" t="s">
        <v>450</v>
      </c>
      <c r="E846" s="51" t="s">
        <v>449</v>
      </c>
      <c r="F846" s="52">
        <v>7498.8739202996876</v>
      </c>
      <c r="G846" s="52">
        <v>3290</v>
      </c>
      <c r="H846" s="52">
        <v>3020</v>
      </c>
      <c r="I846" s="52">
        <v>6310</v>
      </c>
      <c r="J846" s="51">
        <v>0</v>
      </c>
      <c r="K846" s="54">
        <v>0</v>
      </c>
      <c r="L846" s="51">
        <v>1</v>
      </c>
      <c r="M846" s="54">
        <v>6000</v>
      </c>
      <c r="N846" s="53">
        <f t="shared" si="26"/>
        <v>-6000</v>
      </c>
      <c r="O846" s="53">
        <f t="shared" si="27"/>
        <v>6000</v>
      </c>
    </row>
    <row r="847" spans="1:15" x14ac:dyDescent="0.2">
      <c r="A847" s="51" t="s">
        <v>3567</v>
      </c>
      <c r="B847" s="51" t="s">
        <v>3568</v>
      </c>
      <c r="C847" s="51" t="s">
        <v>3653</v>
      </c>
      <c r="D847" s="51" t="s">
        <v>3996</v>
      </c>
      <c r="E847" s="51" t="s">
        <v>3997</v>
      </c>
      <c r="F847" s="52">
        <v>1.8762721623222101</v>
      </c>
      <c r="G847" s="52">
        <v>0</v>
      </c>
      <c r="H847" s="52">
        <v>0</v>
      </c>
      <c r="I847" s="52">
        <v>0</v>
      </c>
      <c r="J847" s="51">
        <v>0</v>
      </c>
      <c r="K847" s="54">
        <v>0</v>
      </c>
      <c r="L847" s="51">
        <v>0</v>
      </c>
      <c r="M847" s="54">
        <v>0</v>
      </c>
      <c r="N847" s="53">
        <f t="shared" si="26"/>
        <v>0</v>
      </c>
      <c r="O847" s="53">
        <f t="shared" si="27"/>
        <v>0</v>
      </c>
    </row>
    <row r="848" spans="1:15" x14ac:dyDescent="0.2">
      <c r="A848" s="51" t="s">
        <v>3567</v>
      </c>
      <c r="B848" s="51" t="s">
        <v>3568</v>
      </c>
      <c r="C848" s="51" t="s">
        <v>63</v>
      </c>
      <c r="D848" s="51" t="s">
        <v>573</v>
      </c>
      <c r="E848" s="51" t="s">
        <v>572</v>
      </c>
      <c r="F848" s="52">
        <v>25717.938246950391</v>
      </c>
      <c r="G848" s="52">
        <v>10630</v>
      </c>
      <c r="H848" s="52">
        <v>7980</v>
      </c>
      <c r="I848" s="52">
        <v>18610</v>
      </c>
      <c r="J848" s="51">
        <v>1</v>
      </c>
      <c r="K848" s="54">
        <v>6000</v>
      </c>
      <c r="L848" s="51">
        <v>0</v>
      </c>
      <c r="M848" s="54">
        <v>0</v>
      </c>
      <c r="N848" s="53">
        <f t="shared" si="26"/>
        <v>6000</v>
      </c>
      <c r="O848" s="53">
        <f t="shared" si="27"/>
        <v>-6000</v>
      </c>
    </row>
    <row r="849" spans="1:15" x14ac:dyDescent="0.2">
      <c r="A849" s="51" t="s">
        <v>3567</v>
      </c>
      <c r="B849" s="51" t="s">
        <v>3568</v>
      </c>
      <c r="C849" s="51" t="s">
        <v>85</v>
      </c>
      <c r="D849" s="51" t="s">
        <v>2146</v>
      </c>
      <c r="E849" s="51" t="s">
        <v>2145</v>
      </c>
      <c r="F849" s="52">
        <v>2841.39180590359</v>
      </c>
      <c r="G849" s="52">
        <v>8180</v>
      </c>
      <c r="H849" s="52">
        <v>3680</v>
      </c>
      <c r="I849" s="52">
        <v>11860</v>
      </c>
      <c r="J849" s="51">
        <v>0</v>
      </c>
      <c r="K849" s="54">
        <v>0</v>
      </c>
      <c r="L849" s="51">
        <v>1</v>
      </c>
      <c r="M849" s="54">
        <v>5000</v>
      </c>
      <c r="N849" s="53">
        <f t="shared" si="26"/>
        <v>-5000</v>
      </c>
      <c r="O849" s="53">
        <f t="shared" si="27"/>
        <v>5000</v>
      </c>
    </row>
    <row r="850" spans="1:15" x14ac:dyDescent="0.2">
      <c r="A850" s="51" t="s">
        <v>3567</v>
      </c>
      <c r="B850" s="51" t="s">
        <v>3568</v>
      </c>
      <c r="C850" s="51" t="s">
        <v>54</v>
      </c>
      <c r="D850" s="51" t="s">
        <v>1391</v>
      </c>
      <c r="E850" s="51" t="s">
        <v>1390</v>
      </c>
      <c r="F850" s="52">
        <v>4805.7705999999998</v>
      </c>
      <c r="G850" s="52">
        <v>6000</v>
      </c>
      <c r="H850" s="52">
        <v>0</v>
      </c>
      <c r="I850" s="52">
        <v>6000</v>
      </c>
      <c r="J850" s="51">
        <v>1</v>
      </c>
      <c r="K850" s="54">
        <v>5000</v>
      </c>
      <c r="L850" s="51">
        <v>0</v>
      </c>
      <c r="M850" s="54">
        <v>0</v>
      </c>
      <c r="N850" s="53">
        <f t="shared" si="26"/>
        <v>5000</v>
      </c>
      <c r="O850" s="53">
        <f t="shared" si="27"/>
        <v>-5000</v>
      </c>
    </row>
    <row r="851" spans="1:15" x14ac:dyDescent="0.2">
      <c r="A851" s="51" t="s">
        <v>3567</v>
      </c>
      <c r="B851" s="51" t="s">
        <v>3568</v>
      </c>
      <c r="C851" s="51" t="s">
        <v>3756</v>
      </c>
      <c r="D851" s="51" t="s">
        <v>3976</v>
      </c>
      <c r="E851" s="51" t="s">
        <v>3977</v>
      </c>
      <c r="F851" s="52">
        <v>2.7225194666751338</v>
      </c>
      <c r="G851" s="52">
        <v>0</v>
      </c>
      <c r="H851" s="52">
        <v>0</v>
      </c>
      <c r="I851" s="52">
        <v>0</v>
      </c>
      <c r="J851" s="51">
        <v>0</v>
      </c>
      <c r="K851" s="54">
        <v>0</v>
      </c>
      <c r="L851" s="51">
        <v>0</v>
      </c>
      <c r="M851" s="54">
        <v>0</v>
      </c>
      <c r="N851" s="53">
        <f t="shared" si="26"/>
        <v>0</v>
      </c>
      <c r="O851" s="53">
        <f t="shared" si="27"/>
        <v>0</v>
      </c>
    </row>
    <row r="852" spans="1:15" x14ac:dyDescent="0.2">
      <c r="A852" s="51" t="s">
        <v>3567</v>
      </c>
      <c r="B852" s="51" t="s">
        <v>3568</v>
      </c>
      <c r="C852" s="51" t="s">
        <v>3627</v>
      </c>
      <c r="D852" s="51" t="s">
        <v>3998</v>
      </c>
      <c r="E852" s="51" t="s">
        <v>3999</v>
      </c>
      <c r="F852" s="52">
        <v>1.735673318450444</v>
      </c>
      <c r="G852" s="52">
        <v>0</v>
      </c>
      <c r="H852" s="52">
        <v>0</v>
      </c>
      <c r="I852" s="52">
        <v>0</v>
      </c>
      <c r="J852" s="51">
        <v>0</v>
      </c>
      <c r="K852" s="54">
        <v>0</v>
      </c>
      <c r="L852" s="51">
        <v>0</v>
      </c>
      <c r="M852" s="54">
        <v>0</v>
      </c>
      <c r="N852" s="53">
        <f t="shared" si="26"/>
        <v>0</v>
      </c>
      <c r="O852" s="53">
        <f t="shared" si="27"/>
        <v>0</v>
      </c>
    </row>
    <row r="853" spans="1:15" x14ac:dyDescent="0.2">
      <c r="A853" s="51" t="s">
        <v>3567</v>
      </c>
      <c r="B853" s="51" t="s">
        <v>3568</v>
      </c>
      <c r="C853" s="51" t="s">
        <v>3756</v>
      </c>
      <c r="D853" s="51" t="s">
        <v>3994</v>
      </c>
      <c r="E853" s="51" t="s">
        <v>3995</v>
      </c>
      <c r="F853" s="52">
        <v>13.14535944651624</v>
      </c>
      <c r="G853" s="52">
        <v>0</v>
      </c>
      <c r="H853" s="52">
        <v>0</v>
      </c>
      <c r="I853" s="52">
        <v>0</v>
      </c>
      <c r="J853" s="51">
        <v>0</v>
      </c>
      <c r="K853" s="54">
        <v>0</v>
      </c>
      <c r="L853" s="51">
        <v>0</v>
      </c>
      <c r="M853" s="54">
        <v>0</v>
      </c>
      <c r="N853" s="53">
        <f t="shared" si="26"/>
        <v>0</v>
      </c>
      <c r="O853" s="53">
        <f t="shared" si="27"/>
        <v>0</v>
      </c>
    </row>
    <row r="854" spans="1:15" x14ac:dyDescent="0.2">
      <c r="A854" s="51" t="s">
        <v>3567</v>
      </c>
      <c r="B854" s="51" t="s">
        <v>3568</v>
      </c>
      <c r="C854" s="51" t="s">
        <v>57</v>
      </c>
      <c r="D854" s="51" t="s">
        <v>4008</v>
      </c>
      <c r="E854" s="51" t="s">
        <v>4009</v>
      </c>
      <c r="F854" s="52">
        <v>1.5115499999999999</v>
      </c>
      <c r="G854" s="52">
        <v>0</v>
      </c>
      <c r="H854" s="52">
        <v>0</v>
      </c>
      <c r="I854" s="52">
        <v>0</v>
      </c>
      <c r="J854" s="51">
        <v>0</v>
      </c>
      <c r="K854" s="54">
        <v>0</v>
      </c>
      <c r="L854" s="51">
        <v>0</v>
      </c>
      <c r="M854" s="54">
        <v>0</v>
      </c>
      <c r="N854" s="53">
        <f t="shared" si="26"/>
        <v>0</v>
      </c>
      <c r="O854" s="53">
        <f t="shared" si="27"/>
        <v>0</v>
      </c>
    </row>
    <row r="855" spans="1:15" x14ac:dyDescent="0.2">
      <c r="A855" s="51" t="s">
        <v>3567</v>
      </c>
      <c r="B855" s="51" t="s">
        <v>3568</v>
      </c>
      <c r="C855" s="51" t="s">
        <v>85</v>
      </c>
      <c r="D855" s="51" t="s">
        <v>1527</v>
      </c>
      <c r="E855" s="51" t="s">
        <v>1526</v>
      </c>
      <c r="F855" s="52">
        <v>17905.277473226641</v>
      </c>
      <c r="G855" s="52">
        <v>8000</v>
      </c>
      <c r="H855" s="52">
        <v>11930</v>
      </c>
      <c r="I855" s="52">
        <v>19930</v>
      </c>
      <c r="J855" s="51">
        <v>1</v>
      </c>
      <c r="K855" s="54">
        <v>5000</v>
      </c>
      <c r="L855" s="51">
        <v>0</v>
      </c>
      <c r="M855" s="54">
        <v>0</v>
      </c>
      <c r="N855" s="53">
        <f t="shared" si="26"/>
        <v>5000</v>
      </c>
      <c r="O855" s="53">
        <f t="shared" si="27"/>
        <v>-5000</v>
      </c>
    </row>
    <row r="856" spans="1:15" x14ac:dyDescent="0.2">
      <c r="A856" s="51" t="s">
        <v>3567</v>
      </c>
      <c r="B856" s="51" t="s">
        <v>3568</v>
      </c>
      <c r="C856" s="51" t="s">
        <v>80</v>
      </c>
      <c r="D856" s="51" t="s">
        <v>3257</v>
      </c>
      <c r="E856" s="51" t="s">
        <v>3256</v>
      </c>
      <c r="F856" s="52">
        <v>1544.8334</v>
      </c>
      <c r="G856" s="52">
        <v>3500</v>
      </c>
      <c r="H856" s="52">
        <v>0</v>
      </c>
      <c r="I856" s="52">
        <v>3500</v>
      </c>
      <c r="J856" s="51">
        <v>1</v>
      </c>
      <c r="K856" s="54">
        <v>5000</v>
      </c>
      <c r="L856" s="51">
        <v>0</v>
      </c>
      <c r="M856" s="54">
        <v>0</v>
      </c>
      <c r="N856" s="53">
        <f t="shared" si="26"/>
        <v>5000</v>
      </c>
      <c r="O856" s="53">
        <f t="shared" si="27"/>
        <v>-5000</v>
      </c>
    </row>
    <row r="857" spans="1:15" x14ac:dyDescent="0.2">
      <c r="A857" s="51" t="s">
        <v>3567</v>
      </c>
      <c r="B857" s="51" t="s">
        <v>3568</v>
      </c>
      <c r="C857" s="51" t="s">
        <v>62</v>
      </c>
      <c r="D857" s="51" t="s">
        <v>1523</v>
      </c>
      <c r="E857" s="51" t="s">
        <v>1522</v>
      </c>
      <c r="F857" s="52">
        <v>2.4910999999999999</v>
      </c>
      <c r="G857" s="52">
        <v>1050</v>
      </c>
      <c r="H857" s="52">
        <v>612</v>
      </c>
      <c r="I857" s="52">
        <v>1662</v>
      </c>
      <c r="J857" s="51">
        <v>0</v>
      </c>
      <c r="K857" s="54">
        <v>0</v>
      </c>
      <c r="L857" s="51">
        <v>0</v>
      </c>
      <c r="M857" s="54">
        <v>0</v>
      </c>
      <c r="N857" s="53">
        <f t="shared" si="26"/>
        <v>0</v>
      </c>
      <c r="O857" s="53">
        <f t="shared" si="27"/>
        <v>0</v>
      </c>
    </row>
    <row r="858" spans="1:15" x14ac:dyDescent="0.2">
      <c r="A858" s="51" t="s">
        <v>3567</v>
      </c>
      <c r="B858" s="51" t="s">
        <v>3568</v>
      </c>
      <c r="C858" s="51" t="s">
        <v>52</v>
      </c>
      <c r="D858" s="51" t="s">
        <v>3147</v>
      </c>
      <c r="E858" s="51" t="s">
        <v>3146</v>
      </c>
      <c r="F858" s="52">
        <v>201.77670718698829</v>
      </c>
      <c r="G858" s="52">
        <v>2614</v>
      </c>
      <c r="H858" s="52">
        <v>790</v>
      </c>
      <c r="I858" s="52">
        <v>3404</v>
      </c>
      <c r="J858" s="51">
        <v>0</v>
      </c>
      <c r="K858" s="54">
        <v>0</v>
      </c>
      <c r="L858" s="51">
        <v>1</v>
      </c>
      <c r="M858" s="54">
        <v>10000</v>
      </c>
      <c r="N858" s="53">
        <f t="shared" si="26"/>
        <v>-10000</v>
      </c>
      <c r="O858" s="53">
        <f t="shared" si="27"/>
        <v>10000</v>
      </c>
    </row>
    <row r="859" spans="1:15" x14ac:dyDescent="0.2">
      <c r="A859" s="51" t="s">
        <v>3567</v>
      </c>
      <c r="B859" s="51" t="s">
        <v>3568</v>
      </c>
      <c r="C859" s="51" t="s">
        <v>54</v>
      </c>
      <c r="D859" s="51" t="s">
        <v>1266</v>
      </c>
      <c r="E859" s="51" t="s">
        <v>1265</v>
      </c>
      <c r="F859" s="52">
        <v>21637.8557</v>
      </c>
      <c r="G859" s="52">
        <v>500</v>
      </c>
      <c r="H859" s="52">
        <v>2450</v>
      </c>
      <c r="I859" s="52">
        <v>2950</v>
      </c>
      <c r="J859" s="51">
        <v>0</v>
      </c>
      <c r="K859" s="54">
        <v>0</v>
      </c>
      <c r="L859" s="51">
        <v>1</v>
      </c>
      <c r="M859" s="54">
        <v>20000</v>
      </c>
      <c r="N859" s="53">
        <f t="shared" si="26"/>
        <v>-20000</v>
      </c>
      <c r="O859" s="53">
        <f t="shared" si="27"/>
        <v>20000</v>
      </c>
    </row>
    <row r="860" spans="1:15" x14ac:dyDescent="0.2">
      <c r="A860" s="51" t="s">
        <v>3567</v>
      </c>
      <c r="B860" s="51" t="s">
        <v>3568</v>
      </c>
      <c r="C860" s="51" t="s">
        <v>74</v>
      </c>
      <c r="D860" s="51" t="s">
        <v>3086</v>
      </c>
      <c r="E860" s="51" t="s">
        <v>3085</v>
      </c>
      <c r="F860" s="52">
        <v>20857.683440789649</v>
      </c>
      <c r="G860" s="52">
        <v>38120</v>
      </c>
      <c r="H860" s="52">
        <v>22500</v>
      </c>
      <c r="I860" s="52">
        <v>60620</v>
      </c>
      <c r="J860" s="51">
        <v>0</v>
      </c>
      <c r="K860" s="54">
        <v>0</v>
      </c>
      <c r="L860" s="51">
        <v>1</v>
      </c>
      <c r="M860" s="54">
        <v>5000</v>
      </c>
      <c r="N860" s="53">
        <f t="shared" si="26"/>
        <v>-5000</v>
      </c>
      <c r="O860" s="53">
        <f t="shared" si="27"/>
        <v>5000</v>
      </c>
    </row>
    <row r="861" spans="1:15" x14ac:dyDescent="0.2">
      <c r="A861" s="51" t="s">
        <v>3567</v>
      </c>
      <c r="B861" s="51" t="s">
        <v>3568</v>
      </c>
      <c r="C861" s="51" t="s">
        <v>3876</v>
      </c>
      <c r="D861" s="51" t="s">
        <v>3980</v>
      </c>
      <c r="E861" s="51" t="s">
        <v>3981</v>
      </c>
      <c r="F861" s="52">
        <v>5.6017102953739998E-3</v>
      </c>
      <c r="G861" s="52">
        <v>0</v>
      </c>
      <c r="H861" s="52">
        <v>0</v>
      </c>
      <c r="I861" s="52">
        <v>0</v>
      </c>
      <c r="J861" s="51">
        <v>0</v>
      </c>
      <c r="K861" s="54">
        <v>0</v>
      </c>
      <c r="L861" s="51">
        <v>0</v>
      </c>
      <c r="M861" s="54">
        <v>0</v>
      </c>
      <c r="N861" s="53">
        <f t="shared" si="26"/>
        <v>0</v>
      </c>
      <c r="O861" s="53">
        <f t="shared" si="27"/>
        <v>0</v>
      </c>
    </row>
    <row r="862" spans="1:15" x14ac:dyDescent="0.2">
      <c r="A862" s="51" t="s">
        <v>3567</v>
      </c>
      <c r="B862" s="51" t="s">
        <v>3568</v>
      </c>
      <c r="C862" s="51" t="s">
        <v>67</v>
      </c>
      <c r="D862" s="51" t="s">
        <v>1952</v>
      </c>
      <c r="E862" s="51" t="s">
        <v>1951</v>
      </c>
      <c r="F862" s="52">
        <v>15045.54687628693</v>
      </c>
      <c r="G862" s="52">
        <v>2000</v>
      </c>
      <c r="H862" s="52">
        <v>32664</v>
      </c>
      <c r="I862" s="52">
        <v>34664</v>
      </c>
      <c r="J862" s="51">
        <v>1</v>
      </c>
      <c r="K862" s="54">
        <v>5000</v>
      </c>
      <c r="L862" s="51">
        <v>1</v>
      </c>
      <c r="M862" s="54">
        <v>80000</v>
      </c>
      <c r="N862" s="53">
        <f t="shared" si="26"/>
        <v>-75000</v>
      </c>
      <c r="O862" s="53">
        <f t="shared" si="27"/>
        <v>75000</v>
      </c>
    </row>
    <row r="863" spans="1:15" x14ac:dyDescent="0.2">
      <c r="A863" s="51" t="s">
        <v>3567</v>
      </c>
      <c r="B863" s="51" t="s">
        <v>3568</v>
      </c>
      <c r="C863" s="51" t="s">
        <v>62</v>
      </c>
      <c r="D863" s="51" t="s">
        <v>710</v>
      </c>
      <c r="E863" s="51" t="s">
        <v>709</v>
      </c>
      <c r="F863" s="52">
        <v>1702.9507557689251</v>
      </c>
      <c r="G863" s="52">
        <v>300</v>
      </c>
      <c r="H863" s="52">
        <v>1615</v>
      </c>
      <c r="I863" s="52">
        <v>1915</v>
      </c>
      <c r="J863" s="51">
        <v>0</v>
      </c>
      <c r="K863" s="54">
        <v>0</v>
      </c>
      <c r="L863" s="51">
        <v>1</v>
      </c>
      <c r="M863" s="54">
        <v>35000</v>
      </c>
      <c r="N863" s="53">
        <f t="shared" si="26"/>
        <v>-35000</v>
      </c>
      <c r="O863" s="53">
        <f t="shared" si="27"/>
        <v>35000</v>
      </c>
    </row>
    <row r="864" spans="1:15" x14ac:dyDescent="0.2">
      <c r="A864" s="51" t="s">
        <v>3567</v>
      </c>
      <c r="B864" s="51" t="s">
        <v>3568</v>
      </c>
      <c r="C864" s="51" t="s">
        <v>85</v>
      </c>
      <c r="D864" s="51" t="s">
        <v>2574</v>
      </c>
      <c r="E864" s="51" t="s">
        <v>2573</v>
      </c>
      <c r="F864" s="52">
        <v>17412.212824927759</v>
      </c>
      <c r="G864" s="52">
        <v>3660</v>
      </c>
      <c r="H864" s="52">
        <v>36120</v>
      </c>
      <c r="I864" s="52">
        <v>39780</v>
      </c>
      <c r="J864" s="51">
        <v>0</v>
      </c>
      <c r="K864" s="54">
        <v>0</v>
      </c>
      <c r="L864" s="51">
        <v>1</v>
      </c>
      <c r="M864" s="54">
        <v>30000</v>
      </c>
      <c r="N864" s="53">
        <f t="shared" si="26"/>
        <v>-30000</v>
      </c>
      <c r="O864" s="53">
        <f t="shared" si="27"/>
        <v>30000</v>
      </c>
    </row>
    <row r="865" spans="1:15" x14ac:dyDescent="0.2">
      <c r="A865" s="51" t="s">
        <v>3567</v>
      </c>
      <c r="B865" s="51" t="s">
        <v>3568</v>
      </c>
      <c r="C865" s="51" t="s">
        <v>86</v>
      </c>
      <c r="D865" s="51" t="s">
        <v>2604</v>
      </c>
      <c r="E865" s="51" t="s">
        <v>1178</v>
      </c>
      <c r="F865" s="52">
        <v>10826.056</v>
      </c>
      <c r="G865" s="52">
        <v>7310</v>
      </c>
      <c r="H865" s="52">
        <v>3040</v>
      </c>
      <c r="I865" s="52">
        <v>10350</v>
      </c>
      <c r="J865" s="51">
        <v>2</v>
      </c>
      <c r="K865" s="54">
        <v>15000</v>
      </c>
      <c r="L865" s="51">
        <v>0</v>
      </c>
      <c r="M865" s="54">
        <v>0</v>
      </c>
      <c r="N865" s="53">
        <f t="shared" si="26"/>
        <v>15000</v>
      </c>
      <c r="O865" s="53">
        <f t="shared" si="27"/>
        <v>-15000</v>
      </c>
    </row>
    <row r="866" spans="1:15" x14ac:dyDescent="0.2">
      <c r="A866" s="51" t="s">
        <v>3567</v>
      </c>
      <c r="B866" s="51" t="s">
        <v>3568</v>
      </c>
      <c r="C866" s="51" t="s">
        <v>3876</v>
      </c>
      <c r="D866" s="51" t="s">
        <v>4034</v>
      </c>
      <c r="E866" s="51" t="s">
        <v>4035</v>
      </c>
      <c r="F866" s="52">
        <v>0.56917565340932941</v>
      </c>
      <c r="G866" s="52">
        <v>0</v>
      </c>
      <c r="H866" s="52">
        <v>0</v>
      </c>
      <c r="I866" s="52">
        <v>0</v>
      </c>
      <c r="J866" s="51">
        <v>0</v>
      </c>
      <c r="K866" s="54">
        <v>0</v>
      </c>
      <c r="L866" s="51">
        <v>0</v>
      </c>
      <c r="M866" s="54">
        <v>0</v>
      </c>
      <c r="N866" s="53">
        <f t="shared" si="26"/>
        <v>0</v>
      </c>
      <c r="O866" s="53">
        <f t="shared" si="27"/>
        <v>0</v>
      </c>
    </row>
    <row r="867" spans="1:15" x14ac:dyDescent="0.2">
      <c r="A867" s="51" t="s">
        <v>3567</v>
      </c>
      <c r="B867" s="51" t="s">
        <v>3568</v>
      </c>
      <c r="C867" s="51" t="s">
        <v>81</v>
      </c>
      <c r="D867" s="51" t="s">
        <v>1443</v>
      </c>
      <c r="E867" s="51" t="s">
        <v>1442</v>
      </c>
      <c r="F867" s="52">
        <v>60.893085999999997</v>
      </c>
      <c r="G867" s="52">
        <v>0</v>
      </c>
      <c r="H867" s="52">
        <v>4998</v>
      </c>
      <c r="I867" s="52">
        <v>4998</v>
      </c>
      <c r="J867" s="51">
        <v>0</v>
      </c>
      <c r="K867" s="54">
        <v>0</v>
      </c>
      <c r="L867" s="51">
        <v>1</v>
      </c>
      <c r="M867" s="54">
        <v>5000</v>
      </c>
      <c r="N867" s="53">
        <f t="shared" si="26"/>
        <v>-5000</v>
      </c>
      <c r="O867" s="53">
        <f t="shared" si="27"/>
        <v>5000</v>
      </c>
    </row>
    <row r="868" spans="1:15" x14ac:dyDescent="0.2">
      <c r="A868" s="51" t="s">
        <v>3567</v>
      </c>
      <c r="B868" s="51" t="s">
        <v>3568</v>
      </c>
      <c r="C868" s="51" t="s">
        <v>84</v>
      </c>
      <c r="D868" s="51" t="s">
        <v>3031</v>
      </c>
      <c r="E868" s="51" t="s">
        <v>3030</v>
      </c>
      <c r="F868" s="52">
        <v>2162.8238999999999</v>
      </c>
      <c r="G868" s="52">
        <v>3720</v>
      </c>
      <c r="H868" s="52">
        <v>20375</v>
      </c>
      <c r="I868" s="52">
        <v>24095</v>
      </c>
      <c r="J868" s="51">
        <v>0</v>
      </c>
      <c r="K868" s="54">
        <v>0</v>
      </c>
      <c r="L868" s="51">
        <v>3</v>
      </c>
      <c r="M868" s="54">
        <v>55000</v>
      </c>
      <c r="N868" s="53">
        <f t="shared" si="26"/>
        <v>-55000</v>
      </c>
      <c r="O868" s="53">
        <f t="shared" si="27"/>
        <v>55000</v>
      </c>
    </row>
    <row r="869" spans="1:15" x14ac:dyDescent="0.2">
      <c r="A869" s="51" t="s">
        <v>3567</v>
      </c>
      <c r="B869" s="51" t="s">
        <v>3568</v>
      </c>
      <c r="C869" s="51" t="s">
        <v>86</v>
      </c>
      <c r="D869" s="51" t="s">
        <v>2013</v>
      </c>
      <c r="E869" s="51" t="s">
        <v>2012</v>
      </c>
      <c r="F869" s="52">
        <v>7323.8396875599547</v>
      </c>
      <c r="G869" s="52">
        <v>500</v>
      </c>
      <c r="H869" s="52">
        <v>0</v>
      </c>
      <c r="I869" s="52">
        <v>500</v>
      </c>
      <c r="J869" s="51">
        <v>1</v>
      </c>
      <c r="K869" s="54">
        <v>7000</v>
      </c>
      <c r="L869" s="51">
        <v>0</v>
      </c>
      <c r="M869" s="54">
        <v>0</v>
      </c>
      <c r="N869" s="53">
        <f t="shared" si="26"/>
        <v>7000</v>
      </c>
      <c r="O869" s="53">
        <f t="shared" si="27"/>
        <v>-7000</v>
      </c>
    </row>
    <row r="870" spans="1:15" x14ac:dyDescent="0.2">
      <c r="A870" s="51" t="s">
        <v>3567</v>
      </c>
      <c r="B870" s="51" t="s">
        <v>3568</v>
      </c>
      <c r="C870" s="51" t="s">
        <v>64</v>
      </c>
      <c r="D870" s="51" t="s">
        <v>2160</v>
      </c>
      <c r="E870" s="51" t="s">
        <v>2159</v>
      </c>
      <c r="F870" s="52">
        <v>2598.8114500000001</v>
      </c>
      <c r="G870" s="52">
        <v>9685</v>
      </c>
      <c r="H870" s="52">
        <v>2500</v>
      </c>
      <c r="I870" s="52">
        <v>12185</v>
      </c>
      <c r="J870" s="51">
        <v>2</v>
      </c>
      <c r="K870" s="54">
        <v>6000</v>
      </c>
      <c r="L870" s="51">
        <v>0</v>
      </c>
      <c r="M870" s="54">
        <v>0</v>
      </c>
      <c r="N870" s="53">
        <f t="shared" si="26"/>
        <v>6000</v>
      </c>
      <c r="O870" s="53">
        <f t="shared" si="27"/>
        <v>-6000</v>
      </c>
    </row>
    <row r="871" spans="1:15" x14ac:dyDescent="0.2">
      <c r="A871" s="51" t="s">
        <v>3567</v>
      </c>
      <c r="B871" s="51" t="s">
        <v>3568</v>
      </c>
      <c r="C871" s="51" t="s">
        <v>70</v>
      </c>
      <c r="D871" s="51" t="s">
        <v>2587</v>
      </c>
      <c r="E871" s="51" t="s">
        <v>2586</v>
      </c>
      <c r="F871" s="52">
        <v>1041.0818448151999</v>
      </c>
      <c r="G871" s="52">
        <v>5515</v>
      </c>
      <c r="H871" s="52">
        <v>16460</v>
      </c>
      <c r="I871" s="52">
        <v>21975</v>
      </c>
      <c r="J871" s="51">
        <v>1</v>
      </c>
      <c r="K871" s="54">
        <v>10000</v>
      </c>
      <c r="L871" s="51">
        <v>2</v>
      </c>
      <c r="M871" s="54">
        <v>20000</v>
      </c>
      <c r="N871" s="53">
        <f t="shared" si="26"/>
        <v>-10000</v>
      </c>
      <c r="O871" s="53">
        <f t="shared" si="27"/>
        <v>10000</v>
      </c>
    </row>
    <row r="872" spans="1:15" x14ac:dyDescent="0.2">
      <c r="A872" s="51" t="s">
        <v>3567</v>
      </c>
      <c r="B872" s="51" t="s">
        <v>3568</v>
      </c>
      <c r="C872" s="51" t="s">
        <v>61</v>
      </c>
      <c r="D872" s="51" t="s">
        <v>2212</v>
      </c>
      <c r="E872" s="51" t="s">
        <v>2211</v>
      </c>
      <c r="F872" s="52">
        <v>7308.910288</v>
      </c>
      <c r="G872" s="52">
        <v>400</v>
      </c>
      <c r="H872" s="52">
        <v>7600</v>
      </c>
      <c r="I872" s="52">
        <v>8000</v>
      </c>
      <c r="J872" s="51">
        <v>0</v>
      </c>
      <c r="K872" s="54">
        <v>0</v>
      </c>
      <c r="L872" s="51">
        <v>1</v>
      </c>
      <c r="M872" s="54">
        <v>10000</v>
      </c>
      <c r="N872" s="53">
        <f t="shared" si="26"/>
        <v>-10000</v>
      </c>
      <c r="O872" s="53">
        <f t="shared" si="27"/>
        <v>10000</v>
      </c>
    </row>
    <row r="873" spans="1:15" x14ac:dyDescent="0.2">
      <c r="A873" s="51" t="s">
        <v>3567</v>
      </c>
      <c r="B873" s="51" t="s">
        <v>3568</v>
      </c>
      <c r="C873" s="51" t="s">
        <v>83</v>
      </c>
      <c r="D873" s="51" t="s">
        <v>1797</v>
      </c>
      <c r="E873" s="51" t="s">
        <v>1796</v>
      </c>
      <c r="F873" s="52">
        <v>1721.9458500000001</v>
      </c>
      <c r="G873" s="52">
        <v>0</v>
      </c>
      <c r="H873" s="52">
        <v>0</v>
      </c>
      <c r="I873" s="52">
        <v>0</v>
      </c>
      <c r="J873" s="51">
        <v>0</v>
      </c>
      <c r="K873" s="54">
        <v>0</v>
      </c>
      <c r="L873" s="51">
        <v>1</v>
      </c>
      <c r="M873" s="54">
        <v>5000</v>
      </c>
      <c r="N873" s="53">
        <f t="shared" si="26"/>
        <v>-5000</v>
      </c>
      <c r="O873" s="53">
        <f t="shared" si="27"/>
        <v>5000</v>
      </c>
    </row>
    <row r="874" spans="1:15" x14ac:dyDescent="0.2">
      <c r="A874" s="51" t="s">
        <v>3567</v>
      </c>
      <c r="B874" s="51" t="s">
        <v>3568</v>
      </c>
      <c r="C874" s="51" t="s">
        <v>66</v>
      </c>
      <c r="D874" s="51" t="s">
        <v>1677</v>
      </c>
      <c r="E874" s="51" t="s">
        <v>1676</v>
      </c>
      <c r="F874" s="52">
        <v>7513.6972500000002</v>
      </c>
      <c r="G874" s="52">
        <v>18700</v>
      </c>
      <c r="H874" s="52">
        <v>17220</v>
      </c>
      <c r="I874" s="52">
        <v>35920</v>
      </c>
      <c r="J874" s="51">
        <v>0</v>
      </c>
      <c r="K874" s="54">
        <v>0</v>
      </c>
      <c r="L874" s="51">
        <v>1</v>
      </c>
      <c r="M874" s="54">
        <v>5000</v>
      </c>
      <c r="N874" s="53">
        <f t="shared" si="26"/>
        <v>-5000</v>
      </c>
      <c r="O874" s="53">
        <f t="shared" si="27"/>
        <v>5000</v>
      </c>
    </row>
    <row r="875" spans="1:15" x14ac:dyDescent="0.2">
      <c r="A875" s="51" t="s">
        <v>3567</v>
      </c>
      <c r="B875" s="51" t="s">
        <v>3568</v>
      </c>
      <c r="C875" s="51" t="s">
        <v>93</v>
      </c>
      <c r="D875" s="51" t="s">
        <v>1715</v>
      </c>
      <c r="E875" s="51" t="s">
        <v>1714</v>
      </c>
      <c r="F875" s="52">
        <v>40650.949893852572</v>
      </c>
      <c r="G875" s="52">
        <v>0</v>
      </c>
      <c r="H875" s="52">
        <v>500</v>
      </c>
      <c r="I875" s="52">
        <v>500</v>
      </c>
      <c r="J875" s="51">
        <v>0</v>
      </c>
      <c r="K875" s="54">
        <v>0</v>
      </c>
      <c r="L875" s="51">
        <v>1</v>
      </c>
      <c r="M875" s="54">
        <v>13000</v>
      </c>
      <c r="N875" s="53">
        <f t="shared" si="26"/>
        <v>-13000</v>
      </c>
      <c r="O875" s="53">
        <f t="shared" si="27"/>
        <v>13000</v>
      </c>
    </row>
    <row r="876" spans="1:15" x14ac:dyDescent="0.2">
      <c r="A876" s="51" t="s">
        <v>3567</v>
      </c>
      <c r="B876" s="51" t="s">
        <v>3568</v>
      </c>
      <c r="C876" s="51" t="s">
        <v>65</v>
      </c>
      <c r="D876" s="51" t="s">
        <v>1511</v>
      </c>
      <c r="E876" s="51" t="s">
        <v>1510</v>
      </c>
      <c r="F876" s="52">
        <v>10139.499200005699</v>
      </c>
      <c r="G876" s="52">
        <v>1015</v>
      </c>
      <c r="H876" s="52">
        <v>1000</v>
      </c>
      <c r="I876" s="52">
        <v>2015</v>
      </c>
      <c r="J876" s="51">
        <v>2</v>
      </c>
      <c r="K876" s="54">
        <v>10000</v>
      </c>
      <c r="L876" s="51">
        <v>0</v>
      </c>
      <c r="M876" s="54">
        <v>0</v>
      </c>
      <c r="N876" s="53">
        <f t="shared" si="26"/>
        <v>10000</v>
      </c>
      <c r="O876" s="53">
        <f t="shared" si="27"/>
        <v>-10000</v>
      </c>
    </row>
    <row r="877" spans="1:15" x14ac:dyDescent="0.2">
      <c r="A877" s="51" t="s">
        <v>3567</v>
      </c>
      <c r="B877" s="51" t="s">
        <v>3568</v>
      </c>
      <c r="C877" s="51" t="s">
        <v>79</v>
      </c>
      <c r="D877" s="51" t="s">
        <v>2919</v>
      </c>
      <c r="E877" s="51" t="s">
        <v>2918</v>
      </c>
      <c r="F877" s="52">
        <v>14085.514300000001</v>
      </c>
      <c r="G877" s="52">
        <v>11030</v>
      </c>
      <c r="H877" s="52">
        <v>6330</v>
      </c>
      <c r="I877" s="52">
        <v>17360</v>
      </c>
      <c r="J877" s="51">
        <v>1</v>
      </c>
      <c r="K877" s="54">
        <v>5000</v>
      </c>
      <c r="L877" s="51">
        <v>0</v>
      </c>
      <c r="M877" s="54">
        <v>0</v>
      </c>
      <c r="N877" s="53">
        <f t="shared" si="26"/>
        <v>5000</v>
      </c>
      <c r="O877" s="53">
        <f t="shared" si="27"/>
        <v>-5000</v>
      </c>
    </row>
    <row r="878" spans="1:15" x14ac:dyDescent="0.2">
      <c r="A878" s="51" t="s">
        <v>3567</v>
      </c>
      <c r="B878" s="51" t="s">
        <v>3568</v>
      </c>
      <c r="C878" s="51" t="s">
        <v>83</v>
      </c>
      <c r="D878" s="51" t="s">
        <v>2496</v>
      </c>
      <c r="E878" s="51" t="s">
        <v>2495</v>
      </c>
      <c r="F878" s="52">
        <v>9957.257217249351</v>
      </c>
      <c r="G878" s="52">
        <v>6700</v>
      </c>
      <c r="H878" s="52">
        <v>0</v>
      </c>
      <c r="I878" s="52">
        <v>6700</v>
      </c>
      <c r="J878" s="51">
        <v>1</v>
      </c>
      <c r="K878" s="54">
        <v>5000</v>
      </c>
      <c r="L878" s="51">
        <v>0</v>
      </c>
      <c r="M878" s="54">
        <v>0</v>
      </c>
      <c r="N878" s="53">
        <f t="shared" si="26"/>
        <v>5000</v>
      </c>
      <c r="O878" s="53">
        <f t="shared" si="27"/>
        <v>-5000</v>
      </c>
    </row>
    <row r="879" spans="1:15" x14ac:dyDescent="0.2">
      <c r="A879" s="51" t="s">
        <v>3567</v>
      </c>
      <c r="B879" s="51" t="s">
        <v>3568</v>
      </c>
      <c r="C879" s="51" t="s">
        <v>93</v>
      </c>
      <c r="D879" s="51" t="s">
        <v>3400</v>
      </c>
      <c r="E879" s="51" t="s">
        <v>3399</v>
      </c>
      <c r="F879" s="52">
        <v>2990.0912638619379</v>
      </c>
      <c r="G879" s="52">
        <v>3600</v>
      </c>
      <c r="H879" s="52">
        <v>1150</v>
      </c>
      <c r="I879" s="52">
        <v>4750</v>
      </c>
      <c r="J879" s="51">
        <v>1</v>
      </c>
      <c r="K879" s="54">
        <v>5000</v>
      </c>
      <c r="L879" s="51">
        <v>0</v>
      </c>
      <c r="M879" s="54">
        <v>0</v>
      </c>
      <c r="N879" s="53">
        <f t="shared" si="26"/>
        <v>5000</v>
      </c>
      <c r="O879" s="53">
        <f t="shared" si="27"/>
        <v>-5000</v>
      </c>
    </row>
    <row r="880" spans="1:15" x14ac:dyDescent="0.2">
      <c r="A880" s="51" t="s">
        <v>3567</v>
      </c>
      <c r="B880" s="51" t="s">
        <v>3568</v>
      </c>
      <c r="C880" s="51" t="s">
        <v>56</v>
      </c>
      <c r="D880" s="51" t="s">
        <v>1812</v>
      </c>
      <c r="E880" s="51" t="s">
        <v>1811</v>
      </c>
      <c r="F880" s="52">
        <v>3717.4299500000002</v>
      </c>
      <c r="G880" s="52">
        <v>20000</v>
      </c>
      <c r="H880" s="52">
        <v>2670</v>
      </c>
      <c r="I880" s="52">
        <v>22670</v>
      </c>
      <c r="J880" s="51">
        <v>2</v>
      </c>
      <c r="K880" s="54">
        <v>20000</v>
      </c>
      <c r="L880" s="51">
        <v>0</v>
      </c>
      <c r="M880" s="54">
        <v>0</v>
      </c>
      <c r="N880" s="53">
        <f t="shared" si="26"/>
        <v>20000</v>
      </c>
      <c r="O880" s="53">
        <f t="shared" si="27"/>
        <v>-20000</v>
      </c>
    </row>
    <row r="881" spans="1:15" x14ac:dyDescent="0.2">
      <c r="A881" s="51" t="s">
        <v>3567</v>
      </c>
      <c r="B881" s="51" t="s">
        <v>3568</v>
      </c>
      <c r="C881" s="51" t="s">
        <v>83</v>
      </c>
      <c r="D881" s="51" t="s">
        <v>2518</v>
      </c>
      <c r="E881" s="51" t="s">
        <v>2517</v>
      </c>
      <c r="F881" s="52">
        <v>14.7094</v>
      </c>
      <c r="G881" s="52">
        <v>0</v>
      </c>
      <c r="H881" s="52">
        <v>0</v>
      </c>
      <c r="I881" s="52">
        <v>0</v>
      </c>
      <c r="J881" s="51">
        <v>0</v>
      </c>
      <c r="K881" s="54">
        <v>0</v>
      </c>
      <c r="L881" s="51">
        <v>0</v>
      </c>
      <c r="M881" s="54">
        <v>0</v>
      </c>
      <c r="N881" s="53">
        <f t="shared" si="26"/>
        <v>0</v>
      </c>
      <c r="O881" s="53">
        <f t="shared" si="27"/>
        <v>0</v>
      </c>
    </row>
    <row r="882" spans="1:15" x14ac:dyDescent="0.2">
      <c r="A882" s="51" t="s">
        <v>3567</v>
      </c>
      <c r="B882" s="51" t="s">
        <v>3568</v>
      </c>
      <c r="C882" s="51" t="s">
        <v>71</v>
      </c>
      <c r="D882" s="51" t="s">
        <v>353</v>
      </c>
      <c r="E882" s="51" t="s">
        <v>352</v>
      </c>
      <c r="F882" s="52">
        <v>8.4363608694999996</v>
      </c>
      <c r="G882" s="52">
        <v>0</v>
      </c>
      <c r="H882" s="52">
        <v>630</v>
      </c>
      <c r="I882" s="52">
        <v>630</v>
      </c>
      <c r="J882" s="51">
        <v>0</v>
      </c>
      <c r="K882" s="54">
        <v>0</v>
      </c>
      <c r="L882" s="51">
        <v>1</v>
      </c>
      <c r="M882" s="54">
        <v>10000</v>
      </c>
      <c r="N882" s="53">
        <f t="shared" si="26"/>
        <v>-10000</v>
      </c>
      <c r="O882" s="53">
        <f t="shared" si="27"/>
        <v>10000</v>
      </c>
    </row>
    <row r="883" spans="1:15" x14ac:dyDescent="0.2">
      <c r="A883" s="51" t="s">
        <v>3567</v>
      </c>
      <c r="B883" s="51" t="s">
        <v>3568</v>
      </c>
      <c r="C883" s="51" t="s">
        <v>84</v>
      </c>
      <c r="D883" s="51" t="s">
        <v>2442</v>
      </c>
      <c r="E883" s="51" t="s">
        <v>2441</v>
      </c>
      <c r="F883" s="52">
        <v>25578.333699999999</v>
      </c>
      <c r="G883" s="52">
        <v>5480</v>
      </c>
      <c r="H883" s="52">
        <v>5900</v>
      </c>
      <c r="I883" s="52">
        <v>11380</v>
      </c>
      <c r="J883" s="51">
        <v>1</v>
      </c>
      <c r="K883" s="54">
        <v>5000</v>
      </c>
      <c r="L883" s="51">
        <v>0</v>
      </c>
      <c r="M883" s="54">
        <v>0</v>
      </c>
      <c r="N883" s="53">
        <f t="shared" si="26"/>
        <v>5000</v>
      </c>
      <c r="O883" s="53">
        <f t="shared" si="27"/>
        <v>-5000</v>
      </c>
    </row>
    <row r="884" spans="1:15" x14ac:dyDescent="0.2">
      <c r="A884" s="51" t="s">
        <v>3567</v>
      </c>
      <c r="B884" s="51" t="s">
        <v>3568</v>
      </c>
      <c r="C884" s="51" t="s">
        <v>58</v>
      </c>
      <c r="D884" s="51" t="s">
        <v>3154</v>
      </c>
      <c r="E884" s="51" t="s">
        <v>3153</v>
      </c>
      <c r="F884" s="52">
        <v>5496.4168</v>
      </c>
      <c r="G884" s="52">
        <v>17670</v>
      </c>
      <c r="H884" s="52">
        <v>8370</v>
      </c>
      <c r="I884" s="52">
        <v>26040</v>
      </c>
      <c r="J884" s="51">
        <v>2</v>
      </c>
      <c r="K884" s="54">
        <v>10000</v>
      </c>
      <c r="L884" s="51">
        <v>0</v>
      </c>
      <c r="M884" s="54">
        <v>0</v>
      </c>
      <c r="N884" s="53">
        <f t="shared" si="26"/>
        <v>10000</v>
      </c>
      <c r="O884" s="53">
        <f t="shared" si="27"/>
        <v>-10000</v>
      </c>
    </row>
    <row r="885" spans="1:15" x14ac:dyDescent="0.2">
      <c r="A885" s="51" t="s">
        <v>3567</v>
      </c>
      <c r="B885" s="51" t="s">
        <v>3568</v>
      </c>
      <c r="C885" s="51" t="s">
        <v>64</v>
      </c>
      <c r="D885" s="51" t="s">
        <v>746</v>
      </c>
      <c r="E885" s="51" t="s">
        <v>745</v>
      </c>
      <c r="F885" s="52">
        <v>20270.526547091162</v>
      </c>
      <c r="G885" s="52">
        <v>2050</v>
      </c>
      <c r="H885" s="52">
        <v>510</v>
      </c>
      <c r="I885" s="52">
        <v>2560</v>
      </c>
      <c r="J885" s="51">
        <v>1</v>
      </c>
      <c r="K885" s="54">
        <v>5000</v>
      </c>
      <c r="L885" s="51">
        <v>0</v>
      </c>
      <c r="M885" s="54">
        <v>0</v>
      </c>
      <c r="N885" s="53">
        <f t="shared" si="26"/>
        <v>5000</v>
      </c>
      <c r="O885" s="53">
        <f t="shared" si="27"/>
        <v>-5000</v>
      </c>
    </row>
    <row r="886" spans="1:15" x14ac:dyDescent="0.2">
      <c r="A886" s="51" t="s">
        <v>3567</v>
      </c>
      <c r="B886" s="51" t="s">
        <v>3568</v>
      </c>
      <c r="C886" s="51" t="s">
        <v>82</v>
      </c>
      <c r="D886" s="51" t="s">
        <v>436</v>
      </c>
      <c r="E886" s="51" t="s">
        <v>435</v>
      </c>
      <c r="F886" s="52">
        <v>12491.60041831136</v>
      </c>
      <c r="G886" s="52">
        <v>3710</v>
      </c>
      <c r="H886" s="52">
        <v>7280</v>
      </c>
      <c r="I886" s="52">
        <v>10990</v>
      </c>
      <c r="J886" s="51">
        <v>1</v>
      </c>
      <c r="K886" s="54">
        <v>5000</v>
      </c>
      <c r="L886" s="51">
        <v>0</v>
      </c>
      <c r="M886" s="54">
        <v>0</v>
      </c>
      <c r="N886" s="53">
        <f t="shared" si="26"/>
        <v>5000</v>
      </c>
      <c r="O886" s="53">
        <f t="shared" si="27"/>
        <v>-5000</v>
      </c>
    </row>
    <row r="887" spans="1:15" x14ac:dyDescent="0.2">
      <c r="A887" s="51" t="s">
        <v>3567</v>
      </c>
      <c r="B887" s="51" t="s">
        <v>3568</v>
      </c>
      <c r="C887" s="51" t="s">
        <v>3864</v>
      </c>
      <c r="D887" s="51" t="s">
        <v>4040</v>
      </c>
      <c r="E887" s="51" t="s">
        <v>797</v>
      </c>
      <c r="F887" s="52">
        <v>13.88643417021474</v>
      </c>
      <c r="G887" s="52">
        <v>0</v>
      </c>
      <c r="H887" s="52">
        <v>0</v>
      </c>
      <c r="I887" s="52">
        <v>0</v>
      </c>
      <c r="J887" s="51">
        <v>0</v>
      </c>
      <c r="K887" s="54">
        <v>0</v>
      </c>
      <c r="L887" s="51">
        <v>0</v>
      </c>
      <c r="M887" s="54">
        <v>0</v>
      </c>
      <c r="N887" s="53">
        <f t="shared" si="26"/>
        <v>0</v>
      </c>
      <c r="O887" s="53">
        <f t="shared" si="27"/>
        <v>0</v>
      </c>
    </row>
    <row r="888" spans="1:15" x14ac:dyDescent="0.2">
      <c r="A888" s="51" t="s">
        <v>3567</v>
      </c>
      <c r="B888" s="51" t="s">
        <v>3568</v>
      </c>
      <c r="C888" s="51" t="s">
        <v>66</v>
      </c>
      <c r="D888" s="51" t="s">
        <v>3479</v>
      </c>
      <c r="E888" s="51" t="s">
        <v>3478</v>
      </c>
      <c r="F888" s="52">
        <v>25839.143573353929</v>
      </c>
      <c r="G888" s="52">
        <v>7640</v>
      </c>
      <c r="H888" s="52">
        <v>4180</v>
      </c>
      <c r="I888" s="52">
        <v>11820</v>
      </c>
      <c r="J888" s="51">
        <v>1</v>
      </c>
      <c r="K888" s="54">
        <v>5000</v>
      </c>
      <c r="L888" s="51">
        <v>0</v>
      </c>
      <c r="M888" s="54">
        <v>0</v>
      </c>
      <c r="N888" s="53">
        <f t="shared" si="26"/>
        <v>5000</v>
      </c>
      <c r="O888" s="53">
        <f t="shared" si="27"/>
        <v>-5000</v>
      </c>
    </row>
    <row r="889" spans="1:15" x14ac:dyDescent="0.2">
      <c r="A889" s="51" t="s">
        <v>3567</v>
      </c>
      <c r="B889" s="51" t="s">
        <v>3568</v>
      </c>
      <c r="C889" s="51" t="s">
        <v>58</v>
      </c>
      <c r="D889" s="51" t="s">
        <v>1867</v>
      </c>
      <c r="E889" s="51" t="s">
        <v>1866</v>
      </c>
      <c r="F889" s="52">
        <v>114.8683</v>
      </c>
      <c r="G889" s="52">
        <v>0</v>
      </c>
      <c r="H889" s="52">
        <v>0</v>
      </c>
      <c r="I889" s="52">
        <v>0</v>
      </c>
      <c r="J889" s="51">
        <v>0</v>
      </c>
      <c r="K889" s="54">
        <v>0</v>
      </c>
      <c r="L889" s="51">
        <v>0</v>
      </c>
      <c r="M889" s="54">
        <v>0</v>
      </c>
      <c r="N889" s="53">
        <f t="shared" si="26"/>
        <v>0</v>
      </c>
      <c r="O889" s="53">
        <f t="shared" si="27"/>
        <v>0</v>
      </c>
    </row>
    <row r="890" spans="1:15" x14ac:dyDescent="0.2">
      <c r="A890" s="51" t="s">
        <v>3567</v>
      </c>
      <c r="B890" s="51" t="s">
        <v>3568</v>
      </c>
      <c r="C890" s="51" t="s">
        <v>67</v>
      </c>
      <c r="D890" s="51" t="s">
        <v>3382</v>
      </c>
      <c r="E890" s="51" t="s">
        <v>3381</v>
      </c>
      <c r="F890" s="52">
        <v>10319.81561786535</v>
      </c>
      <c r="G890" s="52">
        <v>0</v>
      </c>
      <c r="H890" s="52">
        <v>2800</v>
      </c>
      <c r="I890" s="52">
        <v>2800</v>
      </c>
      <c r="J890" s="51">
        <v>0</v>
      </c>
      <c r="K890" s="54">
        <v>0</v>
      </c>
      <c r="L890" s="51">
        <v>1</v>
      </c>
      <c r="M890" s="54">
        <v>15000</v>
      </c>
      <c r="N890" s="53">
        <f t="shared" si="26"/>
        <v>-15000</v>
      </c>
      <c r="O890" s="53">
        <f t="shared" si="27"/>
        <v>15000</v>
      </c>
    </row>
    <row r="891" spans="1:15" x14ac:dyDescent="0.2">
      <c r="A891" s="51" t="s">
        <v>3567</v>
      </c>
      <c r="B891" s="51" t="s">
        <v>3568</v>
      </c>
      <c r="C891" s="51" t="s">
        <v>77</v>
      </c>
      <c r="D891" s="51" t="s">
        <v>920</v>
      </c>
      <c r="E891" s="51" t="s">
        <v>919</v>
      </c>
      <c r="F891" s="52">
        <v>309.13637216516639</v>
      </c>
      <c r="G891" s="52">
        <v>0</v>
      </c>
      <c r="H891" s="52">
        <v>0</v>
      </c>
      <c r="I891" s="52">
        <v>0</v>
      </c>
      <c r="J891" s="51">
        <v>0</v>
      </c>
      <c r="K891" s="54">
        <v>0</v>
      </c>
      <c r="L891" s="51">
        <v>1</v>
      </c>
      <c r="M891" s="54">
        <v>20000</v>
      </c>
      <c r="N891" s="53">
        <f t="shared" si="26"/>
        <v>-20000</v>
      </c>
      <c r="O891" s="53">
        <f t="shared" si="27"/>
        <v>20000</v>
      </c>
    </row>
    <row r="892" spans="1:15" x14ac:dyDescent="0.2">
      <c r="A892" s="51" t="s">
        <v>3567</v>
      </c>
      <c r="B892" s="51" t="s">
        <v>3568</v>
      </c>
      <c r="C892" s="51" t="s">
        <v>83</v>
      </c>
      <c r="D892" s="51" t="s">
        <v>4049</v>
      </c>
      <c r="E892" s="51" t="s">
        <v>4050</v>
      </c>
      <c r="F892" s="52">
        <v>1.2798732476216479</v>
      </c>
      <c r="G892" s="52">
        <v>0</v>
      </c>
      <c r="H892" s="52">
        <v>0</v>
      </c>
      <c r="I892" s="52">
        <v>0</v>
      </c>
      <c r="J892" s="51">
        <v>0</v>
      </c>
      <c r="K892" s="54">
        <v>0</v>
      </c>
      <c r="L892" s="51">
        <v>0</v>
      </c>
      <c r="M892" s="54">
        <v>0</v>
      </c>
      <c r="N892" s="53">
        <f t="shared" si="26"/>
        <v>0</v>
      </c>
      <c r="O892" s="53">
        <f t="shared" si="27"/>
        <v>0</v>
      </c>
    </row>
    <row r="893" spans="1:15" x14ac:dyDescent="0.2">
      <c r="A893" s="51" t="s">
        <v>3567</v>
      </c>
      <c r="B893" s="51" t="s">
        <v>3568</v>
      </c>
      <c r="C893" s="51" t="s">
        <v>3574</v>
      </c>
      <c r="D893" s="51" t="s">
        <v>4043</v>
      </c>
      <c r="E893" s="51" t="s">
        <v>4044</v>
      </c>
      <c r="F893" s="52">
        <v>4.8421271816844857</v>
      </c>
      <c r="G893" s="52">
        <v>0</v>
      </c>
      <c r="H893" s="52">
        <v>0</v>
      </c>
      <c r="I893" s="52">
        <v>0</v>
      </c>
      <c r="J893" s="51">
        <v>0</v>
      </c>
      <c r="K893" s="54">
        <v>0</v>
      </c>
      <c r="L893" s="51">
        <v>0</v>
      </c>
      <c r="M893" s="54">
        <v>0</v>
      </c>
      <c r="N893" s="53">
        <f t="shared" si="26"/>
        <v>0</v>
      </c>
      <c r="O893" s="53">
        <f t="shared" si="27"/>
        <v>0</v>
      </c>
    </row>
    <row r="894" spans="1:15" x14ac:dyDescent="0.2">
      <c r="A894" s="51" t="s">
        <v>3567</v>
      </c>
      <c r="B894" s="51" t="s">
        <v>3568</v>
      </c>
      <c r="C894" s="51" t="s">
        <v>67</v>
      </c>
      <c r="D894" s="51" t="s">
        <v>1912</v>
      </c>
      <c r="E894" s="51" t="s">
        <v>1911</v>
      </c>
      <c r="F894" s="52">
        <v>5459.0589674353214</v>
      </c>
      <c r="G894" s="52">
        <v>2720</v>
      </c>
      <c r="H894" s="52">
        <v>2850</v>
      </c>
      <c r="I894" s="52">
        <v>5570</v>
      </c>
      <c r="J894" s="51">
        <v>1</v>
      </c>
      <c r="K894" s="54">
        <v>5000</v>
      </c>
      <c r="L894" s="51">
        <v>2</v>
      </c>
      <c r="M894" s="54">
        <v>35000</v>
      </c>
      <c r="N894" s="53">
        <f t="shared" si="26"/>
        <v>-30000</v>
      </c>
      <c r="O894" s="53">
        <f t="shared" si="27"/>
        <v>30000</v>
      </c>
    </row>
    <row r="895" spans="1:15" x14ac:dyDescent="0.2">
      <c r="A895" s="51" t="s">
        <v>3567</v>
      </c>
      <c r="B895" s="51" t="s">
        <v>3568</v>
      </c>
      <c r="C895" s="51" t="s">
        <v>93</v>
      </c>
      <c r="D895" s="51" t="s">
        <v>980</v>
      </c>
      <c r="E895" s="51" t="s">
        <v>979</v>
      </c>
      <c r="F895" s="52">
        <v>4484.7317999999996</v>
      </c>
      <c r="G895" s="52">
        <v>2700</v>
      </c>
      <c r="H895" s="52">
        <v>4710</v>
      </c>
      <c r="I895" s="52">
        <v>7410</v>
      </c>
      <c r="J895" s="51">
        <v>0</v>
      </c>
      <c r="K895" s="54">
        <v>0</v>
      </c>
      <c r="L895" s="51">
        <v>1</v>
      </c>
      <c r="M895" s="54">
        <v>6000</v>
      </c>
      <c r="N895" s="53">
        <f t="shared" si="26"/>
        <v>-6000</v>
      </c>
      <c r="O895" s="53">
        <f t="shared" si="27"/>
        <v>6000</v>
      </c>
    </row>
    <row r="896" spans="1:15" x14ac:dyDescent="0.2">
      <c r="A896" s="51" t="s">
        <v>3567</v>
      </c>
      <c r="B896" s="51" t="s">
        <v>3568</v>
      </c>
      <c r="C896" s="51" t="s">
        <v>3650</v>
      </c>
      <c r="D896" s="51" t="s">
        <v>4032</v>
      </c>
      <c r="E896" s="51" t="s">
        <v>4033</v>
      </c>
      <c r="F896" s="52">
        <v>41.929800006000001</v>
      </c>
      <c r="G896" s="52">
        <v>0</v>
      </c>
      <c r="H896" s="52">
        <v>0</v>
      </c>
      <c r="I896" s="52">
        <v>0</v>
      </c>
      <c r="J896" s="51">
        <v>0</v>
      </c>
      <c r="K896" s="54">
        <v>0</v>
      </c>
      <c r="L896" s="51">
        <v>0</v>
      </c>
      <c r="M896" s="54">
        <v>0</v>
      </c>
      <c r="N896" s="53">
        <f t="shared" si="26"/>
        <v>0</v>
      </c>
      <c r="O896" s="53">
        <f t="shared" si="27"/>
        <v>0</v>
      </c>
    </row>
    <row r="897" spans="1:15" x14ac:dyDescent="0.2">
      <c r="A897" s="51" t="s">
        <v>3567</v>
      </c>
      <c r="B897" s="51" t="s">
        <v>3568</v>
      </c>
      <c r="C897" s="51" t="s">
        <v>77</v>
      </c>
      <c r="D897" s="51" t="s">
        <v>1117</v>
      </c>
      <c r="E897" s="51" t="s">
        <v>1116</v>
      </c>
      <c r="F897" s="52">
        <v>25.11443488337855</v>
      </c>
      <c r="G897" s="52">
        <v>30005</v>
      </c>
      <c r="H897" s="52">
        <v>11800</v>
      </c>
      <c r="I897" s="52">
        <v>41805</v>
      </c>
      <c r="J897" s="51">
        <v>0</v>
      </c>
      <c r="K897" s="54">
        <v>0</v>
      </c>
      <c r="L897" s="51">
        <v>1</v>
      </c>
      <c r="M897" s="54">
        <v>100000</v>
      </c>
      <c r="N897" s="53">
        <f t="shared" si="26"/>
        <v>-100000</v>
      </c>
      <c r="O897" s="53">
        <f t="shared" si="27"/>
        <v>100000</v>
      </c>
    </row>
    <row r="898" spans="1:15" x14ac:dyDescent="0.2">
      <c r="A898" s="51" t="s">
        <v>3567</v>
      </c>
      <c r="B898" s="51" t="s">
        <v>3568</v>
      </c>
      <c r="C898" s="51" t="s">
        <v>77</v>
      </c>
      <c r="D898" s="51" t="s">
        <v>2062</v>
      </c>
      <c r="E898" s="51" t="s">
        <v>2061</v>
      </c>
      <c r="F898" s="52">
        <v>2395.9108013528571</v>
      </c>
      <c r="G898" s="52">
        <v>2400</v>
      </c>
      <c r="H898" s="52">
        <v>6500</v>
      </c>
      <c r="I898" s="52">
        <v>8900</v>
      </c>
      <c r="J898" s="51">
        <v>0</v>
      </c>
      <c r="K898" s="54">
        <v>0</v>
      </c>
      <c r="L898" s="51">
        <v>1</v>
      </c>
      <c r="M898" s="54">
        <v>5000</v>
      </c>
      <c r="N898" s="53">
        <f t="shared" si="26"/>
        <v>-5000</v>
      </c>
      <c r="O898" s="53">
        <f t="shared" si="27"/>
        <v>5000</v>
      </c>
    </row>
    <row r="899" spans="1:15" x14ac:dyDescent="0.2">
      <c r="A899" s="51" t="s">
        <v>3567</v>
      </c>
      <c r="B899" s="51" t="s">
        <v>3568</v>
      </c>
      <c r="C899" s="51" t="s">
        <v>3630</v>
      </c>
      <c r="D899" s="51" t="s">
        <v>4055</v>
      </c>
      <c r="E899" s="51" t="s">
        <v>4056</v>
      </c>
      <c r="F899" s="52">
        <v>4.6608999999999998</v>
      </c>
      <c r="G899" s="52">
        <v>0</v>
      </c>
      <c r="H899" s="52">
        <v>0</v>
      </c>
      <c r="I899" s="52">
        <v>0</v>
      </c>
      <c r="J899" s="51">
        <v>0</v>
      </c>
      <c r="K899" s="54">
        <v>0</v>
      </c>
      <c r="L899" s="51">
        <v>0</v>
      </c>
      <c r="M899" s="54">
        <v>0</v>
      </c>
      <c r="N899" s="53">
        <f t="shared" ref="N899:N962" si="28">K899-M899</f>
        <v>0</v>
      </c>
      <c r="O899" s="53">
        <f t="shared" ref="O899:O962" si="29">M899-K899</f>
        <v>0</v>
      </c>
    </row>
    <row r="900" spans="1:15" x14ac:dyDescent="0.2">
      <c r="A900" s="51" t="s">
        <v>3567</v>
      </c>
      <c r="B900" s="51" t="s">
        <v>3568</v>
      </c>
      <c r="C900" s="51" t="s">
        <v>68</v>
      </c>
      <c r="D900" s="51" t="s">
        <v>1547</v>
      </c>
      <c r="E900" s="51" t="s">
        <v>1546</v>
      </c>
      <c r="F900" s="52">
        <v>15798.879499999999</v>
      </c>
      <c r="G900" s="52">
        <v>6300</v>
      </c>
      <c r="H900" s="52">
        <v>1060</v>
      </c>
      <c r="I900" s="52">
        <v>7360</v>
      </c>
      <c r="J900" s="51">
        <v>1</v>
      </c>
      <c r="K900" s="54">
        <v>20000</v>
      </c>
      <c r="L900" s="51">
        <v>0</v>
      </c>
      <c r="M900" s="54">
        <v>0</v>
      </c>
      <c r="N900" s="53">
        <f t="shared" si="28"/>
        <v>20000</v>
      </c>
      <c r="O900" s="53">
        <f t="shared" si="29"/>
        <v>-20000</v>
      </c>
    </row>
    <row r="901" spans="1:15" x14ac:dyDescent="0.2">
      <c r="A901" s="51" t="s">
        <v>3567</v>
      </c>
      <c r="B901" s="51" t="s">
        <v>3568</v>
      </c>
      <c r="C901" s="51" t="s">
        <v>76</v>
      </c>
      <c r="D901" s="51" t="s">
        <v>375</v>
      </c>
      <c r="E901" s="51" t="s">
        <v>374</v>
      </c>
      <c r="F901" s="52">
        <v>454.43349999999998</v>
      </c>
      <c r="G901" s="52">
        <v>16080</v>
      </c>
      <c r="H901" s="52">
        <v>6790</v>
      </c>
      <c r="I901" s="52">
        <v>22870</v>
      </c>
      <c r="J901" s="51">
        <v>1</v>
      </c>
      <c r="K901" s="54">
        <v>5000</v>
      </c>
      <c r="L901" s="51">
        <v>0</v>
      </c>
      <c r="M901" s="54">
        <v>0</v>
      </c>
      <c r="N901" s="53">
        <f t="shared" si="28"/>
        <v>5000</v>
      </c>
      <c r="O901" s="53">
        <f t="shared" si="29"/>
        <v>-5000</v>
      </c>
    </row>
    <row r="902" spans="1:15" x14ac:dyDescent="0.2">
      <c r="A902" s="51" t="s">
        <v>3567</v>
      </c>
      <c r="B902" s="51" t="s">
        <v>3568</v>
      </c>
      <c r="C902" s="51" t="s">
        <v>72</v>
      </c>
      <c r="D902" s="51" t="s">
        <v>2026</v>
      </c>
      <c r="E902" s="51" t="s">
        <v>2025</v>
      </c>
      <c r="F902" s="52">
        <v>8802.6460543314297</v>
      </c>
      <c r="G902" s="52">
        <v>900</v>
      </c>
      <c r="H902" s="52">
        <v>3000</v>
      </c>
      <c r="I902" s="52">
        <v>3900</v>
      </c>
      <c r="J902" s="51">
        <v>0</v>
      </c>
      <c r="K902" s="54">
        <v>0</v>
      </c>
      <c r="L902" s="51">
        <v>0</v>
      </c>
      <c r="M902" s="54">
        <v>0</v>
      </c>
      <c r="N902" s="53">
        <f t="shared" si="28"/>
        <v>0</v>
      </c>
      <c r="O902" s="53">
        <f t="shared" si="29"/>
        <v>0</v>
      </c>
    </row>
    <row r="903" spans="1:15" x14ac:dyDescent="0.2">
      <c r="A903" s="51" t="s">
        <v>3567</v>
      </c>
      <c r="B903" s="51" t="s">
        <v>3568</v>
      </c>
      <c r="C903" s="51" t="s">
        <v>70</v>
      </c>
      <c r="D903" s="51" t="s">
        <v>4024</v>
      </c>
      <c r="E903" s="51" t="s">
        <v>4025</v>
      </c>
      <c r="F903" s="52">
        <v>1.159922564104406</v>
      </c>
      <c r="G903" s="52">
        <v>0</v>
      </c>
      <c r="H903" s="52">
        <v>0</v>
      </c>
      <c r="I903" s="52">
        <v>0</v>
      </c>
      <c r="J903" s="51">
        <v>0</v>
      </c>
      <c r="K903" s="54">
        <v>0</v>
      </c>
      <c r="L903" s="51">
        <v>0</v>
      </c>
      <c r="M903" s="54">
        <v>0</v>
      </c>
      <c r="N903" s="53">
        <f t="shared" si="28"/>
        <v>0</v>
      </c>
      <c r="O903" s="53">
        <f t="shared" si="29"/>
        <v>0</v>
      </c>
    </row>
    <row r="904" spans="1:15" x14ac:dyDescent="0.2">
      <c r="A904" s="51" t="s">
        <v>3567</v>
      </c>
      <c r="B904" s="51" t="s">
        <v>3568</v>
      </c>
      <c r="C904" s="51" t="s">
        <v>3647</v>
      </c>
      <c r="D904" s="51" t="s">
        <v>4053</v>
      </c>
      <c r="E904" s="51" t="s">
        <v>4054</v>
      </c>
      <c r="F904" s="52">
        <v>3.6607346276000001</v>
      </c>
      <c r="G904" s="52">
        <v>0</v>
      </c>
      <c r="H904" s="52">
        <v>0</v>
      </c>
      <c r="I904" s="52">
        <v>0</v>
      </c>
      <c r="J904" s="51">
        <v>0</v>
      </c>
      <c r="K904" s="54">
        <v>0</v>
      </c>
      <c r="L904" s="51">
        <v>0</v>
      </c>
      <c r="M904" s="54">
        <v>0</v>
      </c>
      <c r="N904" s="53">
        <f t="shared" si="28"/>
        <v>0</v>
      </c>
      <c r="O904" s="53">
        <f t="shared" si="29"/>
        <v>0</v>
      </c>
    </row>
    <row r="905" spans="1:15" x14ac:dyDescent="0.2">
      <c r="A905" s="51" t="s">
        <v>3567</v>
      </c>
      <c r="B905" s="51" t="s">
        <v>3568</v>
      </c>
      <c r="C905" s="51" t="s">
        <v>76</v>
      </c>
      <c r="D905" s="51" t="s">
        <v>639</v>
      </c>
      <c r="E905" s="51" t="s">
        <v>638</v>
      </c>
      <c r="F905" s="52">
        <v>0.60699932734445494</v>
      </c>
      <c r="G905" s="52">
        <v>0</v>
      </c>
      <c r="H905" s="52">
        <v>0</v>
      </c>
      <c r="I905" s="52">
        <v>0</v>
      </c>
      <c r="J905" s="51">
        <v>0</v>
      </c>
      <c r="K905" s="54">
        <v>0</v>
      </c>
      <c r="L905" s="51">
        <v>0</v>
      </c>
      <c r="M905" s="54">
        <v>0</v>
      </c>
      <c r="N905" s="53">
        <f t="shared" si="28"/>
        <v>0</v>
      </c>
      <c r="O905" s="53">
        <f t="shared" si="29"/>
        <v>0</v>
      </c>
    </row>
    <row r="906" spans="1:15" x14ac:dyDescent="0.2">
      <c r="A906" s="51" t="s">
        <v>3567</v>
      </c>
      <c r="B906" s="51" t="s">
        <v>3568</v>
      </c>
      <c r="C906" s="51" t="s">
        <v>81</v>
      </c>
      <c r="D906" s="51" t="s">
        <v>136</v>
      </c>
      <c r="E906" s="51" t="s">
        <v>135</v>
      </c>
      <c r="F906" s="52">
        <v>186.48304099999999</v>
      </c>
      <c r="G906" s="52">
        <v>7310</v>
      </c>
      <c r="H906" s="52">
        <v>80</v>
      </c>
      <c r="I906" s="52">
        <v>7390</v>
      </c>
      <c r="J906" s="51">
        <v>1</v>
      </c>
      <c r="K906" s="54">
        <v>6000</v>
      </c>
      <c r="L906" s="51">
        <v>0</v>
      </c>
      <c r="M906" s="54">
        <v>0</v>
      </c>
      <c r="N906" s="53">
        <f t="shared" si="28"/>
        <v>6000</v>
      </c>
      <c r="O906" s="53">
        <f t="shared" si="29"/>
        <v>-6000</v>
      </c>
    </row>
    <row r="907" spans="1:15" x14ac:dyDescent="0.2">
      <c r="A907" s="51" t="s">
        <v>3567</v>
      </c>
      <c r="B907" s="51" t="s">
        <v>3568</v>
      </c>
      <c r="C907" s="51" t="s">
        <v>68</v>
      </c>
      <c r="D907" s="51" t="s">
        <v>2068</v>
      </c>
      <c r="E907" s="51" t="s">
        <v>2067</v>
      </c>
      <c r="F907" s="52">
        <v>19802.131439130299</v>
      </c>
      <c r="G907" s="52">
        <v>5745</v>
      </c>
      <c r="H907" s="52">
        <v>24820</v>
      </c>
      <c r="I907" s="52">
        <v>30565</v>
      </c>
      <c r="J907" s="51">
        <v>0</v>
      </c>
      <c r="K907" s="54">
        <v>0</v>
      </c>
      <c r="L907" s="51">
        <v>2</v>
      </c>
      <c r="M907" s="54">
        <v>19000</v>
      </c>
      <c r="N907" s="53">
        <f t="shared" si="28"/>
        <v>-19000</v>
      </c>
      <c r="O907" s="53">
        <f t="shared" si="29"/>
        <v>19000</v>
      </c>
    </row>
    <row r="908" spans="1:15" x14ac:dyDescent="0.2">
      <c r="A908" s="51" t="s">
        <v>3567</v>
      </c>
      <c r="B908" s="51" t="s">
        <v>3568</v>
      </c>
      <c r="C908" s="51" t="s">
        <v>74</v>
      </c>
      <c r="D908" s="51" t="s">
        <v>1329</v>
      </c>
      <c r="E908" s="51" t="s">
        <v>1193</v>
      </c>
      <c r="F908" s="52">
        <v>5995.2929759999997</v>
      </c>
      <c r="G908" s="52">
        <v>6760</v>
      </c>
      <c r="H908" s="52">
        <v>5650</v>
      </c>
      <c r="I908" s="52">
        <v>12410</v>
      </c>
      <c r="J908" s="51">
        <v>0</v>
      </c>
      <c r="K908" s="54">
        <v>0</v>
      </c>
      <c r="L908" s="51">
        <v>2</v>
      </c>
      <c r="M908" s="54">
        <v>9000</v>
      </c>
      <c r="N908" s="53">
        <f t="shared" si="28"/>
        <v>-9000</v>
      </c>
      <c r="O908" s="53">
        <f t="shared" si="29"/>
        <v>9000</v>
      </c>
    </row>
    <row r="909" spans="1:15" x14ac:dyDescent="0.2">
      <c r="A909" s="51" t="s">
        <v>3567</v>
      </c>
      <c r="B909" s="51" t="s">
        <v>3568</v>
      </c>
      <c r="C909" s="51" t="s">
        <v>56</v>
      </c>
      <c r="D909" s="51" t="s">
        <v>739</v>
      </c>
      <c r="E909" s="51" t="s">
        <v>738</v>
      </c>
      <c r="F909" s="52">
        <v>16599.560099999999</v>
      </c>
      <c r="G909" s="52">
        <v>9600</v>
      </c>
      <c r="H909" s="52">
        <v>15500</v>
      </c>
      <c r="I909" s="52">
        <v>25100</v>
      </c>
      <c r="J909" s="51">
        <v>1</v>
      </c>
      <c r="K909" s="54">
        <v>5000</v>
      </c>
      <c r="L909" s="51">
        <v>0</v>
      </c>
      <c r="M909" s="54">
        <v>0</v>
      </c>
      <c r="N909" s="53">
        <f t="shared" si="28"/>
        <v>5000</v>
      </c>
      <c r="O909" s="53">
        <f t="shared" si="29"/>
        <v>-5000</v>
      </c>
    </row>
    <row r="910" spans="1:15" x14ac:dyDescent="0.2">
      <c r="A910" s="51" t="s">
        <v>3567</v>
      </c>
      <c r="B910" s="51" t="s">
        <v>3568</v>
      </c>
      <c r="C910" s="51" t="s">
        <v>79</v>
      </c>
      <c r="D910" s="51" t="s">
        <v>1254</v>
      </c>
      <c r="E910" s="51" t="s">
        <v>1253</v>
      </c>
      <c r="F910" s="52">
        <v>23418.507977622001</v>
      </c>
      <c r="G910" s="52">
        <v>3500</v>
      </c>
      <c r="H910" s="52">
        <v>0</v>
      </c>
      <c r="I910" s="52">
        <v>3500</v>
      </c>
      <c r="J910" s="51">
        <v>2</v>
      </c>
      <c r="K910" s="54">
        <v>15000</v>
      </c>
      <c r="L910" s="51">
        <v>0</v>
      </c>
      <c r="M910" s="54">
        <v>0</v>
      </c>
      <c r="N910" s="53">
        <f t="shared" si="28"/>
        <v>15000</v>
      </c>
      <c r="O910" s="53">
        <f t="shared" si="29"/>
        <v>-15000</v>
      </c>
    </row>
    <row r="911" spans="1:15" x14ac:dyDescent="0.2">
      <c r="A911" s="51" t="s">
        <v>3567</v>
      </c>
      <c r="B911" s="51" t="s">
        <v>3568</v>
      </c>
      <c r="C911" s="51" t="s">
        <v>82</v>
      </c>
      <c r="D911" s="51" t="s">
        <v>3168</v>
      </c>
      <c r="E911" s="51" t="s">
        <v>3167</v>
      </c>
      <c r="F911" s="52">
        <v>48269.844100000002</v>
      </c>
      <c r="G911" s="52">
        <v>24730</v>
      </c>
      <c r="H911" s="52">
        <v>27020</v>
      </c>
      <c r="I911" s="52">
        <v>51750</v>
      </c>
      <c r="J911" s="51">
        <v>2</v>
      </c>
      <c r="K911" s="54">
        <v>15000</v>
      </c>
      <c r="L911" s="51">
        <v>0</v>
      </c>
      <c r="M911" s="54">
        <v>0</v>
      </c>
      <c r="N911" s="53">
        <f t="shared" si="28"/>
        <v>15000</v>
      </c>
      <c r="O911" s="53">
        <f t="shared" si="29"/>
        <v>-15000</v>
      </c>
    </row>
    <row r="912" spans="1:15" x14ac:dyDescent="0.2">
      <c r="A912" s="51" t="s">
        <v>3567</v>
      </c>
      <c r="B912" s="51" t="s">
        <v>3568</v>
      </c>
      <c r="C912" s="51" t="s">
        <v>3653</v>
      </c>
      <c r="D912" s="51" t="s">
        <v>4020</v>
      </c>
      <c r="E912" s="51" t="s">
        <v>4021</v>
      </c>
      <c r="F912" s="52">
        <v>9.2028475948999997</v>
      </c>
      <c r="G912" s="52">
        <v>0</v>
      </c>
      <c r="H912" s="52">
        <v>0</v>
      </c>
      <c r="I912" s="52">
        <v>0</v>
      </c>
      <c r="J912" s="51">
        <v>0</v>
      </c>
      <c r="K912" s="54">
        <v>0</v>
      </c>
      <c r="L912" s="51">
        <v>0</v>
      </c>
      <c r="M912" s="54">
        <v>0</v>
      </c>
      <c r="N912" s="53">
        <f t="shared" si="28"/>
        <v>0</v>
      </c>
      <c r="O912" s="53">
        <f t="shared" si="29"/>
        <v>0</v>
      </c>
    </row>
    <row r="913" spans="1:15" x14ac:dyDescent="0.2">
      <c r="A913" s="51" t="s">
        <v>3567</v>
      </c>
      <c r="B913" s="51" t="s">
        <v>3568</v>
      </c>
      <c r="C913" s="51" t="s">
        <v>57</v>
      </c>
      <c r="D913" s="51" t="s">
        <v>3306</v>
      </c>
      <c r="E913" s="51" t="s">
        <v>3305</v>
      </c>
      <c r="F913" s="52">
        <v>20238.498296827122</v>
      </c>
      <c r="G913" s="52">
        <v>0</v>
      </c>
      <c r="H913" s="52">
        <v>27510</v>
      </c>
      <c r="I913" s="52">
        <v>27510</v>
      </c>
      <c r="J913" s="51">
        <v>0</v>
      </c>
      <c r="K913" s="54">
        <v>0</v>
      </c>
      <c r="L913" s="51">
        <v>2</v>
      </c>
      <c r="M913" s="54">
        <v>20000</v>
      </c>
      <c r="N913" s="53">
        <f t="shared" si="28"/>
        <v>-20000</v>
      </c>
      <c r="O913" s="53">
        <f t="shared" si="29"/>
        <v>20000</v>
      </c>
    </row>
    <row r="914" spans="1:15" x14ac:dyDescent="0.2">
      <c r="A914" s="51" t="s">
        <v>3567</v>
      </c>
      <c r="B914" s="51" t="s">
        <v>3568</v>
      </c>
      <c r="C914" s="51" t="s">
        <v>3653</v>
      </c>
      <c r="D914" s="51" t="s">
        <v>4057</v>
      </c>
      <c r="E914" s="51" t="s">
        <v>4058</v>
      </c>
      <c r="F914" s="52">
        <v>1.025419172335067</v>
      </c>
      <c r="G914" s="52">
        <v>0</v>
      </c>
      <c r="H914" s="52">
        <v>0</v>
      </c>
      <c r="I914" s="52">
        <v>0</v>
      </c>
      <c r="J914" s="51">
        <v>0</v>
      </c>
      <c r="K914" s="54">
        <v>0</v>
      </c>
      <c r="L914" s="51">
        <v>0</v>
      </c>
      <c r="M914" s="54">
        <v>0</v>
      </c>
      <c r="N914" s="53">
        <f t="shared" si="28"/>
        <v>0</v>
      </c>
      <c r="O914" s="53">
        <f t="shared" si="29"/>
        <v>0</v>
      </c>
    </row>
    <row r="915" spans="1:15" x14ac:dyDescent="0.2">
      <c r="A915" s="51" t="s">
        <v>3567</v>
      </c>
      <c r="B915" s="51" t="s">
        <v>3568</v>
      </c>
      <c r="C915" s="51" t="s">
        <v>69</v>
      </c>
      <c r="D915" s="51" t="s">
        <v>786</v>
      </c>
      <c r="E915" s="51" t="s">
        <v>785</v>
      </c>
      <c r="F915" s="52">
        <v>0.60835218583891471</v>
      </c>
      <c r="G915" s="52">
        <v>6190</v>
      </c>
      <c r="H915" s="52">
        <v>6090</v>
      </c>
      <c r="I915" s="52">
        <v>12280</v>
      </c>
      <c r="J915" s="51">
        <v>0</v>
      </c>
      <c r="K915" s="54">
        <v>0</v>
      </c>
      <c r="L915" s="51">
        <v>1</v>
      </c>
      <c r="M915" s="54">
        <v>6000</v>
      </c>
      <c r="N915" s="53">
        <f t="shared" si="28"/>
        <v>-6000</v>
      </c>
      <c r="O915" s="53">
        <f t="shared" si="29"/>
        <v>6000</v>
      </c>
    </row>
    <row r="916" spans="1:15" x14ac:dyDescent="0.2">
      <c r="A916" s="51" t="s">
        <v>3567</v>
      </c>
      <c r="B916" s="51" t="s">
        <v>3568</v>
      </c>
      <c r="C916" s="51" t="s">
        <v>62</v>
      </c>
      <c r="D916" s="51" t="s">
        <v>1910</v>
      </c>
      <c r="E916" s="51" t="s">
        <v>1909</v>
      </c>
      <c r="F916" s="52">
        <v>3691.3110898164418</v>
      </c>
      <c r="G916" s="52">
        <v>1000</v>
      </c>
      <c r="H916" s="52">
        <v>10470</v>
      </c>
      <c r="I916" s="52">
        <v>11470</v>
      </c>
      <c r="J916" s="51">
        <v>0</v>
      </c>
      <c r="K916" s="54">
        <v>0</v>
      </c>
      <c r="L916" s="51">
        <v>2</v>
      </c>
      <c r="M916" s="54">
        <v>30000</v>
      </c>
      <c r="N916" s="53">
        <f t="shared" si="28"/>
        <v>-30000</v>
      </c>
      <c r="O916" s="53">
        <f t="shared" si="29"/>
        <v>30000</v>
      </c>
    </row>
    <row r="917" spans="1:15" x14ac:dyDescent="0.2">
      <c r="A917" s="51" t="s">
        <v>3567</v>
      </c>
      <c r="B917" s="51" t="s">
        <v>3568</v>
      </c>
      <c r="C917" s="51" t="s">
        <v>67</v>
      </c>
      <c r="D917" s="51" t="s">
        <v>4014</v>
      </c>
      <c r="E917" s="51" t="s">
        <v>4015</v>
      </c>
      <c r="F917" s="52">
        <v>3.1080999999999999</v>
      </c>
      <c r="G917" s="52">
        <v>0</v>
      </c>
      <c r="H917" s="52">
        <v>0</v>
      </c>
      <c r="I917" s="52">
        <v>0</v>
      </c>
      <c r="J917" s="51">
        <v>0</v>
      </c>
      <c r="K917" s="54">
        <v>0</v>
      </c>
      <c r="L917" s="51">
        <v>0</v>
      </c>
      <c r="M917" s="54">
        <v>0</v>
      </c>
      <c r="N917" s="53">
        <f t="shared" si="28"/>
        <v>0</v>
      </c>
      <c r="O917" s="53">
        <f t="shared" si="29"/>
        <v>0</v>
      </c>
    </row>
    <row r="918" spans="1:15" x14ac:dyDescent="0.2">
      <c r="A918" s="51" t="s">
        <v>3567</v>
      </c>
      <c r="B918" s="51" t="s">
        <v>3568</v>
      </c>
      <c r="C918" s="51" t="s">
        <v>70</v>
      </c>
      <c r="D918" s="51" t="s">
        <v>3059</v>
      </c>
      <c r="E918" s="51" t="s">
        <v>3058</v>
      </c>
      <c r="F918" s="52">
        <v>8434.5289459003707</v>
      </c>
      <c r="G918" s="52">
        <v>0</v>
      </c>
      <c r="H918" s="52">
        <v>10150</v>
      </c>
      <c r="I918" s="52">
        <v>10150</v>
      </c>
      <c r="J918" s="51">
        <v>0</v>
      </c>
      <c r="K918" s="54">
        <v>0</v>
      </c>
      <c r="L918" s="51">
        <v>1</v>
      </c>
      <c r="M918" s="54">
        <v>23000</v>
      </c>
      <c r="N918" s="53">
        <f t="shared" si="28"/>
        <v>-23000</v>
      </c>
      <c r="O918" s="53">
        <f t="shared" si="29"/>
        <v>23000</v>
      </c>
    </row>
    <row r="919" spans="1:15" x14ac:dyDescent="0.2">
      <c r="A919" s="51" t="s">
        <v>3567</v>
      </c>
      <c r="B919" s="51" t="s">
        <v>3568</v>
      </c>
      <c r="C919" s="51" t="s">
        <v>71</v>
      </c>
      <c r="D919" s="51" t="s">
        <v>4012</v>
      </c>
      <c r="E919" s="51" t="s">
        <v>4013</v>
      </c>
      <c r="F919" s="52">
        <v>1.635768239183278</v>
      </c>
      <c r="G919" s="52">
        <v>0</v>
      </c>
      <c r="H919" s="52">
        <v>0</v>
      </c>
      <c r="I919" s="52">
        <v>0</v>
      </c>
      <c r="J919" s="51">
        <v>0</v>
      </c>
      <c r="K919" s="54">
        <v>0</v>
      </c>
      <c r="L919" s="51">
        <v>0</v>
      </c>
      <c r="M919" s="54">
        <v>0</v>
      </c>
      <c r="N919" s="53">
        <f t="shared" si="28"/>
        <v>0</v>
      </c>
      <c r="O919" s="53">
        <f t="shared" si="29"/>
        <v>0</v>
      </c>
    </row>
    <row r="920" spans="1:15" x14ac:dyDescent="0.2">
      <c r="A920" s="51" t="s">
        <v>3567</v>
      </c>
      <c r="B920" s="51" t="s">
        <v>3568</v>
      </c>
      <c r="C920" s="51" t="s">
        <v>80</v>
      </c>
      <c r="D920" s="51" t="s">
        <v>1204</v>
      </c>
      <c r="E920" s="51" t="s">
        <v>1203</v>
      </c>
      <c r="F920" s="52">
        <v>5220.8919999999998</v>
      </c>
      <c r="G920" s="52">
        <v>0</v>
      </c>
      <c r="H920" s="52">
        <v>0</v>
      </c>
      <c r="I920" s="52">
        <v>0</v>
      </c>
      <c r="J920" s="51">
        <v>1</v>
      </c>
      <c r="K920" s="54">
        <v>5000</v>
      </c>
      <c r="L920" s="51">
        <v>0</v>
      </c>
      <c r="M920" s="54">
        <v>0</v>
      </c>
      <c r="N920" s="53">
        <f t="shared" si="28"/>
        <v>5000</v>
      </c>
      <c r="O920" s="53">
        <f t="shared" si="29"/>
        <v>-5000</v>
      </c>
    </row>
    <row r="921" spans="1:15" x14ac:dyDescent="0.2">
      <c r="A921" s="51" t="s">
        <v>3567</v>
      </c>
      <c r="B921" s="51" t="s">
        <v>3568</v>
      </c>
      <c r="C921" s="51" t="s">
        <v>56</v>
      </c>
      <c r="D921" s="51" t="s">
        <v>275</v>
      </c>
      <c r="E921" s="51" t="s">
        <v>274</v>
      </c>
      <c r="F921" s="52">
        <v>6772.8042999999998</v>
      </c>
      <c r="G921" s="52">
        <v>11925</v>
      </c>
      <c r="H921" s="52">
        <v>34450</v>
      </c>
      <c r="I921" s="52">
        <v>46375</v>
      </c>
      <c r="J921" s="51">
        <v>1</v>
      </c>
      <c r="K921" s="54">
        <v>5000</v>
      </c>
      <c r="L921" s="51">
        <v>1</v>
      </c>
      <c r="M921" s="54">
        <v>30000</v>
      </c>
      <c r="N921" s="53">
        <f t="shared" si="28"/>
        <v>-25000</v>
      </c>
      <c r="O921" s="53">
        <f t="shared" si="29"/>
        <v>25000</v>
      </c>
    </row>
    <row r="922" spans="1:15" x14ac:dyDescent="0.2">
      <c r="A922" s="51" t="s">
        <v>3567</v>
      </c>
      <c r="B922" s="51" t="s">
        <v>3568</v>
      </c>
      <c r="C922" s="51" t="s">
        <v>56</v>
      </c>
      <c r="D922" s="51" t="s">
        <v>4010</v>
      </c>
      <c r="E922" s="51" t="s">
        <v>4011</v>
      </c>
      <c r="F922" s="52">
        <v>2.4626251410362441</v>
      </c>
      <c r="G922" s="52">
        <v>0</v>
      </c>
      <c r="H922" s="52">
        <v>0</v>
      </c>
      <c r="I922" s="52">
        <v>0</v>
      </c>
      <c r="J922" s="51">
        <v>0</v>
      </c>
      <c r="K922" s="54">
        <v>0</v>
      </c>
      <c r="L922" s="51">
        <v>0</v>
      </c>
      <c r="M922" s="54">
        <v>0</v>
      </c>
      <c r="N922" s="53">
        <f t="shared" si="28"/>
        <v>0</v>
      </c>
      <c r="O922" s="53">
        <f t="shared" si="29"/>
        <v>0</v>
      </c>
    </row>
    <row r="923" spans="1:15" x14ac:dyDescent="0.2">
      <c r="A923" s="51" t="s">
        <v>3567</v>
      </c>
      <c r="B923" s="51" t="s">
        <v>3568</v>
      </c>
      <c r="C923" s="51" t="s">
        <v>54</v>
      </c>
      <c r="D923" s="51" t="s">
        <v>1753</v>
      </c>
      <c r="E923" s="51" t="s">
        <v>1752</v>
      </c>
      <c r="F923" s="52">
        <v>847.12824202063939</v>
      </c>
      <c r="G923" s="52">
        <v>1525</v>
      </c>
      <c r="H923" s="52">
        <v>2827</v>
      </c>
      <c r="I923" s="52">
        <v>4352</v>
      </c>
      <c r="J923" s="51">
        <v>0</v>
      </c>
      <c r="K923" s="54">
        <v>0</v>
      </c>
      <c r="L923" s="51">
        <v>1</v>
      </c>
      <c r="M923" s="54">
        <v>4000</v>
      </c>
      <c r="N923" s="53">
        <f t="shared" si="28"/>
        <v>-4000</v>
      </c>
      <c r="O923" s="53">
        <f t="shared" si="29"/>
        <v>4000</v>
      </c>
    </row>
    <row r="924" spans="1:15" x14ac:dyDescent="0.2">
      <c r="A924" s="51" t="s">
        <v>3567</v>
      </c>
      <c r="B924" s="51" t="s">
        <v>3568</v>
      </c>
      <c r="C924" s="51" t="s">
        <v>58</v>
      </c>
      <c r="D924" s="51" t="s">
        <v>737</v>
      </c>
      <c r="E924" s="51" t="s">
        <v>736</v>
      </c>
      <c r="F924" s="52">
        <v>11635.880800000001</v>
      </c>
      <c r="G924" s="52">
        <v>910</v>
      </c>
      <c r="H924" s="52">
        <v>2670</v>
      </c>
      <c r="I924" s="52">
        <v>3580</v>
      </c>
      <c r="J924" s="51">
        <v>0</v>
      </c>
      <c r="K924" s="54">
        <v>0</v>
      </c>
      <c r="L924" s="51">
        <v>1</v>
      </c>
      <c r="M924" s="54">
        <v>10000</v>
      </c>
      <c r="N924" s="53">
        <f t="shared" si="28"/>
        <v>-10000</v>
      </c>
      <c r="O924" s="53">
        <f t="shared" si="29"/>
        <v>10000</v>
      </c>
    </row>
    <row r="925" spans="1:15" x14ac:dyDescent="0.2">
      <c r="A925" s="51" t="s">
        <v>3567</v>
      </c>
      <c r="B925" s="51" t="s">
        <v>3568</v>
      </c>
      <c r="C925" s="51" t="s">
        <v>52</v>
      </c>
      <c r="D925" s="51" t="s">
        <v>1818</v>
      </c>
      <c r="E925" s="51" t="s">
        <v>1817</v>
      </c>
      <c r="F925" s="52">
        <v>11867.76231890971</v>
      </c>
      <c r="G925" s="52">
        <v>900</v>
      </c>
      <c r="H925" s="52">
        <v>1950</v>
      </c>
      <c r="I925" s="52">
        <v>2850</v>
      </c>
      <c r="J925" s="51">
        <v>1</v>
      </c>
      <c r="K925" s="54">
        <v>6000</v>
      </c>
      <c r="L925" s="51">
        <v>0</v>
      </c>
      <c r="M925" s="54">
        <v>0</v>
      </c>
      <c r="N925" s="53">
        <f t="shared" si="28"/>
        <v>6000</v>
      </c>
      <c r="O925" s="53">
        <f t="shared" si="29"/>
        <v>-6000</v>
      </c>
    </row>
    <row r="926" spans="1:15" x14ac:dyDescent="0.2">
      <c r="A926" s="51" t="s">
        <v>3567</v>
      </c>
      <c r="B926" s="51" t="s">
        <v>3568</v>
      </c>
      <c r="C926" s="51" t="s">
        <v>74</v>
      </c>
      <c r="D926" s="51" t="s">
        <v>247</v>
      </c>
      <c r="E926" s="51" t="s">
        <v>246</v>
      </c>
      <c r="F926" s="52">
        <v>1.4843389796740221</v>
      </c>
      <c r="G926" s="52">
        <v>0</v>
      </c>
      <c r="H926" s="52">
        <v>0</v>
      </c>
      <c r="I926" s="52">
        <v>0</v>
      </c>
      <c r="J926" s="51">
        <v>0</v>
      </c>
      <c r="K926" s="54">
        <v>0</v>
      </c>
      <c r="L926" s="51">
        <v>0</v>
      </c>
      <c r="M926" s="54">
        <v>0</v>
      </c>
      <c r="N926" s="53">
        <f t="shared" si="28"/>
        <v>0</v>
      </c>
      <c r="O926" s="53">
        <f t="shared" si="29"/>
        <v>0</v>
      </c>
    </row>
    <row r="927" spans="1:15" x14ac:dyDescent="0.2">
      <c r="A927" s="51" t="s">
        <v>3567</v>
      </c>
      <c r="B927" s="51" t="s">
        <v>3568</v>
      </c>
      <c r="C927" s="51" t="s">
        <v>67</v>
      </c>
      <c r="D927" s="51" t="s">
        <v>2188</v>
      </c>
      <c r="E927" s="51" t="s">
        <v>2187</v>
      </c>
      <c r="F927" s="52">
        <v>14.61995612472556</v>
      </c>
      <c r="G927" s="52">
        <v>0</v>
      </c>
      <c r="H927" s="52">
        <v>0</v>
      </c>
      <c r="I927" s="52">
        <v>0</v>
      </c>
      <c r="J927" s="51">
        <v>0</v>
      </c>
      <c r="K927" s="54">
        <v>0</v>
      </c>
      <c r="L927" s="51">
        <v>0</v>
      </c>
      <c r="M927" s="54">
        <v>0</v>
      </c>
      <c r="N927" s="53">
        <f t="shared" si="28"/>
        <v>0</v>
      </c>
      <c r="O927" s="53">
        <f t="shared" si="29"/>
        <v>0</v>
      </c>
    </row>
    <row r="928" spans="1:15" x14ac:dyDescent="0.2">
      <c r="A928" s="51" t="s">
        <v>3567</v>
      </c>
      <c r="B928" s="51" t="s">
        <v>3568</v>
      </c>
      <c r="C928" s="51" t="s">
        <v>81</v>
      </c>
      <c r="D928" s="51" t="s">
        <v>1333</v>
      </c>
      <c r="E928" s="51" t="s">
        <v>1332</v>
      </c>
      <c r="F928" s="52">
        <v>7216.8475471304437</v>
      </c>
      <c r="G928" s="52">
        <v>610</v>
      </c>
      <c r="H928" s="52">
        <v>0</v>
      </c>
      <c r="I928" s="52">
        <v>610</v>
      </c>
      <c r="J928" s="51">
        <v>1</v>
      </c>
      <c r="K928" s="54">
        <v>6000</v>
      </c>
      <c r="L928" s="51">
        <v>0</v>
      </c>
      <c r="M928" s="54">
        <v>0</v>
      </c>
      <c r="N928" s="53">
        <f t="shared" si="28"/>
        <v>6000</v>
      </c>
      <c r="O928" s="53">
        <f t="shared" si="29"/>
        <v>-6000</v>
      </c>
    </row>
    <row r="929" spans="1:15" x14ac:dyDescent="0.2">
      <c r="A929" s="51" t="s">
        <v>3567</v>
      </c>
      <c r="B929" s="51" t="s">
        <v>3568</v>
      </c>
      <c r="C929" s="51" t="s">
        <v>60</v>
      </c>
      <c r="D929" s="51" t="s">
        <v>3553</v>
      </c>
      <c r="E929" s="51" t="s">
        <v>3552</v>
      </c>
      <c r="F929" s="52">
        <v>51050.055200000003</v>
      </c>
      <c r="G929" s="52">
        <v>3000</v>
      </c>
      <c r="H929" s="52">
        <v>0</v>
      </c>
      <c r="I929" s="52">
        <v>3000</v>
      </c>
      <c r="J929" s="51">
        <v>1</v>
      </c>
      <c r="K929" s="54">
        <v>10000</v>
      </c>
      <c r="L929" s="51">
        <v>0</v>
      </c>
      <c r="M929" s="54">
        <v>0</v>
      </c>
      <c r="N929" s="53">
        <f t="shared" si="28"/>
        <v>10000</v>
      </c>
      <c r="O929" s="53">
        <f t="shared" si="29"/>
        <v>-10000</v>
      </c>
    </row>
    <row r="930" spans="1:15" x14ac:dyDescent="0.2">
      <c r="A930" s="51" t="s">
        <v>3567</v>
      </c>
      <c r="B930" s="51" t="s">
        <v>3568</v>
      </c>
      <c r="C930" s="51" t="s">
        <v>82</v>
      </c>
      <c r="D930" s="51" t="s">
        <v>1579</v>
      </c>
      <c r="E930" s="51" t="s">
        <v>1578</v>
      </c>
      <c r="F930" s="52">
        <v>79.939599999999999</v>
      </c>
      <c r="G930" s="52">
        <v>0</v>
      </c>
      <c r="H930" s="52">
        <v>0</v>
      </c>
      <c r="I930" s="52">
        <v>0</v>
      </c>
      <c r="J930" s="51">
        <v>0</v>
      </c>
      <c r="K930" s="54">
        <v>0</v>
      </c>
      <c r="L930" s="51">
        <v>0</v>
      </c>
      <c r="M930" s="54">
        <v>0</v>
      </c>
      <c r="N930" s="53">
        <f t="shared" si="28"/>
        <v>0</v>
      </c>
      <c r="O930" s="53">
        <f t="shared" si="29"/>
        <v>0</v>
      </c>
    </row>
    <row r="931" spans="1:15" x14ac:dyDescent="0.2">
      <c r="A931" s="51" t="s">
        <v>3567</v>
      </c>
      <c r="B931" s="51" t="s">
        <v>3568</v>
      </c>
      <c r="C931" s="51" t="s">
        <v>85</v>
      </c>
      <c r="D931" s="51" t="s">
        <v>2384</v>
      </c>
      <c r="E931" s="51" t="s">
        <v>2383</v>
      </c>
      <c r="F931" s="52">
        <v>316.01119240207652</v>
      </c>
      <c r="G931" s="52">
        <v>4000</v>
      </c>
      <c r="H931" s="52">
        <v>9435</v>
      </c>
      <c r="I931" s="52">
        <v>13435</v>
      </c>
      <c r="J931" s="51">
        <v>0</v>
      </c>
      <c r="K931" s="54">
        <v>0</v>
      </c>
      <c r="L931" s="51">
        <v>2</v>
      </c>
      <c r="M931" s="54">
        <v>9000</v>
      </c>
      <c r="N931" s="53">
        <f t="shared" si="28"/>
        <v>-9000</v>
      </c>
      <c r="O931" s="53">
        <f t="shared" si="29"/>
        <v>9000</v>
      </c>
    </row>
    <row r="932" spans="1:15" x14ac:dyDescent="0.2">
      <c r="A932" s="51" t="s">
        <v>3567</v>
      </c>
      <c r="B932" s="51" t="s">
        <v>3568</v>
      </c>
      <c r="C932" s="51" t="s">
        <v>83</v>
      </c>
      <c r="D932" s="51" t="s">
        <v>2175</v>
      </c>
      <c r="E932" s="51" t="s">
        <v>2174</v>
      </c>
      <c r="F932" s="52">
        <v>20363.42598769064</v>
      </c>
      <c r="G932" s="52">
        <v>6305</v>
      </c>
      <c r="H932" s="52">
        <v>29755</v>
      </c>
      <c r="I932" s="52">
        <v>36060</v>
      </c>
      <c r="J932" s="51">
        <v>0</v>
      </c>
      <c r="K932" s="54">
        <v>0</v>
      </c>
      <c r="L932" s="51">
        <v>2</v>
      </c>
      <c r="M932" s="54">
        <v>35000</v>
      </c>
      <c r="N932" s="53">
        <f t="shared" si="28"/>
        <v>-35000</v>
      </c>
      <c r="O932" s="53">
        <f t="shared" si="29"/>
        <v>35000</v>
      </c>
    </row>
    <row r="933" spans="1:15" x14ac:dyDescent="0.2">
      <c r="A933" s="51" t="s">
        <v>3567</v>
      </c>
      <c r="B933" s="51" t="s">
        <v>3568</v>
      </c>
      <c r="C933" s="51" t="s">
        <v>81</v>
      </c>
      <c r="D933" s="51" t="s">
        <v>1159</v>
      </c>
      <c r="E933" s="51" t="s">
        <v>769</v>
      </c>
      <c r="F933" s="52">
        <v>52329.477779690322</v>
      </c>
      <c r="G933" s="52">
        <v>15645</v>
      </c>
      <c r="H933" s="52">
        <v>34285</v>
      </c>
      <c r="I933" s="52">
        <v>49930</v>
      </c>
      <c r="J933" s="51">
        <v>0</v>
      </c>
      <c r="K933" s="54">
        <v>0</v>
      </c>
      <c r="L933" s="51">
        <v>1</v>
      </c>
      <c r="M933" s="54">
        <v>50000</v>
      </c>
      <c r="N933" s="53">
        <f t="shared" si="28"/>
        <v>-50000</v>
      </c>
      <c r="O933" s="53">
        <f t="shared" si="29"/>
        <v>50000</v>
      </c>
    </row>
    <row r="934" spans="1:15" x14ac:dyDescent="0.2">
      <c r="A934" s="51" t="s">
        <v>3567</v>
      </c>
      <c r="B934" s="51" t="s">
        <v>3568</v>
      </c>
      <c r="C934" s="51" t="s">
        <v>3647</v>
      </c>
      <c r="D934" s="51" t="s">
        <v>4041</v>
      </c>
      <c r="E934" s="51" t="s">
        <v>4042</v>
      </c>
      <c r="F934" s="52">
        <v>1.1651434785000001</v>
      </c>
      <c r="G934" s="52">
        <v>0</v>
      </c>
      <c r="H934" s="52">
        <v>0</v>
      </c>
      <c r="I934" s="52">
        <v>0</v>
      </c>
      <c r="J934" s="51">
        <v>0</v>
      </c>
      <c r="K934" s="54">
        <v>0</v>
      </c>
      <c r="L934" s="51">
        <v>0</v>
      </c>
      <c r="M934" s="54">
        <v>0</v>
      </c>
      <c r="N934" s="53">
        <f t="shared" si="28"/>
        <v>0</v>
      </c>
      <c r="O934" s="53">
        <f t="shared" si="29"/>
        <v>0</v>
      </c>
    </row>
    <row r="935" spans="1:15" x14ac:dyDescent="0.2">
      <c r="A935" s="51" t="s">
        <v>3567</v>
      </c>
      <c r="B935" s="51" t="s">
        <v>3568</v>
      </c>
      <c r="C935" s="51" t="s">
        <v>85</v>
      </c>
      <c r="D935" s="51" t="s">
        <v>1056</v>
      </c>
      <c r="E935" s="51" t="s">
        <v>1055</v>
      </c>
      <c r="F935" s="52">
        <v>852.89541958899997</v>
      </c>
      <c r="G935" s="52">
        <v>5110</v>
      </c>
      <c r="H935" s="52">
        <v>0</v>
      </c>
      <c r="I935" s="52">
        <v>5110</v>
      </c>
      <c r="J935" s="51">
        <v>1</v>
      </c>
      <c r="K935" s="54">
        <v>5000</v>
      </c>
      <c r="L935" s="51">
        <v>0</v>
      </c>
      <c r="M935" s="54">
        <v>0</v>
      </c>
      <c r="N935" s="53">
        <f t="shared" si="28"/>
        <v>5000</v>
      </c>
      <c r="O935" s="53">
        <f t="shared" si="29"/>
        <v>-5000</v>
      </c>
    </row>
    <row r="936" spans="1:15" x14ac:dyDescent="0.2">
      <c r="A936" s="51" t="s">
        <v>3567</v>
      </c>
      <c r="B936" s="51" t="s">
        <v>3568</v>
      </c>
      <c r="C936" s="51" t="s">
        <v>72</v>
      </c>
      <c r="D936" s="51" t="s">
        <v>727</v>
      </c>
      <c r="E936" s="51" t="s">
        <v>726</v>
      </c>
      <c r="F936" s="52">
        <v>2132.2141999999999</v>
      </c>
      <c r="G936" s="52">
        <v>2905</v>
      </c>
      <c r="H936" s="52">
        <v>860</v>
      </c>
      <c r="I936" s="52">
        <v>3765</v>
      </c>
      <c r="J936" s="51">
        <v>0</v>
      </c>
      <c r="K936" s="54">
        <v>0</v>
      </c>
      <c r="L936" s="51">
        <v>1</v>
      </c>
      <c r="M936" s="54">
        <v>7000</v>
      </c>
      <c r="N936" s="53">
        <f t="shared" si="28"/>
        <v>-7000</v>
      </c>
      <c r="O936" s="53">
        <f t="shared" si="29"/>
        <v>7000</v>
      </c>
    </row>
    <row r="937" spans="1:15" x14ac:dyDescent="0.2">
      <c r="A937" s="51" t="s">
        <v>3567</v>
      </c>
      <c r="B937" s="51" t="s">
        <v>3568</v>
      </c>
      <c r="C937" s="51" t="s">
        <v>86</v>
      </c>
      <c r="D937" s="51" t="s">
        <v>2511</v>
      </c>
      <c r="E937" s="51" t="s">
        <v>2510</v>
      </c>
      <c r="F937" s="52">
        <v>3057.7224143478002</v>
      </c>
      <c r="G937" s="52">
        <v>0</v>
      </c>
      <c r="H937" s="52">
        <v>1110</v>
      </c>
      <c r="I937" s="52">
        <v>1110</v>
      </c>
      <c r="J937" s="51">
        <v>0</v>
      </c>
      <c r="K937" s="54">
        <v>0</v>
      </c>
      <c r="L937" s="51">
        <v>1</v>
      </c>
      <c r="M937" s="54">
        <v>15000</v>
      </c>
      <c r="N937" s="53">
        <f t="shared" si="28"/>
        <v>-15000</v>
      </c>
      <c r="O937" s="53">
        <f t="shared" si="29"/>
        <v>15000</v>
      </c>
    </row>
    <row r="938" spans="1:15" x14ac:dyDescent="0.2">
      <c r="A938" s="51" t="s">
        <v>3567</v>
      </c>
      <c r="B938" s="51" t="s">
        <v>3568</v>
      </c>
      <c r="C938" s="51" t="s">
        <v>73</v>
      </c>
      <c r="D938" s="51" t="s">
        <v>321</v>
      </c>
      <c r="E938" s="51" t="s">
        <v>320</v>
      </c>
      <c r="F938" s="52">
        <v>6163.9446191382121</v>
      </c>
      <c r="G938" s="52">
        <v>0</v>
      </c>
      <c r="H938" s="52">
        <v>0</v>
      </c>
      <c r="I938" s="52">
        <v>0</v>
      </c>
      <c r="J938" s="51">
        <v>1</v>
      </c>
      <c r="K938" s="54">
        <v>6000</v>
      </c>
      <c r="L938" s="51">
        <v>0</v>
      </c>
      <c r="M938" s="54">
        <v>0</v>
      </c>
      <c r="N938" s="53">
        <f t="shared" si="28"/>
        <v>6000</v>
      </c>
      <c r="O938" s="53">
        <f t="shared" si="29"/>
        <v>-6000</v>
      </c>
    </row>
    <row r="939" spans="1:15" x14ac:dyDescent="0.2">
      <c r="A939" s="51" t="s">
        <v>3567</v>
      </c>
      <c r="B939" s="51" t="s">
        <v>3568</v>
      </c>
      <c r="C939" s="51" t="s">
        <v>53</v>
      </c>
      <c r="D939" s="51" t="s">
        <v>3037</v>
      </c>
      <c r="E939" s="51" t="s">
        <v>3036</v>
      </c>
      <c r="F939" s="52">
        <v>10093.4136</v>
      </c>
      <c r="G939" s="52">
        <v>7530</v>
      </c>
      <c r="H939" s="52">
        <v>27170</v>
      </c>
      <c r="I939" s="52">
        <v>34700</v>
      </c>
      <c r="J939" s="51">
        <v>0</v>
      </c>
      <c r="K939" s="54">
        <v>0</v>
      </c>
      <c r="L939" s="51">
        <v>1</v>
      </c>
      <c r="M939" s="54">
        <v>10000</v>
      </c>
      <c r="N939" s="53">
        <f t="shared" si="28"/>
        <v>-10000</v>
      </c>
      <c r="O939" s="53">
        <f t="shared" si="29"/>
        <v>10000</v>
      </c>
    </row>
    <row r="940" spans="1:15" x14ac:dyDescent="0.2">
      <c r="A940" s="51" t="s">
        <v>3567</v>
      </c>
      <c r="B940" s="51" t="s">
        <v>3568</v>
      </c>
      <c r="C940" s="51" t="s">
        <v>84</v>
      </c>
      <c r="D940" s="51" t="s">
        <v>1136</v>
      </c>
      <c r="E940" s="51" t="s">
        <v>1135</v>
      </c>
      <c r="F940" s="52">
        <v>8.0041784072059681</v>
      </c>
      <c r="G940" s="52">
        <v>0</v>
      </c>
      <c r="H940" s="52">
        <v>0</v>
      </c>
      <c r="I940" s="52">
        <v>0</v>
      </c>
      <c r="J940" s="51">
        <v>0</v>
      </c>
      <c r="K940" s="54">
        <v>0</v>
      </c>
      <c r="L940" s="51">
        <v>0</v>
      </c>
      <c r="M940" s="54">
        <v>0</v>
      </c>
      <c r="N940" s="53">
        <f t="shared" si="28"/>
        <v>0</v>
      </c>
      <c r="O940" s="53">
        <f t="shared" si="29"/>
        <v>0</v>
      </c>
    </row>
    <row r="941" spans="1:15" x14ac:dyDescent="0.2">
      <c r="A941" s="51" t="s">
        <v>3567</v>
      </c>
      <c r="B941" s="51" t="s">
        <v>3568</v>
      </c>
      <c r="C941" s="51" t="s">
        <v>68</v>
      </c>
      <c r="D941" s="51" t="s">
        <v>1343</v>
      </c>
      <c r="E941" s="51" t="s">
        <v>1342</v>
      </c>
      <c r="F941" s="52">
        <v>4182.2088001488</v>
      </c>
      <c r="G941" s="52">
        <v>0</v>
      </c>
      <c r="H941" s="52">
        <v>1500</v>
      </c>
      <c r="I941" s="52">
        <v>1500</v>
      </c>
      <c r="J941" s="51">
        <v>1</v>
      </c>
      <c r="K941" s="54">
        <v>5000</v>
      </c>
      <c r="L941" s="51">
        <v>2</v>
      </c>
      <c r="M941" s="54">
        <v>11000</v>
      </c>
      <c r="N941" s="53">
        <f t="shared" si="28"/>
        <v>-6000</v>
      </c>
      <c r="O941" s="53">
        <f t="shared" si="29"/>
        <v>6000</v>
      </c>
    </row>
    <row r="942" spans="1:15" x14ac:dyDescent="0.2">
      <c r="A942" s="51" t="s">
        <v>3567</v>
      </c>
      <c r="B942" s="51" t="s">
        <v>3568</v>
      </c>
      <c r="C942" s="51" t="s">
        <v>81</v>
      </c>
      <c r="D942" s="51" t="s">
        <v>1569</v>
      </c>
      <c r="E942" s="51" t="s">
        <v>1568</v>
      </c>
      <c r="F942" s="52">
        <v>41574.848370246458</v>
      </c>
      <c r="G942" s="52">
        <v>22250</v>
      </c>
      <c r="H942" s="52">
        <v>2790</v>
      </c>
      <c r="I942" s="52">
        <v>25040</v>
      </c>
      <c r="J942" s="51">
        <v>1</v>
      </c>
      <c r="K942" s="54">
        <v>5000</v>
      </c>
      <c r="L942" s="51">
        <v>1</v>
      </c>
      <c r="M942" s="54">
        <v>10000</v>
      </c>
      <c r="N942" s="53">
        <f t="shared" si="28"/>
        <v>-5000</v>
      </c>
      <c r="O942" s="53">
        <f t="shared" si="29"/>
        <v>5000</v>
      </c>
    </row>
    <row r="943" spans="1:15" x14ac:dyDescent="0.2">
      <c r="A943" s="51" t="s">
        <v>3567</v>
      </c>
      <c r="B943" s="51" t="s">
        <v>3568</v>
      </c>
      <c r="C943" s="51" t="s">
        <v>62</v>
      </c>
      <c r="D943" s="51" t="s">
        <v>640</v>
      </c>
      <c r="E943" s="51" t="s">
        <v>147</v>
      </c>
      <c r="F943" s="52">
        <v>5064.4233000000004</v>
      </c>
      <c r="G943" s="52">
        <v>1013</v>
      </c>
      <c r="H943" s="52">
        <v>6350</v>
      </c>
      <c r="I943" s="52">
        <v>7363</v>
      </c>
      <c r="J943" s="51">
        <v>0</v>
      </c>
      <c r="K943" s="54">
        <v>0</v>
      </c>
      <c r="L943" s="51">
        <v>1</v>
      </c>
      <c r="M943" s="54">
        <v>6000</v>
      </c>
      <c r="N943" s="53">
        <f t="shared" si="28"/>
        <v>-6000</v>
      </c>
      <c r="O943" s="53">
        <f t="shared" si="29"/>
        <v>6000</v>
      </c>
    </row>
    <row r="944" spans="1:15" x14ac:dyDescent="0.2">
      <c r="A944" s="51" t="s">
        <v>3567</v>
      </c>
      <c r="B944" s="51" t="s">
        <v>3568</v>
      </c>
      <c r="C944" s="51" t="s">
        <v>3718</v>
      </c>
      <c r="D944" s="51" t="s">
        <v>4051</v>
      </c>
      <c r="E944" s="51" t="s">
        <v>4052</v>
      </c>
      <c r="F944" s="52">
        <v>7.5752501293679178</v>
      </c>
      <c r="G944" s="52">
        <v>0</v>
      </c>
      <c r="H944" s="52">
        <v>0</v>
      </c>
      <c r="I944" s="52">
        <v>0</v>
      </c>
      <c r="J944" s="51">
        <v>0</v>
      </c>
      <c r="K944" s="54">
        <v>0</v>
      </c>
      <c r="L944" s="51">
        <v>0</v>
      </c>
      <c r="M944" s="54">
        <v>0</v>
      </c>
      <c r="N944" s="53">
        <f t="shared" si="28"/>
        <v>0</v>
      </c>
      <c r="O944" s="53">
        <f t="shared" si="29"/>
        <v>0</v>
      </c>
    </row>
    <row r="945" spans="1:15" x14ac:dyDescent="0.2">
      <c r="A945" s="51" t="s">
        <v>3567</v>
      </c>
      <c r="B945" s="51" t="s">
        <v>3568</v>
      </c>
      <c r="C945" s="51" t="s">
        <v>74</v>
      </c>
      <c r="D945" s="51" t="s">
        <v>2474</v>
      </c>
      <c r="E945" s="51" t="s">
        <v>2473</v>
      </c>
      <c r="F945" s="52">
        <v>1484.1858999999999</v>
      </c>
      <c r="G945" s="52">
        <v>0</v>
      </c>
      <c r="H945" s="52">
        <v>500</v>
      </c>
      <c r="I945" s="52">
        <v>500</v>
      </c>
      <c r="J945" s="51">
        <v>0</v>
      </c>
      <c r="K945" s="54">
        <v>0</v>
      </c>
      <c r="L945" s="51">
        <v>1</v>
      </c>
      <c r="M945" s="54">
        <v>5000</v>
      </c>
      <c r="N945" s="53">
        <f t="shared" si="28"/>
        <v>-5000</v>
      </c>
      <c r="O945" s="53">
        <f t="shared" si="29"/>
        <v>5000</v>
      </c>
    </row>
    <row r="946" spans="1:15" x14ac:dyDescent="0.2">
      <c r="A946" s="51" t="s">
        <v>3567</v>
      </c>
      <c r="B946" s="51" t="s">
        <v>3568</v>
      </c>
      <c r="C946" s="51" t="s">
        <v>69</v>
      </c>
      <c r="D946" s="51" t="s">
        <v>2929</v>
      </c>
      <c r="E946" s="51" t="s">
        <v>2928</v>
      </c>
      <c r="F946" s="52">
        <v>8977.2524449483171</v>
      </c>
      <c r="G946" s="52">
        <v>2810</v>
      </c>
      <c r="H946" s="52">
        <v>1992</v>
      </c>
      <c r="I946" s="52">
        <v>4802</v>
      </c>
      <c r="J946" s="51">
        <v>1</v>
      </c>
      <c r="K946" s="54">
        <v>5000</v>
      </c>
      <c r="L946" s="51">
        <v>0</v>
      </c>
      <c r="M946" s="54">
        <v>0</v>
      </c>
      <c r="N946" s="53">
        <f t="shared" si="28"/>
        <v>5000</v>
      </c>
      <c r="O946" s="53">
        <f t="shared" si="29"/>
        <v>-5000</v>
      </c>
    </row>
    <row r="947" spans="1:15" x14ac:dyDescent="0.2">
      <c r="A947" s="51" t="s">
        <v>3567</v>
      </c>
      <c r="B947" s="51" t="s">
        <v>3568</v>
      </c>
      <c r="C947" s="51" t="s">
        <v>73</v>
      </c>
      <c r="D947" s="51" t="s">
        <v>2396</v>
      </c>
      <c r="E947" s="51" t="s">
        <v>2395</v>
      </c>
      <c r="F947" s="52">
        <v>550.35820000000001</v>
      </c>
      <c r="G947" s="52">
        <v>19342</v>
      </c>
      <c r="H947" s="52">
        <v>18655</v>
      </c>
      <c r="I947" s="52">
        <v>37997</v>
      </c>
      <c r="J947" s="51">
        <v>0</v>
      </c>
      <c r="K947" s="54">
        <v>0</v>
      </c>
      <c r="L947" s="51">
        <v>0</v>
      </c>
      <c r="M947" s="54">
        <v>0</v>
      </c>
      <c r="N947" s="53">
        <f t="shared" si="28"/>
        <v>0</v>
      </c>
      <c r="O947" s="53">
        <f t="shared" si="29"/>
        <v>0</v>
      </c>
    </row>
    <row r="948" spans="1:15" x14ac:dyDescent="0.2">
      <c r="A948" s="51" t="s">
        <v>3567</v>
      </c>
      <c r="B948" s="51" t="s">
        <v>3568</v>
      </c>
      <c r="C948" s="51" t="s">
        <v>3607</v>
      </c>
      <c r="D948" s="51" t="s">
        <v>4075</v>
      </c>
      <c r="E948" s="51" t="s">
        <v>4076</v>
      </c>
      <c r="F948" s="52">
        <v>24.549019788498679</v>
      </c>
      <c r="G948" s="52">
        <v>0</v>
      </c>
      <c r="H948" s="52">
        <v>0</v>
      </c>
      <c r="I948" s="52">
        <v>0</v>
      </c>
      <c r="J948" s="51">
        <v>0</v>
      </c>
      <c r="K948" s="54">
        <v>0</v>
      </c>
      <c r="L948" s="51">
        <v>0</v>
      </c>
      <c r="M948" s="54">
        <v>0</v>
      </c>
      <c r="N948" s="53">
        <f t="shared" si="28"/>
        <v>0</v>
      </c>
      <c r="O948" s="53">
        <f t="shared" si="29"/>
        <v>0</v>
      </c>
    </row>
    <row r="949" spans="1:15" x14ac:dyDescent="0.2">
      <c r="A949" s="51" t="s">
        <v>3567</v>
      </c>
      <c r="B949" s="51" t="s">
        <v>3568</v>
      </c>
      <c r="C949" s="51" t="s">
        <v>82</v>
      </c>
      <c r="D949" s="51" t="s">
        <v>3158</v>
      </c>
      <c r="E949" s="51" t="s">
        <v>3157</v>
      </c>
      <c r="F949" s="52">
        <v>17.51751379352034</v>
      </c>
      <c r="G949" s="52">
        <v>0</v>
      </c>
      <c r="H949" s="52">
        <v>0</v>
      </c>
      <c r="I949" s="52">
        <v>0</v>
      </c>
      <c r="J949" s="51">
        <v>0</v>
      </c>
      <c r="K949" s="54">
        <v>0</v>
      </c>
      <c r="L949" s="51">
        <v>0</v>
      </c>
      <c r="M949" s="54">
        <v>0</v>
      </c>
      <c r="N949" s="53">
        <f t="shared" si="28"/>
        <v>0</v>
      </c>
      <c r="O949" s="53">
        <f t="shared" si="29"/>
        <v>0</v>
      </c>
    </row>
    <row r="950" spans="1:15" x14ac:dyDescent="0.2">
      <c r="A950" s="51" t="s">
        <v>3567</v>
      </c>
      <c r="B950" s="51" t="s">
        <v>3568</v>
      </c>
      <c r="C950" s="51" t="s">
        <v>59</v>
      </c>
      <c r="D950" s="51" t="s">
        <v>1793</v>
      </c>
      <c r="E950" s="51" t="s">
        <v>1792</v>
      </c>
      <c r="F950" s="52">
        <v>426.67068272422938</v>
      </c>
      <c r="G950" s="52">
        <v>0</v>
      </c>
      <c r="H950" s="52">
        <v>0</v>
      </c>
      <c r="I950" s="52">
        <v>0</v>
      </c>
      <c r="J950" s="51">
        <v>0</v>
      </c>
      <c r="K950" s="54">
        <v>0</v>
      </c>
      <c r="L950" s="51">
        <v>0</v>
      </c>
      <c r="M950" s="54">
        <v>0</v>
      </c>
      <c r="N950" s="53">
        <f t="shared" si="28"/>
        <v>0</v>
      </c>
      <c r="O950" s="53">
        <f t="shared" si="29"/>
        <v>0</v>
      </c>
    </row>
    <row r="951" spans="1:15" x14ac:dyDescent="0.2">
      <c r="A951" s="51" t="s">
        <v>3567</v>
      </c>
      <c r="B951" s="51" t="s">
        <v>3568</v>
      </c>
      <c r="C951" s="51" t="s">
        <v>56</v>
      </c>
      <c r="D951" s="51" t="s">
        <v>4063</v>
      </c>
      <c r="E951" s="51" t="s">
        <v>4064</v>
      </c>
      <c r="F951" s="52">
        <v>33.763100000000001</v>
      </c>
      <c r="G951" s="52">
        <v>0</v>
      </c>
      <c r="H951" s="52">
        <v>0</v>
      </c>
      <c r="I951" s="52">
        <v>0</v>
      </c>
      <c r="J951" s="51">
        <v>0</v>
      </c>
      <c r="K951" s="54">
        <v>0</v>
      </c>
      <c r="L951" s="51">
        <v>0</v>
      </c>
      <c r="M951" s="54">
        <v>0</v>
      </c>
      <c r="N951" s="53">
        <f t="shared" si="28"/>
        <v>0</v>
      </c>
      <c r="O951" s="53">
        <f t="shared" si="29"/>
        <v>0</v>
      </c>
    </row>
    <row r="952" spans="1:15" x14ac:dyDescent="0.2">
      <c r="A952" s="51" t="s">
        <v>3567</v>
      </c>
      <c r="B952" s="51" t="s">
        <v>3568</v>
      </c>
      <c r="C952" s="51" t="s">
        <v>83</v>
      </c>
      <c r="D952" s="51" t="s">
        <v>2466</v>
      </c>
      <c r="E952" s="51" t="s">
        <v>2465</v>
      </c>
      <c r="F952" s="52">
        <v>70203.088011478307</v>
      </c>
      <c r="G952" s="52">
        <v>19440</v>
      </c>
      <c r="H952" s="52">
        <v>48890</v>
      </c>
      <c r="I952" s="52">
        <v>68330</v>
      </c>
      <c r="J952" s="51">
        <v>1</v>
      </c>
      <c r="K952" s="54">
        <v>5000</v>
      </c>
      <c r="L952" s="51">
        <v>0</v>
      </c>
      <c r="M952" s="54">
        <v>0</v>
      </c>
      <c r="N952" s="53">
        <f t="shared" si="28"/>
        <v>5000</v>
      </c>
      <c r="O952" s="53">
        <f t="shared" si="29"/>
        <v>-5000</v>
      </c>
    </row>
    <row r="953" spans="1:15" x14ac:dyDescent="0.2">
      <c r="A953" s="51" t="s">
        <v>3567</v>
      </c>
      <c r="B953" s="51" t="s">
        <v>3568</v>
      </c>
      <c r="C953" s="51" t="s">
        <v>85</v>
      </c>
      <c r="D953" s="51" t="s">
        <v>4083</v>
      </c>
      <c r="E953" s="51" t="s">
        <v>769</v>
      </c>
      <c r="F953" s="52">
        <v>1.7879852709514421</v>
      </c>
      <c r="G953" s="52">
        <v>0</v>
      </c>
      <c r="H953" s="52">
        <v>0</v>
      </c>
      <c r="I953" s="52">
        <v>0</v>
      </c>
      <c r="J953" s="51">
        <v>0</v>
      </c>
      <c r="K953" s="54">
        <v>0</v>
      </c>
      <c r="L953" s="51">
        <v>0</v>
      </c>
      <c r="M953" s="54">
        <v>0</v>
      </c>
      <c r="N953" s="53">
        <f t="shared" si="28"/>
        <v>0</v>
      </c>
      <c r="O953" s="53">
        <f t="shared" si="29"/>
        <v>0</v>
      </c>
    </row>
    <row r="954" spans="1:15" x14ac:dyDescent="0.2">
      <c r="A954" s="51" t="s">
        <v>3567</v>
      </c>
      <c r="B954" s="51" t="s">
        <v>3568</v>
      </c>
      <c r="C954" s="51" t="s">
        <v>3756</v>
      </c>
      <c r="D954" s="51" t="s">
        <v>4065</v>
      </c>
      <c r="E954" s="51" t="s">
        <v>4066</v>
      </c>
      <c r="F954" s="52">
        <v>0.88248000000000004</v>
      </c>
      <c r="G954" s="52">
        <v>0</v>
      </c>
      <c r="H954" s="52">
        <v>0</v>
      </c>
      <c r="I954" s="52">
        <v>0</v>
      </c>
      <c r="J954" s="51">
        <v>0</v>
      </c>
      <c r="K954" s="54">
        <v>0</v>
      </c>
      <c r="L954" s="51">
        <v>0</v>
      </c>
      <c r="M954" s="54">
        <v>0</v>
      </c>
      <c r="N954" s="53">
        <f t="shared" si="28"/>
        <v>0</v>
      </c>
      <c r="O954" s="53">
        <f t="shared" si="29"/>
        <v>0</v>
      </c>
    </row>
    <row r="955" spans="1:15" x14ac:dyDescent="0.2">
      <c r="A955" s="51" t="s">
        <v>3567</v>
      </c>
      <c r="B955" s="51" t="s">
        <v>3568</v>
      </c>
      <c r="C955" s="51" t="s">
        <v>78</v>
      </c>
      <c r="D955" s="51" t="s">
        <v>394</v>
      </c>
      <c r="E955" s="51" t="s">
        <v>393</v>
      </c>
      <c r="F955" s="52">
        <v>8206.3857034545726</v>
      </c>
      <c r="G955" s="52">
        <v>3600</v>
      </c>
      <c r="H955" s="52">
        <v>0</v>
      </c>
      <c r="I955" s="52">
        <v>3600</v>
      </c>
      <c r="J955" s="51">
        <v>1</v>
      </c>
      <c r="K955" s="54">
        <v>5000</v>
      </c>
      <c r="L955" s="51">
        <v>0</v>
      </c>
      <c r="M955" s="54">
        <v>0</v>
      </c>
      <c r="N955" s="53">
        <f t="shared" si="28"/>
        <v>5000</v>
      </c>
      <c r="O955" s="53">
        <f t="shared" si="29"/>
        <v>-5000</v>
      </c>
    </row>
    <row r="956" spans="1:15" x14ac:dyDescent="0.2">
      <c r="A956" s="51" t="s">
        <v>3567</v>
      </c>
      <c r="B956" s="51" t="s">
        <v>3568</v>
      </c>
      <c r="C956" s="51" t="s">
        <v>69</v>
      </c>
      <c r="D956" s="51" t="s">
        <v>2516</v>
      </c>
      <c r="E956" s="51" t="s">
        <v>2515</v>
      </c>
      <c r="F956" s="52">
        <v>22.168299999999999</v>
      </c>
      <c r="G956" s="52">
        <v>0</v>
      </c>
      <c r="H956" s="52">
        <v>0</v>
      </c>
      <c r="I956" s="52">
        <v>0</v>
      </c>
      <c r="J956" s="51">
        <v>0</v>
      </c>
      <c r="K956" s="54">
        <v>0</v>
      </c>
      <c r="L956" s="51">
        <v>0</v>
      </c>
      <c r="M956" s="54">
        <v>0</v>
      </c>
      <c r="N956" s="53">
        <f t="shared" si="28"/>
        <v>0</v>
      </c>
      <c r="O956" s="53">
        <f t="shared" si="29"/>
        <v>0</v>
      </c>
    </row>
    <row r="957" spans="1:15" x14ac:dyDescent="0.2">
      <c r="A957" s="51" t="s">
        <v>3567</v>
      </c>
      <c r="B957" s="51" t="s">
        <v>3568</v>
      </c>
      <c r="C957" s="51" t="s">
        <v>59</v>
      </c>
      <c r="D957" s="51" t="s">
        <v>349</v>
      </c>
      <c r="E957" s="51" t="s">
        <v>348</v>
      </c>
      <c r="F957" s="52">
        <v>3561.9180000000001</v>
      </c>
      <c r="G957" s="52">
        <v>520</v>
      </c>
      <c r="H957" s="52">
        <v>8860</v>
      </c>
      <c r="I957" s="52">
        <v>9380</v>
      </c>
      <c r="J957" s="51">
        <v>0</v>
      </c>
      <c r="K957" s="54">
        <v>0</v>
      </c>
      <c r="L957" s="51">
        <v>1</v>
      </c>
      <c r="M957" s="54">
        <v>5000</v>
      </c>
      <c r="N957" s="53">
        <f t="shared" si="28"/>
        <v>-5000</v>
      </c>
      <c r="O957" s="53">
        <f t="shared" si="29"/>
        <v>5000</v>
      </c>
    </row>
    <row r="958" spans="1:15" x14ac:dyDescent="0.2">
      <c r="A958" s="51" t="s">
        <v>3567</v>
      </c>
      <c r="B958" s="51" t="s">
        <v>3568</v>
      </c>
      <c r="C958" s="51" t="s">
        <v>3610</v>
      </c>
      <c r="D958" s="51" t="s">
        <v>4079</v>
      </c>
      <c r="E958" s="51" t="s">
        <v>4080</v>
      </c>
      <c r="F958" s="52">
        <v>4.1452679082000321</v>
      </c>
      <c r="G958" s="52">
        <v>0</v>
      </c>
      <c r="H958" s="52">
        <v>0</v>
      </c>
      <c r="I958" s="52">
        <v>0</v>
      </c>
      <c r="J958" s="51">
        <v>0</v>
      </c>
      <c r="K958" s="54">
        <v>0</v>
      </c>
      <c r="L958" s="51">
        <v>0</v>
      </c>
      <c r="M958" s="54">
        <v>0</v>
      </c>
      <c r="N958" s="53">
        <f t="shared" si="28"/>
        <v>0</v>
      </c>
      <c r="O958" s="53">
        <f t="shared" si="29"/>
        <v>0</v>
      </c>
    </row>
    <row r="959" spans="1:15" x14ac:dyDescent="0.2">
      <c r="A959" s="51" t="s">
        <v>3567</v>
      </c>
      <c r="B959" s="51" t="s">
        <v>3568</v>
      </c>
      <c r="C959" s="51" t="s">
        <v>71</v>
      </c>
      <c r="D959" s="51" t="s">
        <v>4047</v>
      </c>
      <c r="E959" s="51" t="s">
        <v>4048</v>
      </c>
      <c r="F959" s="52">
        <v>12.90727090362372</v>
      </c>
      <c r="G959" s="52">
        <v>0</v>
      </c>
      <c r="H959" s="52">
        <v>0</v>
      </c>
      <c r="I959" s="52">
        <v>0</v>
      </c>
      <c r="J959" s="51">
        <v>0</v>
      </c>
      <c r="K959" s="54">
        <v>0</v>
      </c>
      <c r="L959" s="51">
        <v>0</v>
      </c>
      <c r="M959" s="54">
        <v>0</v>
      </c>
      <c r="N959" s="53">
        <f t="shared" si="28"/>
        <v>0</v>
      </c>
      <c r="O959" s="53">
        <f t="shared" si="29"/>
        <v>0</v>
      </c>
    </row>
    <row r="960" spans="1:15" x14ac:dyDescent="0.2">
      <c r="A960" s="51" t="s">
        <v>3567</v>
      </c>
      <c r="B960" s="51" t="s">
        <v>3568</v>
      </c>
      <c r="C960" s="51" t="s">
        <v>83</v>
      </c>
      <c r="D960" s="51" t="s">
        <v>3331</v>
      </c>
      <c r="E960" s="51" t="s">
        <v>3330</v>
      </c>
      <c r="F960" s="52">
        <v>472.11576687729109</v>
      </c>
      <c r="G960" s="52">
        <v>500</v>
      </c>
      <c r="H960" s="52">
        <v>2500</v>
      </c>
      <c r="I960" s="52">
        <v>3000</v>
      </c>
      <c r="J960" s="51">
        <v>0</v>
      </c>
      <c r="K960" s="54">
        <v>0</v>
      </c>
      <c r="L960" s="51">
        <v>1</v>
      </c>
      <c r="M960" s="54">
        <v>5000</v>
      </c>
      <c r="N960" s="53">
        <f t="shared" si="28"/>
        <v>-5000</v>
      </c>
      <c r="O960" s="53">
        <f t="shared" si="29"/>
        <v>5000</v>
      </c>
    </row>
    <row r="961" spans="1:15" x14ac:dyDescent="0.2">
      <c r="A961" s="51" t="s">
        <v>3567</v>
      </c>
      <c r="B961" s="51" t="s">
        <v>3568</v>
      </c>
      <c r="C961" s="51" t="s">
        <v>3590</v>
      </c>
      <c r="D961" s="51" t="s">
        <v>4073</v>
      </c>
      <c r="E961" s="51" t="s">
        <v>4074</v>
      </c>
      <c r="F961" s="52">
        <v>6025.737860460772</v>
      </c>
      <c r="G961" s="52">
        <v>0</v>
      </c>
      <c r="H961" s="52">
        <v>0</v>
      </c>
      <c r="I961" s="52">
        <v>0</v>
      </c>
      <c r="J961" s="51">
        <v>0</v>
      </c>
      <c r="K961" s="54">
        <v>0</v>
      </c>
      <c r="L961" s="51">
        <v>0</v>
      </c>
      <c r="M961" s="54">
        <v>0</v>
      </c>
      <c r="N961" s="53">
        <f t="shared" si="28"/>
        <v>0</v>
      </c>
      <c r="O961" s="53">
        <f t="shared" si="29"/>
        <v>0</v>
      </c>
    </row>
    <row r="962" spans="1:15" x14ac:dyDescent="0.2">
      <c r="A962" s="51" t="s">
        <v>3567</v>
      </c>
      <c r="B962" s="51" t="s">
        <v>3568</v>
      </c>
      <c r="C962" s="51" t="s">
        <v>75</v>
      </c>
      <c r="D962" s="51" t="s">
        <v>4045</v>
      </c>
      <c r="E962" s="51" t="s">
        <v>4046</v>
      </c>
      <c r="F962" s="52">
        <v>13.53645</v>
      </c>
      <c r="G962" s="52">
        <v>0</v>
      </c>
      <c r="H962" s="52">
        <v>0</v>
      </c>
      <c r="I962" s="52">
        <v>0</v>
      </c>
      <c r="J962" s="51">
        <v>0</v>
      </c>
      <c r="K962" s="54">
        <v>0</v>
      </c>
      <c r="L962" s="51">
        <v>0</v>
      </c>
      <c r="M962" s="54">
        <v>0</v>
      </c>
      <c r="N962" s="53">
        <f t="shared" si="28"/>
        <v>0</v>
      </c>
      <c r="O962" s="53">
        <f t="shared" si="29"/>
        <v>0</v>
      </c>
    </row>
    <row r="963" spans="1:15" x14ac:dyDescent="0.2">
      <c r="A963" s="51" t="s">
        <v>3567</v>
      </c>
      <c r="B963" s="51" t="s">
        <v>3568</v>
      </c>
      <c r="C963" s="51" t="s">
        <v>92</v>
      </c>
      <c r="D963" s="51" t="s">
        <v>2429</v>
      </c>
      <c r="E963" s="51" t="s">
        <v>2428</v>
      </c>
      <c r="F963" s="52">
        <v>56.364100000000001</v>
      </c>
      <c r="G963" s="52">
        <v>0</v>
      </c>
      <c r="H963" s="52">
        <v>0</v>
      </c>
      <c r="I963" s="52">
        <v>0</v>
      </c>
      <c r="J963" s="51">
        <v>0</v>
      </c>
      <c r="K963" s="54">
        <v>0</v>
      </c>
      <c r="L963" s="51">
        <v>0</v>
      </c>
      <c r="M963" s="54">
        <v>0</v>
      </c>
      <c r="N963" s="53">
        <f t="shared" ref="N963:N1026" si="30">K963-M963</f>
        <v>0</v>
      </c>
      <c r="O963" s="53">
        <f t="shared" ref="O963:O1026" si="31">M963-K963</f>
        <v>0</v>
      </c>
    </row>
    <row r="964" spans="1:15" x14ac:dyDescent="0.2">
      <c r="A964" s="51" t="s">
        <v>3567</v>
      </c>
      <c r="B964" s="51" t="s">
        <v>3568</v>
      </c>
      <c r="C964" s="51" t="s">
        <v>92</v>
      </c>
      <c r="D964" s="51" t="s">
        <v>524</v>
      </c>
      <c r="E964" s="51" t="s">
        <v>523</v>
      </c>
      <c r="F964" s="52">
        <v>520.23900000000003</v>
      </c>
      <c r="G964" s="52">
        <v>5015</v>
      </c>
      <c r="H964" s="52">
        <v>1500</v>
      </c>
      <c r="I964" s="52">
        <v>6515</v>
      </c>
      <c r="J964" s="51">
        <v>2</v>
      </c>
      <c r="K964" s="54">
        <v>5000</v>
      </c>
      <c r="L964" s="51">
        <v>1</v>
      </c>
      <c r="M964" s="54">
        <v>1000</v>
      </c>
      <c r="N964" s="53">
        <f t="shared" si="30"/>
        <v>4000</v>
      </c>
      <c r="O964" s="53">
        <f t="shared" si="31"/>
        <v>-4000</v>
      </c>
    </row>
    <row r="965" spans="1:15" x14ac:dyDescent="0.2">
      <c r="A965" s="51" t="s">
        <v>3567</v>
      </c>
      <c r="B965" s="51" t="s">
        <v>3568</v>
      </c>
      <c r="C965" s="51" t="s">
        <v>3707</v>
      </c>
      <c r="D965" s="51" t="s">
        <v>4113</v>
      </c>
      <c r="E965" s="51" t="s">
        <v>4114</v>
      </c>
      <c r="F965" s="52">
        <v>54.435296059987287</v>
      </c>
      <c r="G965" s="52">
        <v>0</v>
      </c>
      <c r="H965" s="52">
        <v>0</v>
      </c>
      <c r="I965" s="52">
        <v>0</v>
      </c>
      <c r="J965" s="51">
        <v>0</v>
      </c>
      <c r="K965" s="54">
        <v>0</v>
      </c>
      <c r="L965" s="51">
        <v>0</v>
      </c>
      <c r="M965" s="54">
        <v>0</v>
      </c>
      <c r="N965" s="53">
        <f t="shared" si="30"/>
        <v>0</v>
      </c>
      <c r="O965" s="53">
        <f t="shared" si="31"/>
        <v>0</v>
      </c>
    </row>
    <row r="966" spans="1:15" x14ac:dyDescent="0.2">
      <c r="A966" s="51" t="s">
        <v>3567</v>
      </c>
      <c r="B966" s="51" t="s">
        <v>3568</v>
      </c>
      <c r="C966" s="51" t="s">
        <v>84</v>
      </c>
      <c r="D966" s="51" t="s">
        <v>2368</v>
      </c>
      <c r="E966" s="51" t="s">
        <v>2367</v>
      </c>
      <c r="F966" s="52">
        <v>453.58720605505101</v>
      </c>
      <c r="G966" s="52">
        <v>0</v>
      </c>
      <c r="H966" s="52">
        <v>5120</v>
      </c>
      <c r="I966" s="52">
        <v>5120</v>
      </c>
      <c r="J966" s="51">
        <v>0</v>
      </c>
      <c r="K966" s="54">
        <v>0</v>
      </c>
      <c r="L966" s="51">
        <v>1</v>
      </c>
      <c r="M966" s="54">
        <v>5000</v>
      </c>
      <c r="N966" s="53">
        <f t="shared" si="30"/>
        <v>-5000</v>
      </c>
      <c r="O966" s="53">
        <f t="shared" si="31"/>
        <v>5000</v>
      </c>
    </row>
    <row r="967" spans="1:15" x14ac:dyDescent="0.2">
      <c r="A967" s="51" t="s">
        <v>3567</v>
      </c>
      <c r="B967" s="51" t="s">
        <v>3568</v>
      </c>
      <c r="C967" s="51" t="s">
        <v>60</v>
      </c>
      <c r="D967" s="51" t="s">
        <v>2694</v>
      </c>
      <c r="E967" s="51" t="s">
        <v>2693</v>
      </c>
      <c r="F967" s="52">
        <v>5001.7383410000002</v>
      </c>
      <c r="G967" s="52">
        <v>0</v>
      </c>
      <c r="H967" s="52">
        <v>0</v>
      </c>
      <c r="I967" s="52">
        <v>0</v>
      </c>
      <c r="J967" s="51">
        <v>1</v>
      </c>
      <c r="K967" s="54">
        <v>5000</v>
      </c>
      <c r="L967" s="51">
        <v>0</v>
      </c>
      <c r="M967" s="54">
        <v>0</v>
      </c>
      <c r="N967" s="53">
        <f t="shared" si="30"/>
        <v>5000</v>
      </c>
      <c r="O967" s="53">
        <f t="shared" si="31"/>
        <v>-5000</v>
      </c>
    </row>
    <row r="968" spans="1:15" x14ac:dyDescent="0.2">
      <c r="A968" s="51" t="s">
        <v>3567</v>
      </c>
      <c r="B968" s="51" t="s">
        <v>3568</v>
      </c>
      <c r="C968" s="51" t="s">
        <v>82</v>
      </c>
      <c r="D968" s="51" t="s">
        <v>1509</v>
      </c>
      <c r="E968" s="51" t="s">
        <v>1508</v>
      </c>
      <c r="F968" s="52">
        <v>23692.252022653651</v>
      </c>
      <c r="G968" s="52">
        <v>42660</v>
      </c>
      <c r="H968" s="52">
        <v>54700</v>
      </c>
      <c r="I968" s="52">
        <v>97360</v>
      </c>
      <c r="J968" s="51">
        <v>1</v>
      </c>
      <c r="K968" s="54">
        <v>10000</v>
      </c>
      <c r="L968" s="51">
        <v>0</v>
      </c>
      <c r="M968" s="54">
        <v>0</v>
      </c>
      <c r="N968" s="53">
        <f t="shared" si="30"/>
        <v>10000</v>
      </c>
      <c r="O968" s="53">
        <f t="shared" si="31"/>
        <v>-10000</v>
      </c>
    </row>
    <row r="969" spans="1:15" x14ac:dyDescent="0.2">
      <c r="A969" s="51" t="s">
        <v>3567</v>
      </c>
      <c r="B969" s="51" t="s">
        <v>3568</v>
      </c>
      <c r="C969" s="51" t="s">
        <v>74</v>
      </c>
      <c r="D969" s="51" t="s">
        <v>3271</v>
      </c>
      <c r="E969" s="51" t="s">
        <v>3270</v>
      </c>
      <c r="F969" s="52">
        <v>14231.99864756012</v>
      </c>
      <c r="G969" s="52">
        <v>10830</v>
      </c>
      <c r="H969" s="52">
        <v>44020</v>
      </c>
      <c r="I969" s="52">
        <v>54850</v>
      </c>
      <c r="J969" s="51">
        <v>0</v>
      </c>
      <c r="K969" s="54">
        <v>0</v>
      </c>
      <c r="L969" s="51">
        <v>1</v>
      </c>
      <c r="M969" s="54">
        <v>40000</v>
      </c>
      <c r="N969" s="53">
        <f t="shared" si="30"/>
        <v>-40000</v>
      </c>
      <c r="O969" s="53">
        <f t="shared" si="31"/>
        <v>40000</v>
      </c>
    </row>
    <row r="970" spans="1:15" x14ac:dyDescent="0.2">
      <c r="A970" s="51" t="s">
        <v>3567</v>
      </c>
      <c r="B970" s="51" t="s">
        <v>3568</v>
      </c>
      <c r="C970" s="51" t="s">
        <v>3763</v>
      </c>
      <c r="D970" s="51" t="s">
        <v>4091</v>
      </c>
      <c r="E970" s="51" t="s">
        <v>1097</v>
      </c>
      <c r="F970" s="52">
        <v>0.14414348993988679</v>
      </c>
      <c r="G970" s="52">
        <v>0</v>
      </c>
      <c r="H970" s="52">
        <v>0</v>
      </c>
      <c r="I970" s="52">
        <v>0</v>
      </c>
      <c r="J970" s="51">
        <v>0</v>
      </c>
      <c r="K970" s="54">
        <v>0</v>
      </c>
      <c r="L970" s="51">
        <v>0</v>
      </c>
      <c r="M970" s="54">
        <v>0</v>
      </c>
      <c r="N970" s="53">
        <f t="shared" si="30"/>
        <v>0</v>
      </c>
      <c r="O970" s="53">
        <f t="shared" si="31"/>
        <v>0</v>
      </c>
    </row>
    <row r="971" spans="1:15" x14ac:dyDescent="0.2">
      <c r="A971" s="51" t="s">
        <v>3567</v>
      </c>
      <c r="B971" s="51" t="s">
        <v>3568</v>
      </c>
      <c r="C971" s="51" t="s">
        <v>72</v>
      </c>
      <c r="D971" s="51" t="s">
        <v>560</v>
      </c>
      <c r="E971" s="51" t="s">
        <v>559</v>
      </c>
      <c r="F971" s="52">
        <v>310.65682091270003</v>
      </c>
      <c r="G971" s="52">
        <v>1850</v>
      </c>
      <c r="H971" s="52">
        <v>10390</v>
      </c>
      <c r="I971" s="52">
        <v>12240</v>
      </c>
      <c r="J971" s="51">
        <v>1</v>
      </c>
      <c r="K971" s="54">
        <v>5000</v>
      </c>
      <c r="L971" s="51">
        <v>1</v>
      </c>
      <c r="M971" s="54">
        <v>34000</v>
      </c>
      <c r="N971" s="53">
        <f t="shared" si="30"/>
        <v>-29000</v>
      </c>
      <c r="O971" s="53">
        <f t="shared" si="31"/>
        <v>29000</v>
      </c>
    </row>
    <row r="972" spans="1:15" x14ac:dyDescent="0.2">
      <c r="A972" s="51" t="s">
        <v>3567</v>
      </c>
      <c r="B972" s="51" t="s">
        <v>3568</v>
      </c>
      <c r="C972" s="51" t="s">
        <v>3614</v>
      </c>
      <c r="D972" s="51" t="s">
        <v>4098</v>
      </c>
      <c r="E972" s="51" t="s">
        <v>4099</v>
      </c>
      <c r="F972" s="52">
        <v>38.446722075226639</v>
      </c>
      <c r="G972" s="52">
        <v>0</v>
      </c>
      <c r="H972" s="52">
        <v>0</v>
      </c>
      <c r="I972" s="52">
        <v>0</v>
      </c>
      <c r="J972" s="51">
        <v>0</v>
      </c>
      <c r="K972" s="54">
        <v>0</v>
      </c>
      <c r="L972" s="51">
        <v>0</v>
      </c>
      <c r="M972" s="54">
        <v>0</v>
      </c>
      <c r="N972" s="53">
        <f t="shared" si="30"/>
        <v>0</v>
      </c>
      <c r="O972" s="53">
        <f t="shared" si="31"/>
        <v>0</v>
      </c>
    </row>
    <row r="973" spans="1:15" x14ac:dyDescent="0.2">
      <c r="A973" s="51" t="s">
        <v>3567</v>
      </c>
      <c r="B973" s="51" t="s">
        <v>3568</v>
      </c>
      <c r="C973" s="51" t="s">
        <v>58</v>
      </c>
      <c r="D973" s="51" t="s">
        <v>4061</v>
      </c>
      <c r="E973" s="51" t="s">
        <v>4062</v>
      </c>
      <c r="F973" s="52">
        <v>6.4882326087999997</v>
      </c>
      <c r="G973" s="52">
        <v>0</v>
      </c>
      <c r="H973" s="52">
        <v>0</v>
      </c>
      <c r="I973" s="52">
        <v>0</v>
      </c>
      <c r="J973" s="51">
        <v>0</v>
      </c>
      <c r="K973" s="54">
        <v>0</v>
      </c>
      <c r="L973" s="51">
        <v>0</v>
      </c>
      <c r="M973" s="54">
        <v>0</v>
      </c>
      <c r="N973" s="53">
        <f t="shared" si="30"/>
        <v>0</v>
      </c>
      <c r="O973" s="53">
        <f t="shared" si="31"/>
        <v>0</v>
      </c>
    </row>
    <row r="974" spans="1:15" x14ac:dyDescent="0.2">
      <c r="A974" s="51" t="s">
        <v>3567</v>
      </c>
      <c r="B974" s="51" t="s">
        <v>3568</v>
      </c>
      <c r="C974" s="51" t="s">
        <v>3864</v>
      </c>
      <c r="D974" s="51" t="s">
        <v>4092</v>
      </c>
      <c r="E974" s="51" t="s">
        <v>4093</v>
      </c>
      <c r="F974" s="52">
        <v>31.15851888376336</v>
      </c>
      <c r="G974" s="52">
        <v>0</v>
      </c>
      <c r="H974" s="52">
        <v>0</v>
      </c>
      <c r="I974" s="52">
        <v>0</v>
      </c>
      <c r="J974" s="51">
        <v>0</v>
      </c>
      <c r="K974" s="54">
        <v>0</v>
      </c>
      <c r="L974" s="51">
        <v>0</v>
      </c>
      <c r="M974" s="54">
        <v>0</v>
      </c>
      <c r="N974" s="53">
        <f t="shared" si="30"/>
        <v>0</v>
      </c>
      <c r="O974" s="53">
        <f t="shared" si="31"/>
        <v>0</v>
      </c>
    </row>
    <row r="975" spans="1:15" x14ac:dyDescent="0.2">
      <c r="A975" s="51" t="s">
        <v>3567</v>
      </c>
      <c r="B975" s="51" t="s">
        <v>3568</v>
      </c>
      <c r="C975" s="51" t="s">
        <v>75</v>
      </c>
      <c r="D975" s="51" t="s">
        <v>2637</v>
      </c>
      <c r="E975" s="51" t="s">
        <v>2636</v>
      </c>
      <c r="F975" s="52">
        <v>45.6008</v>
      </c>
      <c r="G975" s="52">
        <v>10030</v>
      </c>
      <c r="H975" s="52">
        <v>5000</v>
      </c>
      <c r="I975" s="52">
        <v>15030</v>
      </c>
      <c r="J975" s="51">
        <v>2</v>
      </c>
      <c r="K975" s="54">
        <v>10000</v>
      </c>
      <c r="L975" s="51">
        <v>1</v>
      </c>
      <c r="M975" s="54">
        <v>5000</v>
      </c>
      <c r="N975" s="53">
        <f t="shared" si="30"/>
        <v>5000</v>
      </c>
      <c r="O975" s="53">
        <f t="shared" si="31"/>
        <v>-5000</v>
      </c>
    </row>
    <row r="976" spans="1:15" x14ac:dyDescent="0.2">
      <c r="A976" s="51" t="s">
        <v>3567</v>
      </c>
      <c r="B976" s="51" t="s">
        <v>3568</v>
      </c>
      <c r="C976" s="51" t="s">
        <v>3944</v>
      </c>
      <c r="D976" s="51" t="s">
        <v>4100</v>
      </c>
      <c r="E976" s="51" t="s">
        <v>4101</v>
      </c>
      <c r="F976" s="52">
        <v>21.341999999999999</v>
      </c>
      <c r="G976" s="52">
        <v>0</v>
      </c>
      <c r="H976" s="52">
        <v>0</v>
      </c>
      <c r="I976" s="52">
        <v>0</v>
      </c>
      <c r="J976" s="51">
        <v>0</v>
      </c>
      <c r="K976" s="54">
        <v>0</v>
      </c>
      <c r="L976" s="51">
        <v>0</v>
      </c>
      <c r="M976" s="54">
        <v>0</v>
      </c>
      <c r="N976" s="53">
        <f t="shared" si="30"/>
        <v>0</v>
      </c>
      <c r="O976" s="53">
        <f t="shared" si="31"/>
        <v>0</v>
      </c>
    </row>
    <row r="977" spans="1:15" x14ac:dyDescent="0.2">
      <c r="A977" s="51" t="s">
        <v>3567</v>
      </c>
      <c r="B977" s="51" t="s">
        <v>3568</v>
      </c>
      <c r="C977" s="51" t="s">
        <v>62</v>
      </c>
      <c r="D977" s="51" t="s">
        <v>696</v>
      </c>
      <c r="E977" s="51" t="s">
        <v>695</v>
      </c>
      <c r="F977" s="52">
        <v>5892.9798000000001</v>
      </c>
      <c r="G977" s="52">
        <v>1330</v>
      </c>
      <c r="H977" s="52">
        <v>1099</v>
      </c>
      <c r="I977" s="52">
        <v>2429</v>
      </c>
      <c r="J977" s="51">
        <v>1</v>
      </c>
      <c r="K977" s="54">
        <v>6000</v>
      </c>
      <c r="L977" s="51">
        <v>0</v>
      </c>
      <c r="M977" s="54">
        <v>0</v>
      </c>
      <c r="N977" s="53">
        <f t="shared" si="30"/>
        <v>6000</v>
      </c>
      <c r="O977" s="53">
        <f t="shared" si="31"/>
        <v>-6000</v>
      </c>
    </row>
    <row r="978" spans="1:15" x14ac:dyDescent="0.2">
      <c r="A978" s="51" t="s">
        <v>3567</v>
      </c>
      <c r="B978" s="51" t="s">
        <v>3568</v>
      </c>
      <c r="C978" s="51" t="s">
        <v>74</v>
      </c>
      <c r="D978" s="51" t="s">
        <v>1364</v>
      </c>
      <c r="E978" s="51" t="s">
        <v>1363</v>
      </c>
      <c r="F978" s="52">
        <v>100.3943</v>
      </c>
      <c r="G978" s="52">
        <v>4500</v>
      </c>
      <c r="H978" s="52">
        <v>7000</v>
      </c>
      <c r="I978" s="52">
        <v>11500</v>
      </c>
      <c r="J978" s="51">
        <v>1</v>
      </c>
      <c r="K978" s="54">
        <v>5000</v>
      </c>
      <c r="L978" s="51">
        <v>1</v>
      </c>
      <c r="M978" s="54">
        <v>12000</v>
      </c>
      <c r="N978" s="53">
        <f t="shared" si="30"/>
        <v>-7000</v>
      </c>
      <c r="O978" s="53">
        <f t="shared" si="31"/>
        <v>7000</v>
      </c>
    </row>
    <row r="979" spans="1:15" x14ac:dyDescent="0.2">
      <c r="A979" s="51" t="s">
        <v>3567</v>
      </c>
      <c r="B979" s="51" t="s">
        <v>3568</v>
      </c>
      <c r="C979" s="51" t="s">
        <v>55</v>
      </c>
      <c r="D979" s="51" t="s">
        <v>1473</v>
      </c>
      <c r="E979" s="51" t="s">
        <v>1472</v>
      </c>
      <c r="F979" s="52">
        <v>3495.6165499222002</v>
      </c>
      <c r="G979" s="52">
        <v>52000</v>
      </c>
      <c r="H979" s="52">
        <v>59258</v>
      </c>
      <c r="I979" s="52">
        <v>111258</v>
      </c>
      <c r="J979" s="51">
        <v>4</v>
      </c>
      <c r="K979" s="54">
        <v>45000</v>
      </c>
      <c r="L979" s="51">
        <v>1</v>
      </c>
      <c r="M979" s="54">
        <v>50000</v>
      </c>
      <c r="N979" s="53">
        <f t="shared" si="30"/>
        <v>-5000</v>
      </c>
      <c r="O979" s="53">
        <f t="shared" si="31"/>
        <v>5000</v>
      </c>
    </row>
    <row r="980" spans="1:15" x14ac:dyDescent="0.2">
      <c r="A980" s="51" t="s">
        <v>3567</v>
      </c>
      <c r="B980" s="51" t="s">
        <v>3568</v>
      </c>
      <c r="C980" s="51" t="s">
        <v>75</v>
      </c>
      <c r="D980" s="51" t="s">
        <v>2662</v>
      </c>
      <c r="E980" s="51" t="s">
        <v>2661</v>
      </c>
      <c r="F980" s="52">
        <v>12.8599</v>
      </c>
      <c r="G980" s="52">
        <v>0</v>
      </c>
      <c r="H980" s="52">
        <v>0</v>
      </c>
      <c r="I980" s="52">
        <v>0</v>
      </c>
      <c r="J980" s="51">
        <v>0</v>
      </c>
      <c r="K980" s="54">
        <v>0</v>
      </c>
      <c r="L980" s="51">
        <v>0</v>
      </c>
      <c r="M980" s="54">
        <v>0</v>
      </c>
      <c r="N980" s="53">
        <f t="shared" si="30"/>
        <v>0</v>
      </c>
      <c r="O980" s="53">
        <f t="shared" si="31"/>
        <v>0</v>
      </c>
    </row>
    <row r="981" spans="1:15" x14ac:dyDescent="0.2">
      <c r="A981" s="51" t="s">
        <v>3567</v>
      </c>
      <c r="B981" s="51" t="s">
        <v>3568</v>
      </c>
      <c r="C981" s="51" t="s">
        <v>65</v>
      </c>
      <c r="D981" s="51" t="s">
        <v>2771</v>
      </c>
      <c r="E981" s="51" t="s">
        <v>2770</v>
      </c>
      <c r="F981" s="52">
        <v>4568.5334999999995</v>
      </c>
      <c r="G981" s="52">
        <v>4845</v>
      </c>
      <c r="H981" s="52">
        <v>2540</v>
      </c>
      <c r="I981" s="52">
        <v>7385</v>
      </c>
      <c r="J981" s="51">
        <v>1</v>
      </c>
      <c r="K981" s="54">
        <v>5000</v>
      </c>
      <c r="L981" s="51">
        <v>0</v>
      </c>
      <c r="M981" s="54">
        <v>0</v>
      </c>
      <c r="N981" s="53">
        <f t="shared" si="30"/>
        <v>5000</v>
      </c>
      <c r="O981" s="53">
        <f t="shared" si="31"/>
        <v>-5000</v>
      </c>
    </row>
    <row r="982" spans="1:15" x14ac:dyDescent="0.2">
      <c r="A982" s="51" t="s">
        <v>3567</v>
      </c>
      <c r="B982" s="51" t="s">
        <v>3568</v>
      </c>
      <c r="C982" s="51" t="s">
        <v>3627</v>
      </c>
      <c r="D982" s="51" t="s">
        <v>4109</v>
      </c>
      <c r="E982" s="51" t="s">
        <v>4110</v>
      </c>
      <c r="F982" s="52">
        <v>0.93532484793361559</v>
      </c>
      <c r="G982" s="52">
        <v>0</v>
      </c>
      <c r="H982" s="52">
        <v>0</v>
      </c>
      <c r="I982" s="52">
        <v>0</v>
      </c>
      <c r="J982" s="51">
        <v>0</v>
      </c>
      <c r="K982" s="54">
        <v>0</v>
      </c>
      <c r="L982" s="51">
        <v>0</v>
      </c>
      <c r="M982" s="54">
        <v>0</v>
      </c>
      <c r="N982" s="53">
        <f t="shared" si="30"/>
        <v>0</v>
      </c>
      <c r="O982" s="53">
        <f t="shared" si="31"/>
        <v>0</v>
      </c>
    </row>
    <row r="983" spans="1:15" x14ac:dyDescent="0.2">
      <c r="A983" s="51" t="s">
        <v>3567</v>
      </c>
      <c r="B983" s="51" t="s">
        <v>3568</v>
      </c>
      <c r="C983" s="51" t="s">
        <v>3786</v>
      </c>
      <c r="D983" s="51" t="s">
        <v>4145</v>
      </c>
      <c r="E983" s="51" t="s">
        <v>4146</v>
      </c>
      <c r="F983" s="52">
        <v>2.398454136015082</v>
      </c>
      <c r="G983" s="52">
        <v>0</v>
      </c>
      <c r="H983" s="52">
        <v>0</v>
      </c>
      <c r="I983" s="52">
        <v>0</v>
      </c>
      <c r="J983" s="51">
        <v>0</v>
      </c>
      <c r="K983" s="54">
        <v>0</v>
      </c>
      <c r="L983" s="51">
        <v>0</v>
      </c>
      <c r="M983" s="54">
        <v>0</v>
      </c>
      <c r="N983" s="53">
        <f t="shared" si="30"/>
        <v>0</v>
      </c>
      <c r="O983" s="53">
        <f t="shared" si="31"/>
        <v>0</v>
      </c>
    </row>
    <row r="984" spans="1:15" x14ac:dyDescent="0.2">
      <c r="A984" s="51" t="s">
        <v>3567</v>
      </c>
      <c r="B984" s="51" t="s">
        <v>3568</v>
      </c>
      <c r="C984" s="51" t="s">
        <v>64</v>
      </c>
      <c r="D984" s="51" t="s">
        <v>3345</v>
      </c>
      <c r="E984" s="51" t="s">
        <v>3344</v>
      </c>
      <c r="F984" s="52">
        <v>7111.6093609116842</v>
      </c>
      <c r="G984" s="52">
        <v>0</v>
      </c>
      <c r="H984" s="52">
        <v>515</v>
      </c>
      <c r="I984" s="52">
        <v>515</v>
      </c>
      <c r="J984" s="51">
        <v>1</v>
      </c>
      <c r="K984" s="54">
        <v>5000</v>
      </c>
      <c r="L984" s="51">
        <v>0</v>
      </c>
      <c r="M984" s="54">
        <v>0</v>
      </c>
      <c r="N984" s="53">
        <f t="shared" si="30"/>
        <v>5000</v>
      </c>
      <c r="O984" s="53">
        <f t="shared" si="31"/>
        <v>-5000</v>
      </c>
    </row>
    <row r="985" spans="1:15" x14ac:dyDescent="0.2">
      <c r="A985" s="51" t="s">
        <v>3567</v>
      </c>
      <c r="B985" s="51" t="s">
        <v>3568</v>
      </c>
      <c r="C985" s="51" t="s">
        <v>75</v>
      </c>
      <c r="D985" s="51" t="s">
        <v>4086</v>
      </c>
      <c r="E985" s="51" t="s">
        <v>4087</v>
      </c>
      <c r="F985" s="52">
        <v>19.267199999999999</v>
      </c>
      <c r="G985" s="52">
        <v>0</v>
      </c>
      <c r="H985" s="52">
        <v>0</v>
      </c>
      <c r="I985" s="52">
        <v>0</v>
      </c>
      <c r="J985" s="51">
        <v>0</v>
      </c>
      <c r="K985" s="54">
        <v>0</v>
      </c>
      <c r="L985" s="51">
        <v>0</v>
      </c>
      <c r="M985" s="54">
        <v>0</v>
      </c>
      <c r="N985" s="53">
        <f t="shared" si="30"/>
        <v>0</v>
      </c>
      <c r="O985" s="53">
        <f t="shared" si="31"/>
        <v>0</v>
      </c>
    </row>
    <row r="986" spans="1:15" x14ac:dyDescent="0.2">
      <c r="A986" s="51" t="s">
        <v>3567</v>
      </c>
      <c r="B986" s="51" t="s">
        <v>3568</v>
      </c>
      <c r="C986" s="51" t="s">
        <v>78</v>
      </c>
      <c r="D986" s="51" t="s">
        <v>4071</v>
      </c>
      <c r="E986" s="51" t="s">
        <v>4072</v>
      </c>
      <c r="F986" s="52">
        <v>9.7285679999999992</v>
      </c>
      <c r="G986" s="52">
        <v>0</v>
      </c>
      <c r="H986" s="52">
        <v>0</v>
      </c>
      <c r="I986" s="52">
        <v>0</v>
      </c>
      <c r="J986" s="51">
        <v>0</v>
      </c>
      <c r="K986" s="54">
        <v>0</v>
      </c>
      <c r="L986" s="51">
        <v>0</v>
      </c>
      <c r="M986" s="54">
        <v>0</v>
      </c>
      <c r="N986" s="53">
        <f t="shared" si="30"/>
        <v>0</v>
      </c>
      <c r="O986" s="53">
        <f t="shared" si="31"/>
        <v>0</v>
      </c>
    </row>
    <row r="987" spans="1:15" x14ac:dyDescent="0.2">
      <c r="A987" s="51" t="s">
        <v>3567</v>
      </c>
      <c r="B987" s="51" t="s">
        <v>3568</v>
      </c>
      <c r="C987" s="51" t="s">
        <v>78</v>
      </c>
      <c r="D987" s="51" t="s">
        <v>2674</v>
      </c>
      <c r="E987" s="51" t="s">
        <v>2673</v>
      </c>
      <c r="F987" s="52">
        <v>30.333100000000002</v>
      </c>
      <c r="G987" s="52">
        <v>11000</v>
      </c>
      <c r="H987" s="52">
        <v>4500</v>
      </c>
      <c r="I987" s="52">
        <v>15500</v>
      </c>
      <c r="J987" s="51">
        <v>1</v>
      </c>
      <c r="K987" s="54">
        <v>5000</v>
      </c>
      <c r="L987" s="51">
        <v>0</v>
      </c>
      <c r="M987" s="54">
        <v>0</v>
      </c>
      <c r="N987" s="53">
        <f t="shared" si="30"/>
        <v>5000</v>
      </c>
      <c r="O987" s="53">
        <f t="shared" si="31"/>
        <v>-5000</v>
      </c>
    </row>
    <row r="988" spans="1:15" x14ac:dyDescent="0.2">
      <c r="A988" s="51" t="s">
        <v>3567</v>
      </c>
      <c r="B988" s="51" t="s">
        <v>3568</v>
      </c>
      <c r="C988" s="51" t="s">
        <v>74</v>
      </c>
      <c r="D988" s="51" t="s">
        <v>1769</v>
      </c>
      <c r="E988" s="51" t="s">
        <v>1768</v>
      </c>
      <c r="F988" s="52">
        <v>17973.570800000001</v>
      </c>
      <c r="G988" s="52">
        <v>0</v>
      </c>
      <c r="H988" s="52">
        <v>4300</v>
      </c>
      <c r="I988" s="52">
        <v>4300</v>
      </c>
      <c r="J988" s="51">
        <v>1</v>
      </c>
      <c r="K988" s="54">
        <v>5000</v>
      </c>
      <c r="L988" s="51">
        <v>0</v>
      </c>
      <c r="M988" s="54">
        <v>0</v>
      </c>
      <c r="N988" s="53">
        <f t="shared" si="30"/>
        <v>5000</v>
      </c>
      <c r="O988" s="53">
        <f t="shared" si="31"/>
        <v>-5000</v>
      </c>
    </row>
    <row r="989" spans="1:15" x14ac:dyDescent="0.2">
      <c r="A989" s="51" t="s">
        <v>3567</v>
      </c>
      <c r="B989" s="51" t="s">
        <v>3568</v>
      </c>
      <c r="C989" s="51" t="s">
        <v>3666</v>
      </c>
      <c r="D989" s="51" t="s">
        <v>4089</v>
      </c>
      <c r="E989" s="51" t="s">
        <v>4090</v>
      </c>
      <c r="F989" s="52">
        <v>3.4239456131543302</v>
      </c>
      <c r="G989" s="52">
        <v>0</v>
      </c>
      <c r="H989" s="52">
        <v>0</v>
      </c>
      <c r="I989" s="52">
        <v>0</v>
      </c>
      <c r="J989" s="51">
        <v>0</v>
      </c>
      <c r="K989" s="54">
        <v>0</v>
      </c>
      <c r="L989" s="51">
        <v>0</v>
      </c>
      <c r="M989" s="54">
        <v>0</v>
      </c>
      <c r="N989" s="53">
        <f t="shared" si="30"/>
        <v>0</v>
      </c>
      <c r="O989" s="53">
        <f t="shared" si="31"/>
        <v>0</v>
      </c>
    </row>
    <row r="990" spans="1:15" x14ac:dyDescent="0.2">
      <c r="A990" s="51" t="s">
        <v>3567</v>
      </c>
      <c r="B990" s="51" t="s">
        <v>3568</v>
      </c>
      <c r="C990" s="51" t="s">
        <v>70</v>
      </c>
      <c r="D990" s="51" t="s">
        <v>1636</v>
      </c>
      <c r="E990" s="51" t="s">
        <v>1635</v>
      </c>
      <c r="F990" s="52">
        <v>1723.6170054782999</v>
      </c>
      <c r="G990" s="52">
        <v>400</v>
      </c>
      <c r="H990" s="52">
        <v>22170</v>
      </c>
      <c r="I990" s="52">
        <v>22570</v>
      </c>
      <c r="J990" s="51">
        <v>0</v>
      </c>
      <c r="K990" s="54">
        <v>0</v>
      </c>
      <c r="L990" s="51">
        <v>2</v>
      </c>
      <c r="M990" s="54">
        <v>24000</v>
      </c>
      <c r="N990" s="53">
        <f t="shared" si="30"/>
        <v>-24000</v>
      </c>
      <c r="O990" s="53">
        <f t="shared" si="31"/>
        <v>24000</v>
      </c>
    </row>
    <row r="991" spans="1:15" x14ac:dyDescent="0.2">
      <c r="A991" s="51" t="s">
        <v>3567</v>
      </c>
      <c r="B991" s="51" t="s">
        <v>3568</v>
      </c>
      <c r="C991" s="51" t="s">
        <v>57</v>
      </c>
      <c r="D991" s="51" t="s">
        <v>4067</v>
      </c>
      <c r="E991" s="51" t="s">
        <v>4068</v>
      </c>
      <c r="F991" s="52">
        <v>25.828299999999999</v>
      </c>
      <c r="G991" s="52">
        <v>0</v>
      </c>
      <c r="H991" s="52">
        <v>0</v>
      </c>
      <c r="I991" s="52">
        <v>0</v>
      </c>
      <c r="J991" s="51">
        <v>0</v>
      </c>
      <c r="K991" s="54">
        <v>0</v>
      </c>
      <c r="L991" s="51">
        <v>0</v>
      </c>
      <c r="M991" s="54">
        <v>0</v>
      </c>
      <c r="N991" s="53">
        <f t="shared" si="30"/>
        <v>0</v>
      </c>
      <c r="O991" s="53">
        <f t="shared" si="31"/>
        <v>0</v>
      </c>
    </row>
    <row r="992" spans="1:15" x14ac:dyDescent="0.2">
      <c r="A992" s="51" t="s">
        <v>3567</v>
      </c>
      <c r="B992" s="51" t="s">
        <v>3568</v>
      </c>
      <c r="C992" s="51" t="s">
        <v>86</v>
      </c>
      <c r="D992" s="51" t="s">
        <v>1477</v>
      </c>
      <c r="E992" s="51" t="s">
        <v>1476</v>
      </c>
      <c r="F992" s="52">
        <v>15279.7449</v>
      </c>
      <c r="G992" s="52">
        <v>4550</v>
      </c>
      <c r="H992" s="52">
        <v>14663</v>
      </c>
      <c r="I992" s="52">
        <v>19213</v>
      </c>
      <c r="J992" s="51">
        <v>1</v>
      </c>
      <c r="K992" s="54">
        <v>5000</v>
      </c>
      <c r="L992" s="51">
        <v>0</v>
      </c>
      <c r="M992" s="54">
        <v>0</v>
      </c>
      <c r="N992" s="53">
        <f t="shared" si="30"/>
        <v>5000</v>
      </c>
      <c r="O992" s="53">
        <f t="shared" si="31"/>
        <v>-5000</v>
      </c>
    </row>
    <row r="993" spans="1:15" x14ac:dyDescent="0.2">
      <c r="A993" s="51" t="s">
        <v>3567</v>
      </c>
      <c r="B993" s="51" t="s">
        <v>3568</v>
      </c>
      <c r="C993" s="51" t="s">
        <v>73</v>
      </c>
      <c r="D993" s="51" t="s">
        <v>1311</v>
      </c>
      <c r="E993" s="51" t="s">
        <v>1112</v>
      </c>
      <c r="F993" s="52">
        <v>3195.5706767665502</v>
      </c>
      <c r="G993" s="52">
        <v>600</v>
      </c>
      <c r="H993" s="52">
        <v>9738</v>
      </c>
      <c r="I993" s="52">
        <v>10338</v>
      </c>
      <c r="J993" s="51">
        <v>0</v>
      </c>
      <c r="K993" s="54">
        <v>0</v>
      </c>
      <c r="L993" s="51">
        <v>2</v>
      </c>
      <c r="M993" s="54">
        <v>14000</v>
      </c>
      <c r="N993" s="53">
        <f t="shared" si="30"/>
        <v>-14000</v>
      </c>
      <c r="O993" s="53">
        <f t="shared" si="31"/>
        <v>14000</v>
      </c>
    </row>
    <row r="994" spans="1:15" x14ac:dyDescent="0.2">
      <c r="A994" s="51" t="s">
        <v>3567</v>
      </c>
      <c r="B994" s="51" t="s">
        <v>3568</v>
      </c>
      <c r="C994" s="51" t="s">
        <v>3876</v>
      </c>
      <c r="D994" s="51" t="s">
        <v>4081</v>
      </c>
      <c r="E994" s="51" t="s">
        <v>4082</v>
      </c>
      <c r="F994" s="52">
        <v>8.8214389506371571</v>
      </c>
      <c r="G994" s="52">
        <v>0</v>
      </c>
      <c r="H994" s="52">
        <v>0</v>
      </c>
      <c r="I994" s="52">
        <v>0</v>
      </c>
      <c r="J994" s="51">
        <v>0</v>
      </c>
      <c r="K994" s="54">
        <v>0</v>
      </c>
      <c r="L994" s="51">
        <v>0</v>
      </c>
      <c r="M994" s="54">
        <v>0</v>
      </c>
      <c r="N994" s="53">
        <f t="shared" si="30"/>
        <v>0</v>
      </c>
      <c r="O994" s="53">
        <f t="shared" si="31"/>
        <v>0</v>
      </c>
    </row>
    <row r="995" spans="1:15" x14ac:dyDescent="0.2">
      <c r="A995" s="51" t="s">
        <v>3567</v>
      </c>
      <c r="B995" s="51" t="s">
        <v>3568</v>
      </c>
      <c r="C995" s="51" t="s">
        <v>76</v>
      </c>
      <c r="D995" s="51" t="s">
        <v>3544</v>
      </c>
      <c r="E995" s="51" t="s">
        <v>3543</v>
      </c>
      <c r="F995" s="52">
        <v>3597.4207000000001</v>
      </c>
      <c r="G995" s="52">
        <v>500</v>
      </c>
      <c r="H995" s="52">
        <v>0</v>
      </c>
      <c r="I995" s="52">
        <v>500</v>
      </c>
      <c r="J995" s="51">
        <v>0</v>
      </c>
      <c r="K995" s="54">
        <v>0</v>
      </c>
      <c r="L995" s="51">
        <v>1</v>
      </c>
      <c r="M995" s="54">
        <v>5000</v>
      </c>
      <c r="N995" s="53">
        <f t="shared" si="30"/>
        <v>-5000</v>
      </c>
      <c r="O995" s="53">
        <f t="shared" si="31"/>
        <v>5000</v>
      </c>
    </row>
    <row r="996" spans="1:15" x14ac:dyDescent="0.2">
      <c r="A996" s="51" t="s">
        <v>3567</v>
      </c>
      <c r="B996" s="51" t="s">
        <v>3568</v>
      </c>
      <c r="C996" s="51" t="s">
        <v>77</v>
      </c>
      <c r="D996" s="51" t="s">
        <v>1588</v>
      </c>
      <c r="E996" s="51" t="s">
        <v>1587</v>
      </c>
      <c r="F996" s="52">
        <v>69.826627999999999</v>
      </c>
      <c r="G996" s="52">
        <v>10000</v>
      </c>
      <c r="H996" s="52">
        <v>0</v>
      </c>
      <c r="I996" s="52">
        <v>10000</v>
      </c>
      <c r="J996" s="51">
        <v>1</v>
      </c>
      <c r="K996" s="54">
        <v>10000</v>
      </c>
      <c r="L996" s="51">
        <v>0</v>
      </c>
      <c r="M996" s="54">
        <v>0</v>
      </c>
      <c r="N996" s="53">
        <f t="shared" si="30"/>
        <v>10000</v>
      </c>
      <c r="O996" s="53">
        <f t="shared" si="31"/>
        <v>-10000</v>
      </c>
    </row>
    <row r="997" spans="1:15" x14ac:dyDescent="0.2">
      <c r="A997" s="51" t="s">
        <v>3567</v>
      </c>
      <c r="B997" s="51" t="s">
        <v>3568</v>
      </c>
      <c r="C997" s="51" t="s">
        <v>86</v>
      </c>
      <c r="D997" s="51" t="s">
        <v>4096</v>
      </c>
      <c r="E997" s="51" t="s">
        <v>4097</v>
      </c>
      <c r="F997" s="52">
        <v>0.21712899999999999</v>
      </c>
      <c r="G997" s="52">
        <v>0</v>
      </c>
      <c r="H997" s="52">
        <v>0</v>
      </c>
      <c r="I997" s="52">
        <v>0</v>
      </c>
      <c r="J997" s="51">
        <v>0</v>
      </c>
      <c r="K997" s="54">
        <v>0</v>
      </c>
      <c r="L997" s="51">
        <v>0</v>
      </c>
      <c r="M997" s="54">
        <v>0</v>
      </c>
      <c r="N997" s="53">
        <f t="shared" si="30"/>
        <v>0</v>
      </c>
      <c r="O997" s="53">
        <f t="shared" si="31"/>
        <v>0</v>
      </c>
    </row>
    <row r="998" spans="1:15" x14ac:dyDescent="0.2">
      <c r="A998" s="51" t="s">
        <v>3567</v>
      </c>
      <c r="B998" s="51" t="s">
        <v>3568</v>
      </c>
      <c r="C998" s="51" t="s">
        <v>74</v>
      </c>
      <c r="D998" s="51" t="s">
        <v>2028</v>
      </c>
      <c r="E998" s="51" t="s">
        <v>2027</v>
      </c>
      <c r="F998" s="52">
        <v>9105.2582130545998</v>
      </c>
      <c r="G998" s="52">
        <v>17340</v>
      </c>
      <c r="H998" s="52">
        <v>133150</v>
      </c>
      <c r="I998" s="52">
        <v>150490</v>
      </c>
      <c r="J998" s="51">
        <v>0</v>
      </c>
      <c r="K998" s="54">
        <v>0</v>
      </c>
      <c r="L998" s="51">
        <v>4</v>
      </c>
      <c r="M998" s="54">
        <v>120000</v>
      </c>
      <c r="N998" s="53">
        <f t="shared" si="30"/>
        <v>-120000</v>
      </c>
      <c r="O998" s="53">
        <f t="shared" si="31"/>
        <v>120000</v>
      </c>
    </row>
    <row r="999" spans="1:15" x14ac:dyDescent="0.2">
      <c r="A999" s="51" t="s">
        <v>3567</v>
      </c>
      <c r="B999" s="51" t="s">
        <v>3568</v>
      </c>
      <c r="C999" s="51" t="s">
        <v>73</v>
      </c>
      <c r="D999" s="51" t="s">
        <v>2285</v>
      </c>
      <c r="E999" s="51" t="s">
        <v>2284</v>
      </c>
      <c r="F999" s="52">
        <v>19888.73575945371</v>
      </c>
      <c r="G999" s="52">
        <v>450</v>
      </c>
      <c r="H999" s="52">
        <v>0</v>
      </c>
      <c r="I999" s="52">
        <v>450</v>
      </c>
      <c r="J999" s="51">
        <v>1</v>
      </c>
      <c r="K999" s="54">
        <v>5000</v>
      </c>
      <c r="L999" s="51">
        <v>0</v>
      </c>
      <c r="M999" s="54">
        <v>0</v>
      </c>
      <c r="N999" s="53">
        <f t="shared" si="30"/>
        <v>5000</v>
      </c>
      <c r="O999" s="53">
        <f t="shared" si="31"/>
        <v>-5000</v>
      </c>
    </row>
    <row r="1000" spans="1:15" x14ac:dyDescent="0.2">
      <c r="A1000" s="51" t="s">
        <v>3567</v>
      </c>
      <c r="B1000" s="51" t="s">
        <v>3568</v>
      </c>
      <c r="C1000" s="51" t="s">
        <v>3786</v>
      </c>
      <c r="D1000" s="51" t="s">
        <v>4104</v>
      </c>
      <c r="E1000" s="51" t="s">
        <v>765</v>
      </c>
      <c r="F1000" s="52">
        <v>17.792445565323671</v>
      </c>
      <c r="G1000" s="52">
        <v>0</v>
      </c>
      <c r="H1000" s="52">
        <v>0</v>
      </c>
      <c r="I1000" s="52">
        <v>0</v>
      </c>
      <c r="J1000" s="51">
        <v>0</v>
      </c>
      <c r="K1000" s="54">
        <v>0</v>
      </c>
      <c r="L1000" s="51">
        <v>0</v>
      </c>
      <c r="M1000" s="54">
        <v>0</v>
      </c>
      <c r="N1000" s="53">
        <f t="shared" si="30"/>
        <v>0</v>
      </c>
      <c r="O1000" s="53">
        <f t="shared" si="31"/>
        <v>0</v>
      </c>
    </row>
    <row r="1001" spans="1:15" x14ac:dyDescent="0.2">
      <c r="A1001" s="51" t="s">
        <v>3567</v>
      </c>
      <c r="B1001" s="51" t="s">
        <v>3568</v>
      </c>
      <c r="C1001" s="51" t="s">
        <v>76</v>
      </c>
      <c r="D1001" s="51" t="s">
        <v>1479</v>
      </c>
      <c r="E1001" s="51" t="s">
        <v>1478</v>
      </c>
      <c r="F1001" s="52">
        <v>14851.117200000001</v>
      </c>
      <c r="G1001" s="52">
        <v>0</v>
      </c>
      <c r="H1001" s="52">
        <v>6150</v>
      </c>
      <c r="I1001" s="52">
        <v>6150</v>
      </c>
      <c r="J1001" s="51">
        <v>0</v>
      </c>
      <c r="K1001" s="54">
        <v>0</v>
      </c>
      <c r="L1001" s="51">
        <v>1</v>
      </c>
      <c r="M1001" s="54">
        <v>5000</v>
      </c>
      <c r="N1001" s="53">
        <f t="shared" si="30"/>
        <v>-5000</v>
      </c>
      <c r="O1001" s="53">
        <f t="shared" si="31"/>
        <v>5000</v>
      </c>
    </row>
    <row r="1002" spans="1:15" x14ac:dyDescent="0.2">
      <c r="A1002" s="51" t="s">
        <v>3567</v>
      </c>
      <c r="B1002" s="51" t="s">
        <v>3568</v>
      </c>
      <c r="C1002" s="51" t="s">
        <v>61</v>
      </c>
      <c r="D1002" s="51" t="s">
        <v>475</v>
      </c>
      <c r="E1002" s="51" t="s">
        <v>474</v>
      </c>
      <c r="F1002" s="52">
        <v>623.42930000000001</v>
      </c>
      <c r="G1002" s="52">
        <v>0</v>
      </c>
      <c r="H1002" s="52">
        <v>0</v>
      </c>
      <c r="I1002" s="52">
        <v>0</v>
      </c>
      <c r="J1002" s="51">
        <v>0</v>
      </c>
      <c r="K1002" s="54">
        <v>0</v>
      </c>
      <c r="L1002" s="51">
        <v>0</v>
      </c>
      <c r="M1002" s="54">
        <v>0</v>
      </c>
      <c r="N1002" s="53">
        <f t="shared" si="30"/>
        <v>0</v>
      </c>
      <c r="O1002" s="53">
        <f t="shared" si="31"/>
        <v>0</v>
      </c>
    </row>
    <row r="1003" spans="1:15" x14ac:dyDescent="0.2">
      <c r="A1003" s="51" t="s">
        <v>3567</v>
      </c>
      <c r="B1003" s="51" t="s">
        <v>3568</v>
      </c>
      <c r="C1003" s="51" t="s">
        <v>77</v>
      </c>
      <c r="D1003" s="51" t="s">
        <v>2520</v>
      </c>
      <c r="E1003" s="51" t="s">
        <v>2519</v>
      </c>
      <c r="F1003" s="52">
        <v>10109.869000000001</v>
      </c>
      <c r="G1003" s="52">
        <v>0</v>
      </c>
      <c r="H1003" s="52">
        <v>0</v>
      </c>
      <c r="I1003" s="52">
        <v>0</v>
      </c>
      <c r="J1003" s="51">
        <v>1</v>
      </c>
      <c r="K1003" s="54">
        <v>5000</v>
      </c>
      <c r="L1003" s="51">
        <v>0</v>
      </c>
      <c r="M1003" s="54">
        <v>0</v>
      </c>
      <c r="N1003" s="53">
        <f t="shared" si="30"/>
        <v>5000</v>
      </c>
      <c r="O1003" s="53">
        <f t="shared" si="31"/>
        <v>-5000</v>
      </c>
    </row>
    <row r="1004" spans="1:15" x14ac:dyDescent="0.2">
      <c r="A1004" s="51" t="s">
        <v>3567</v>
      </c>
      <c r="B1004" s="51" t="s">
        <v>3568</v>
      </c>
      <c r="C1004" s="51" t="s">
        <v>57</v>
      </c>
      <c r="D1004" s="51" t="s">
        <v>4077</v>
      </c>
      <c r="E1004" s="51" t="s">
        <v>4078</v>
      </c>
      <c r="F1004" s="52">
        <v>47.850299999999997</v>
      </c>
      <c r="G1004" s="52">
        <v>0</v>
      </c>
      <c r="H1004" s="52">
        <v>0</v>
      </c>
      <c r="I1004" s="52">
        <v>0</v>
      </c>
      <c r="J1004" s="51">
        <v>0</v>
      </c>
      <c r="K1004" s="54">
        <v>0</v>
      </c>
      <c r="L1004" s="51">
        <v>0</v>
      </c>
      <c r="M1004" s="54">
        <v>0</v>
      </c>
      <c r="N1004" s="53">
        <f t="shared" si="30"/>
        <v>0</v>
      </c>
      <c r="O1004" s="53">
        <f t="shared" si="31"/>
        <v>0</v>
      </c>
    </row>
    <row r="1005" spans="1:15" x14ac:dyDescent="0.2">
      <c r="A1005" s="51" t="s">
        <v>3567</v>
      </c>
      <c r="B1005" s="51" t="s">
        <v>3568</v>
      </c>
      <c r="C1005" s="51" t="s">
        <v>69</v>
      </c>
      <c r="D1005" s="51" t="s">
        <v>3174</v>
      </c>
      <c r="E1005" s="51" t="s">
        <v>3173</v>
      </c>
      <c r="F1005" s="52">
        <v>333.01728063776318</v>
      </c>
      <c r="G1005" s="52">
        <v>1210</v>
      </c>
      <c r="H1005" s="52">
        <v>0</v>
      </c>
      <c r="I1005" s="52">
        <v>1210</v>
      </c>
      <c r="J1005" s="51">
        <v>1</v>
      </c>
      <c r="K1005" s="54">
        <v>5000</v>
      </c>
      <c r="L1005" s="51">
        <v>0</v>
      </c>
      <c r="M1005" s="54">
        <v>0</v>
      </c>
      <c r="N1005" s="53">
        <f t="shared" si="30"/>
        <v>5000</v>
      </c>
      <c r="O1005" s="53">
        <f t="shared" si="31"/>
        <v>-5000</v>
      </c>
    </row>
    <row r="1006" spans="1:15" x14ac:dyDescent="0.2">
      <c r="A1006" s="51" t="s">
        <v>3567</v>
      </c>
      <c r="B1006" s="51" t="s">
        <v>3568</v>
      </c>
      <c r="C1006" s="51" t="s">
        <v>66</v>
      </c>
      <c r="D1006" s="51" t="s">
        <v>904</v>
      </c>
      <c r="E1006" s="51" t="s">
        <v>903</v>
      </c>
      <c r="F1006" s="52">
        <v>13131.4123</v>
      </c>
      <c r="G1006" s="52">
        <v>20900</v>
      </c>
      <c r="H1006" s="52">
        <v>13980</v>
      </c>
      <c r="I1006" s="52">
        <v>34880</v>
      </c>
      <c r="J1006" s="51">
        <v>1</v>
      </c>
      <c r="K1006" s="54">
        <v>5000</v>
      </c>
      <c r="L1006" s="51">
        <v>0</v>
      </c>
      <c r="M1006" s="54">
        <v>0</v>
      </c>
      <c r="N1006" s="53">
        <f t="shared" si="30"/>
        <v>5000</v>
      </c>
      <c r="O1006" s="53">
        <f t="shared" si="31"/>
        <v>-5000</v>
      </c>
    </row>
    <row r="1007" spans="1:15" x14ac:dyDescent="0.2">
      <c r="A1007" s="51" t="s">
        <v>3567</v>
      </c>
      <c r="B1007" s="51" t="s">
        <v>3568</v>
      </c>
      <c r="C1007" s="51" t="s">
        <v>87</v>
      </c>
      <c r="D1007" s="51" t="s">
        <v>2931</v>
      </c>
      <c r="E1007" s="51" t="s">
        <v>2930</v>
      </c>
      <c r="F1007" s="52">
        <v>8759.2511851079762</v>
      </c>
      <c r="G1007" s="52">
        <v>2020</v>
      </c>
      <c r="H1007" s="52">
        <v>3700</v>
      </c>
      <c r="I1007" s="52">
        <v>5720</v>
      </c>
      <c r="J1007" s="51">
        <v>0</v>
      </c>
      <c r="K1007" s="54">
        <v>0</v>
      </c>
      <c r="L1007" s="51">
        <v>1</v>
      </c>
      <c r="M1007" s="54">
        <v>5000</v>
      </c>
      <c r="N1007" s="53">
        <f t="shared" si="30"/>
        <v>-5000</v>
      </c>
      <c r="O1007" s="53">
        <f t="shared" si="31"/>
        <v>5000</v>
      </c>
    </row>
    <row r="1008" spans="1:15" x14ac:dyDescent="0.2">
      <c r="A1008" s="51" t="s">
        <v>3567</v>
      </c>
      <c r="B1008" s="51" t="s">
        <v>3568</v>
      </c>
      <c r="C1008" s="51" t="s">
        <v>3590</v>
      </c>
      <c r="D1008" s="51" t="s">
        <v>4102</v>
      </c>
      <c r="E1008" s="51" t="s">
        <v>4103</v>
      </c>
      <c r="F1008" s="52">
        <v>4.1364090772308426</v>
      </c>
      <c r="G1008" s="52">
        <v>0</v>
      </c>
      <c r="H1008" s="52">
        <v>0</v>
      </c>
      <c r="I1008" s="52">
        <v>0</v>
      </c>
      <c r="J1008" s="51">
        <v>0</v>
      </c>
      <c r="K1008" s="54">
        <v>0</v>
      </c>
      <c r="L1008" s="51">
        <v>0</v>
      </c>
      <c r="M1008" s="54">
        <v>0</v>
      </c>
      <c r="N1008" s="53">
        <f t="shared" si="30"/>
        <v>0</v>
      </c>
      <c r="O1008" s="53">
        <f t="shared" si="31"/>
        <v>0</v>
      </c>
    </row>
    <row r="1009" spans="1:15" x14ac:dyDescent="0.2">
      <c r="A1009" s="51" t="s">
        <v>3567</v>
      </c>
      <c r="B1009" s="51" t="s">
        <v>3568</v>
      </c>
      <c r="C1009" s="51" t="s">
        <v>76</v>
      </c>
      <c r="D1009" s="51" t="s">
        <v>2410</v>
      </c>
      <c r="E1009" s="51" t="s">
        <v>2409</v>
      </c>
      <c r="F1009" s="52">
        <v>9027.3646724366972</v>
      </c>
      <c r="G1009" s="52">
        <v>13350</v>
      </c>
      <c r="H1009" s="52">
        <v>31090</v>
      </c>
      <c r="I1009" s="52">
        <v>44440</v>
      </c>
      <c r="J1009" s="51">
        <v>0</v>
      </c>
      <c r="K1009" s="54">
        <v>0</v>
      </c>
      <c r="L1009" s="51">
        <v>3</v>
      </c>
      <c r="M1009" s="54">
        <v>30000</v>
      </c>
      <c r="N1009" s="53">
        <f t="shared" si="30"/>
        <v>-30000</v>
      </c>
      <c r="O1009" s="53">
        <f t="shared" si="31"/>
        <v>30000</v>
      </c>
    </row>
    <row r="1010" spans="1:15" x14ac:dyDescent="0.2">
      <c r="A1010" s="51" t="s">
        <v>3567</v>
      </c>
      <c r="B1010" s="51" t="s">
        <v>3568</v>
      </c>
      <c r="C1010" s="51" t="s">
        <v>3610</v>
      </c>
      <c r="D1010" s="51" t="s">
        <v>4111</v>
      </c>
      <c r="E1010" s="51" t="s">
        <v>4112</v>
      </c>
      <c r="F1010" s="52">
        <v>0.79073218565533954</v>
      </c>
      <c r="G1010" s="52">
        <v>0</v>
      </c>
      <c r="H1010" s="52">
        <v>0</v>
      </c>
      <c r="I1010" s="52">
        <v>0</v>
      </c>
      <c r="J1010" s="51">
        <v>0</v>
      </c>
      <c r="K1010" s="54">
        <v>0</v>
      </c>
      <c r="L1010" s="51">
        <v>0</v>
      </c>
      <c r="M1010" s="54">
        <v>0</v>
      </c>
      <c r="N1010" s="53">
        <f t="shared" si="30"/>
        <v>0</v>
      </c>
      <c r="O1010" s="53">
        <f t="shared" si="31"/>
        <v>0</v>
      </c>
    </row>
    <row r="1011" spans="1:15" x14ac:dyDescent="0.2">
      <c r="A1011" s="51" t="s">
        <v>3567</v>
      </c>
      <c r="B1011" s="51" t="s">
        <v>3568</v>
      </c>
      <c r="C1011" s="51" t="s">
        <v>55</v>
      </c>
      <c r="D1011" s="51" t="s">
        <v>2492</v>
      </c>
      <c r="E1011" s="51" t="s">
        <v>2491</v>
      </c>
      <c r="F1011" s="52">
        <v>7523.6800999999996</v>
      </c>
      <c r="G1011" s="52">
        <v>600</v>
      </c>
      <c r="H1011" s="52">
        <v>2400</v>
      </c>
      <c r="I1011" s="52">
        <v>3000</v>
      </c>
      <c r="J1011" s="51">
        <v>1</v>
      </c>
      <c r="K1011" s="54">
        <v>5000</v>
      </c>
      <c r="L1011" s="51">
        <v>0</v>
      </c>
      <c r="M1011" s="54">
        <v>0</v>
      </c>
      <c r="N1011" s="53">
        <f t="shared" si="30"/>
        <v>5000</v>
      </c>
      <c r="O1011" s="53">
        <f t="shared" si="31"/>
        <v>-5000</v>
      </c>
    </row>
    <row r="1012" spans="1:15" x14ac:dyDescent="0.2">
      <c r="A1012" s="51" t="s">
        <v>3567</v>
      </c>
      <c r="B1012" s="51" t="s">
        <v>3568</v>
      </c>
      <c r="C1012" s="51" t="s">
        <v>67</v>
      </c>
      <c r="D1012" s="51" t="s">
        <v>3080</v>
      </c>
      <c r="E1012" s="51" t="s">
        <v>3079</v>
      </c>
      <c r="F1012" s="52">
        <v>1.9390000000000001</v>
      </c>
      <c r="G1012" s="52">
        <v>0</v>
      </c>
      <c r="H1012" s="52">
        <v>0</v>
      </c>
      <c r="I1012" s="52">
        <v>0</v>
      </c>
      <c r="J1012" s="51">
        <v>0</v>
      </c>
      <c r="K1012" s="54">
        <v>0</v>
      </c>
      <c r="L1012" s="51">
        <v>0</v>
      </c>
      <c r="M1012" s="54">
        <v>0</v>
      </c>
      <c r="N1012" s="53">
        <f t="shared" si="30"/>
        <v>0</v>
      </c>
      <c r="O1012" s="53">
        <f t="shared" si="31"/>
        <v>0</v>
      </c>
    </row>
    <row r="1013" spans="1:15" x14ac:dyDescent="0.2">
      <c r="A1013" s="51" t="s">
        <v>3567</v>
      </c>
      <c r="B1013" s="51" t="s">
        <v>3568</v>
      </c>
      <c r="C1013" s="51" t="s">
        <v>84</v>
      </c>
      <c r="D1013" s="51" t="s">
        <v>2076</v>
      </c>
      <c r="E1013" s="51" t="s">
        <v>2075</v>
      </c>
      <c r="F1013" s="52">
        <v>703.62114968130004</v>
      </c>
      <c r="G1013" s="52">
        <v>0</v>
      </c>
      <c r="H1013" s="52">
        <v>14250</v>
      </c>
      <c r="I1013" s="52">
        <v>14250</v>
      </c>
      <c r="J1013" s="51">
        <v>1</v>
      </c>
      <c r="K1013" s="54">
        <v>5000</v>
      </c>
      <c r="L1013" s="51">
        <v>1</v>
      </c>
      <c r="M1013" s="54">
        <v>20000</v>
      </c>
      <c r="N1013" s="53">
        <f t="shared" si="30"/>
        <v>-15000</v>
      </c>
      <c r="O1013" s="53">
        <f t="shared" si="31"/>
        <v>15000</v>
      </c>
    </row>
    <row r="1014" spans="1:15" x14ac:dyDescent="0.2">
      <c r="A1014" s="51" t="s">
        <v>3567</v>
      </c>
      <c r="B1014" s="51" t="s">
        <v>3568</v>
      </c>
      <c r="C1014" s="51" t="s">
        <v>78</v>
      </c>
      <c r="D1014" s="51" t="s">
        <v>528</v>
      </c>
      <c r="E1014" s="51" t="s">
        <v>527</v>
      </c>
      <c r="F1014" s="52">
        <v>356.01527571026008</v>
      </c>
      <c r="G1014" s="52">
        <v>500</v>
      </c>
      <c r="H1014" s="52">
        <v>10450</v>
      </c>
      <c r="I1014" s="52">
        <v>10950</v>
      </c>
      <c r="J1014" s="51">
        <v>1</v>
      </c>
      <c r="K1014" s="54">
        <v>5000</v>
      </c>
      <c r="L1014" s="51">
        <v>1</v>
      </c>
      <c r="M1014" s="54">
        <v>20000</v>
      </c>
      <c r="N1014" s="53">
        <f t="shared" si="30"/>
        <v>-15000</v>
      </c>
      <c r="O1014" s="53">
        <f t="shared" si="31"/>
        <v>15000</v>
      </c>
    </row>
    <row r="1015" spans="1:15" x14ac:dyDescent="0.2">
      <c r="A1015" s="51" t="s">
        <v>3567</v>
      </c>
      <c r="B1015" s="51" t="s">
        <v>3568</v>
      </c>
      <c r="C1015" s="51" t="s">
        <v>3619</v>
      </c>
      <c r="D1015" s="51" t="s">
        <v>4059</v>
      </c>
      <c r="E1015" s="51" t="s">
        <v>4060</v>
      </c>
      <c r="F1015" s="52">
        <v>0.77659890111042151</v>
      </c>
      <c r="G1015" s="52">
        <v>0</v>
      </c>
      <c r="H1015" s="52">
        <v>0</v>
      </c>
      <c r="I1015" s="52">
        <v>0</v>
      </c>
      <c r="J1015" s="51">
        <v>0</v>
      </c>
      <c r="K1015" s="54">
        <v>0</v>
      </c>
      <c r="L1015" s="51">
        <v>0</v>
      </c>
      <c r="M1015" s="54">
        <v>0</v>
      </c>
      <c r="N1015" s="53">
        <f t="shared" si="30"/>
        <v>0</v>
      </c>
      <c r="O1015" s="53">
        <f t="shared" si="31"/>
        <v>0</v>
      </c>
    </row>
    <row r="1016" spans="1:15" x14ac:dyDescent="0.2">
      <c r="A1016" s="51" t="s">
        <v>3567</v>
      </c>
      <c r="B1016" s="51" t="s">
        <v>3568</v>
      </c>
      <c r="C1016" s="51" t="s">
        <v>74</v>
      </c>
      <c r="D1016" s="51" t="s">
        <v>2708</v>
      </c>
      <c r="E1016" s="51" t="s">
        <v>2707</v>
      </c>
      <c r="F1016" s="52">
        <v>4889.9277000000002</v>
      </c>
      <c r="G1016" s="52">
        <v>7520</v>
      </c>
      <c r="H1016" s="52">
        <v>5560</v>
      </c>
      <c r="I1016" s="52">
        <v>13080</v>
      </c>
      <c r="J1016" s="51">
        <v>1</v>
      </c>
      <c r="K1016" s="54">
        <v>5000</v>
      </c>
      <c r="L1016" s="51">
        <v>0</v>
      </c>
      <c r="M1016" s="54">
        <v>0</v>
      </c>
      <c r="N1016" s="53">
        <f t="shared" si="30"/>
        <v>5000</v>
      </c>
      <c r="O1016" s="53">
        <f t="shared" si="31"/>
        <v>-5000</v>
      </c>
    </row>
    <row r="1017" spans="1:15" x14ac:dyDescent="0.2">
      <c r="A1017" s="51" t="s">
        <v>3567</v>
      </c>
      <c r="B1017" s="51" t="s">
        <v>3568</v>
      </c>
      <c r="C1017" s="51" t="s">
        <v>56</v>
      </c>
      <c r="D1017" s="51" t="s">
        <v>569</v>
      </c>
      <c r="E1017" s="51" t="s">
        <v>568</v>
      </c>
      <c r="F1017" s="52">
        <v>1470.470870729818</v>
      </c>
      <c r="G1017" s="52">
        <v>4270</v>
      </c>
      <c r="H1017" s="52">
        <v>8900</v>
      </c>
      <c r="I1017" s="52">
        <v>13170</v>
      </c>
      <c r="J1017" s="51">
        <v>1</v>
      </c>
      <c r="K1017" s="54">
        <v>5000</v>
      </c>
      <c r="L1017" s="51">
        <v>1</v>
      </c>
      <c r="M1017" s="54">
        <v>10000</v>
      </c>
      <c r="N1017" s="53">
        <f t="shared" si="30"/>
        <v>-5000</v>
      </c>
      <c r="O1017" s="53">
        <f t="shared" si="31"/>
        <v>5000</v>
      </c>
    </row>
    <row r="1018" spans="1:15" x14ac:dyDescent="0.2">
      <c r="A1018" s="51" t="s">
        <v>3567</v>
      </c>
      <c r="B1018" s="51" t="s">
        <v>3568</v>
      </c>
      <c r="C1018" s="51" t="s">
        <v>59</v>
      </c>
      <c r="D1018" s="51" t="s">
        <v>1308</v>
      </c>
      <c r="E1018" s="51" t="s">
        <v>1307</v>
      </c>
      <c r="F1018" s="52">
        <v>2809.884</v>
      </c>
      <c r="G1018" s="52">
        <v>7404</v>
      </c>
      <c r="H1018" s="52">
        <v>1750</v>
      </c>
      <c r="I1018" s="52">
        <v>9154</v>
      </c>
      <c r="J1018" s="51">
        <v>2</v>
      </c>
      <c r="K1018" s="54">
        <v>8000</v>
      </c>
      <c r="L1018" s="51">
        <v>0</v>
      </c>
      <c r="M1018" s="54">
        <v>0</v>
      </c>
      <c r="N1018" s="53">
        <f t="shared" si="30"/>
        <v>8000</v>
      </c>
      <c r="O1018" s="53">
        <f t="shared" si="31"/>
        <v>-8000</v>
      </c>
    </row>
    <row r="1019" spans="1:15" x14ac:dyDescent="0.2">
      <c r="A1019" s="51" t="s">
        <v>3567</v>
      </c>
      <c r="B1019" s="51" t="s">
        <v>3568</v>
      </c>
      <c r="C1019" s="51" t="s">
        <v>66</v>
      </c>
      <c r="D1019" s="51" t="s">
        <v>1834</v>
      </c>
      <c r="E1019" s="51" t="s">
        <v>1833</v>
      </c>
      <c r="F1019" s="52">
        <v>2962.0480068811821</v>
      </c>
      <c r="G1019" s="52">
        <v>15565</v>
      </c>
      <c r="H1019" s="52">
        <v>9850</v>
      </c>
      <c r="I1019" s="52">
        <v>25415</v>
      </c>
      <c r="J1019" s="51">
        <v>1</v>
      </c>
      <c r="K1019" s="54">
        <v>5000</v>
      </c>
      <c r="L1019" s="51">
        <v>0</v>
      </c>
      <c r="M1019" s="54">
        <v>0</v>
      </c>
      <c r="N1019" s="53">
        <f t="shared" si="30"/>
        <v>5000</v>
      </c>
      <c r="O1019" s="53">
        <f t="shared" si="31"/>
        <v>-5000</v>
      </c>
    </row>
    <row r="1020" spans="1:15" x14ac:dyDescent="0.2">
      <c r="A1020" s="51" t="s">
        <v>3567</v>
      </c>
      <c r="B1020" s="51" t="s">
        <v>3568</v>
      </c>
      <c r="C1020" s="51" t="s">
        <v>73</v>
      </c>
      <c r="D1020" s="51" t="s">
        <v>3497</v>
      </c>
      <c r="E1020" s="51" t="s">
        <v>3496</v>
      </c>
      <c r="F1020" s="52">
        <v>338.05500000000001</v>
      </c>
      <c r="G1020" s="52">
        <v>2000</v>
      </c>
      <c r="H1020" s="52">
        <v>6500</v>
      </c>
      <c r="I1020" s="52">
        <v>8500</v>
      </c>
      <c r="J1020" s="51">
        <v>0</v>
      </c>
      <c r="K1020" s="54">
        <v>0</v>
      </c>
      <c r="L1020" s="51">
        <v>1</v>
      </c>
      <c r="M1020" s="54">
        <v>7000</v>
      </c>
      <c r="N1020" s="53">
        <f t="shared" si="30"/>
        <v>-7000</v>
      </c>
      <c r="O1020" s="53">
        <f t="shared" si="31"/>
        <v>7000</v>
      </c>
    </row>
    <row r="1021" spans="1:15" x14ac:dyDescent="0.2">
      <c r="A1021" s="51" t="s">
        <v>3567</v>
      </c>
      <c r="B1021" s="51" t="s">
        <v>3568</v>
      </c>
      <c r="C1021" s="51" t="s">
        <v>61</v>
      </c>
      <c r="D1021" s="51" t="s">
        <v>2116</v>
      </c>
      <c r="E1021" s="51" t="s">
        <v>2115</v>
      </c>
      <c r="F1021" s="52">
        <v>6405.0783199234565</v>
      </c>
      <c r="G1021" s="52">
        <v>5000</v>
      </c>
      <c r="H1021" s="52">
        <v>0</v>
      </c>
      <c r="I1021" s="52">
        <v>5000</v>
      </c>
      <c r="J1021" s="51">
        <v>1</v>
      </c>
      <c r="K1021" s="54">
        <v>5000</v>
      </c>
      <c r="L1021" s="51">
        <v>0</v>
      </c>
      <c r="M1021" s="54">
        <v>0</v>
      </c>
      <c r="N1021" s="53">
        <f t="shared" si="30"/>
        <v>5000</v>
      </c>
      <c r="O1021" s="53">
        <f t="shared" si="31"/>
        <v>-5000</v>
      </c>
    </row>
    <row r="1022" spans="1:15" x14ac:dyDescent="0.2">
      <c r="A1022" s="51" t="s">
        <v>3567</v>
      </c>
      <c r="B1022" s="51" t="s">
        <v>3568</v>
      </c>
      <c r="C1022" s="51" t="s">
        <v>53</v>
      </c>
      <c r="D1022" s="51" t="s">
        <v>926</v>
      </c>
      <c r="E1022" s="51" t="s">
        <v>925</v>
      </c>
      <c r="F1022" s="52">
        <v>18103.05329068159</v>
      </c>
      <c r="G1022" s="52">
        <v>5905</v>
      </c>
      <c r="H1022" s="52">
        <v>26055</v>
      </c>
      <c r="I1022" s="52">
        <v>31960</v>
      </c>
      <c r="J1022" s="51">
        <v>0</v>
      </c>
      <c r="K1022" s="54">
        <v>0</v>
      </c>
      <c r="L1022" s="51">
        <v>1</v>
      </c>
      <c r="M1022" s="54">
        <v>20000</v>
      </c>
      <c r="N1022" s="53">
        <f t="shared" si="30"/>
        <v>-20000</v>
      </c>
      <c r="O1022" s="53">
        <f t="shared" si="31"/>
        <v>20000</v>
      </c>
    </row>
    <row r="1023" spans="1:15" x14ac:dyDescent="0.2">
      <c r="A1023" s="51" t="s">
        <v>3567</v>
      </c>
      <c r="B1023" s="51" t="s">
        <v>3568</v>
      </c>
      <c r="C1023" s="51" t="s">
        <v>84</v>
      </c>
      <c r="D1023" s="51" t="s">
        <v>2721</v>
      </c>
      <c r="E1023" s="51" t="s">
        <v>2720</v>
      </c>
      <c r="F1023" s="52">
        <v>11196.975207521</v>
      </c>
      <c r="G1023" s="52">
        <v>0</v>
      </c>
      <c r="H1023" s="52">
        <v>0</v>
      </c>
      <c r="I1023" s="52">
        <v>0</v>
      </c>
      <c r="J1023" s="51">
        <v>0</v>
      </c>
      <c r="K1023" s="54">
        <v>0</v>
      </c>
      <c r="L1023" s="51">
        <v>0</v>
      </c>
      <c r="M1023" s="54">
        <v>0</v>
      </c>
      <c r="N1023" s="53">
        <f t="shared" si="30"/>
        <v>0</v>
      </c>
      <c r="O1023" s="53">
        <f t="shared" si="31"/>
        <v>0</v>
      </c>
    </row>
    <row r="1024" spans="1:15" x14ac:dyDescent="0.2">
      <c r="A1024" s="51" t="s">
        <v>3567</v>
      </c>
      <c r="B1024" s="51" t="s">
        <v>3568</v>
      </c>
      <c r="C1024" s="51" t="s">
        <v>87</v>
      </c>
      <c r="D1024" s="51" t="s">
        <v>3228</v>
      </c>
      <c r="E1024" s="51" t="s">
        <v>3227</v>
      </c>
      <c r="F1024" s="52">
        <v>2428.7501000000002</v>
      </c>
      <c r="G1024" s="52">
        <v>3400</v>
      </c>
      <c r="H1024" s="52">
        <v>0</v>
      </c>
      <c r="I1024" s="52">
        <v>3400</v>
      </c>
      <c r="J1024" s="51">
        <v>1</v>
      </c>
      <c r="K1024" s="54">
        <v>5000</v>
      </c>
      <c r="L1024" s="51">
        <v>0</v>
      </c>
      <c r="M1024" s="54">
        <v>0</v>
      </c>
      <c r="N1024" s="53">
        <f t="shared" si="30"/>
        <v>5000</v>
      </c>
      <c r="O1024" s="53">
        <f t="shared" si="31"/>
        <v>-5000</v>
      </c>
    </row>
    <row r="1025" spans="1:15" x14ac:dyDescent="0.2">
      <c r="A1025" s="51" t="s">
        <v>3567</v>
      </c>
      <c r="B1025" s="51" t="s">
        <v>3568</v>
      </c>
      <c r="C1025" s="51" t="s">
        <v>82</v>
      </c>
      <c r="D1025" s="51" t="s">
        <v>3548</v>
      </c>
      <c r="E1025" s="51" t="s">
        <v>3547</v>
      </c>
      <c r="F1025" s="52">
        <v>191.63811000000001</v>
      </c>
      <c r="G1025" s="52">
        <v>505</v>
      </c>
      <c r="H1025" s="52">
        <v>0</v>
      </c>
      <c r="I1025" s="52">
        <v>505</v>
      </c>
      <c r="J1025" s="51">
        <v>0</v>
      </c>
      <c r="K1025" s="54">
        <v>0</v>
      </c>
      <c r="L1025" s="51">
        <v>0</v>
      </c>
      <c r="M1025" s="54">
        <v>0</v>
      </c>
      <c r="N1025" s="53">
        <f t="shared" si="30"/>
        <v>0</v>
      </c>
      <c r="O1025" s="53">
        <f t="shared" si="31"/>
        <v>0</v>
      </c>
    </row>
    <row r="1026" spans="1:15" x14ac:dyDescent="0.2">
      <c r="A1026" s="51" t="s">
        <v>3567</v>
      </c>
      <c r="B1026" s="51" t="s">
        <v>3568</v>
      </c>
      <c r="C1026" s="51" t="s">
        <v>59</v>
      </c>
      <c r="D1026" s="51" t="s">
        <v>3540</v>
      </c>
      <c r="E1026" s="51" t="s">
        <v>3539</v>
      </c>
      <c r="F1026" s="52">
        <v>9356.7921000000006</v>
      </c>
      <c r="G1026" s="52">
        <v>4310</v>
      </c>
      <c r="H1026" s="52">
        <v>4520</v>
      </c>
      <c r="I1026" s="52">
        <v>8830</v>
      </c>
      <c r="J1026" s="51">
        <v>2</v>
      </c>
      <c r="K1026" s="54">
        <v>12500</v>
      </c>
      <c r="L1026" s="51">
        <v>1</v>
      </c>
      <c r="M1026" s="54">
        <v>7500</v>
      </c>
      <c r="N1026" s="53">
        <f t="shared" si="30"/>
        <v>5000</v>
      </c>
      <c r="O1026" s="53">
        <f t="shared" si="31"/>
        <v>-5000</v>
      </c>
    </row>
    <row r="1027" spans="1:15" x14ac:dyDescent="0.2">
      <c r="A1027" s="51" t="s">
        <v>3567</v>
      </c>
      <c r="B1027" s="51" t="s">
        <v>3568</v>
      </c>
      <c r="C1027" s="51" t="s">
        <v>87</v>
      </c>
      <c r="D1027" s="51" t="s">
        <v>4137</v>
      </c>
      <c r="E1027" s="51" t="s">
        <v>4138</v>
      </c>
      <c r="F1027" s="52">
        <v>0.97577999999999998</v>
      </c>
      <c r="G1027" s="52">
        <v>0</v>
      </c>
      <c r="H1027" s="52">
        <v>0</v>
      </c>
      <c r="I1027" s="52">
        <v>0</v>
      </c>
      <c r="J1027" s="51">
        <v>0</v>
      </c>
      <c r="K1027" s="54">
        <v>0</v>
      </c>
      <c r="L1027" s="51">
        <v>0</v>
      </c>
      <c r="M1027" s="54">
        <v>0</v>
      </c>
      <c r="N1027" s="53">
        <f t="shared" ref="N1027:N1090" si="32">K1027-M1027</f>
        <v>0</v>
      </c>
      <c r="O1027" s="53">
        <f t="shared" ref="O1027:O1090" si="33">M1027-K1027</f>
        <v>0</v>
      </c>
    </row>
    <row r="1028" spans="1:15" x14ac:dyDescent="0.2">
      <c r="A1028" s="51" t="s">
        <v>3567</v>
      </c>
      <c r="B1028" s="51" t="s">
        <v>3568</v>
      </c>
      <c r="C1028" s="51" t="s">
        <v>3571</v>
      </c>
      <c r="D1028" s="51" t="s">
        <v>4069</v>
      </c>
      <c r="E1028" s="51" t="s">
        <v>4070</v>
      </c>
      <c r="F1028" s="52">
        <v>0.11437149645642961</v>
      </c>
      <c r="G1028" s="52">
        <v>0</v>
      </c>
      <c r="H1028" s="52">
        <v>0</v>
      </c>
      <c r="I1028" s="52">
        <v>0</v>
      </c>
      <c r="J1028" s="51">
        <v>0</v>
      </c>
      <c r="K1028" s="54">
        <v>0</v>
      </c>
      <c r="L1028" s="51">
        <v>0</v>
      </c>
      <c r="M1028" s="54">
        <v>0</v>
      </c>
      <c r="N1028" s="53">
        <f t="shared" si="32"/>
        <v>0</v>
      </c>
      <c r="O1028" s="53">
        <f t="shared" si="33"/>
        <v>0</v>
      </c>
    </row>
    <row r="1029" spans="1:15" x14ac:dyDescent="0.2">
      <c r="A1029" s="51" t="s">
        <v>3567</v>
      </c>
      <c r="B1029" s="51" t="s">
        <v>3568</v>
      </c>
      <c r="C1029" s="51" t="s">
        <v>76</v>
      </c>
      <c r="D1029" s="51" t="s">
        <v>1721</v>
      </c>
      <c r="E1029" s="51" t="s">
        <v>1720</v>
      </c>
      <c r="F1029" s="52">
        <v>18547.324700000001</v>
      </c>
      <c r="G1029" s="52">
        <v>1000</v>
      </c>
      <c r="H1029" s="52">
        <v>2730</v>
      </c>
      <c r="I1029" s="52">
        <v>3730</v>
      </c>
      <c r="J1029" s="51">
        <v>1</v>
      </c>
      <c r="K1029" s="54">
        <v>5000</v>
      </c>
      <c r="L1029" s="51">
        <v>0</v>
      </c>
      <c r="M1029" s="54">
        <v>0</v>
      </c>
      <c r="N1029" s="53">
        <f t="shared" si="32"/>
        <v>5000</v>
      </c>
      <c r="O1029" s="53">
        <f t="shared" si="33"/>
        <v>-5000</v>
      </c>
    </row>
    <row r="1030" spans="1:15" x14ac:dyDescent="0.2">
      <c r="A1030" s="51" t="s">
        <v>3567</v>
      </c>
      <c r="B1030" s="51" t="s">
        <v>3568</v>
      </c>
      <c r="C1030" s="51" t="s">
        <v>54</v>
      </c>
      <c r="D1030" s="51" t="s">
        <v>1810</v>
      </c>
      <c r="E1030" s="51" t="s">
        <v>1809</v>
      </c>
      <c r="F1030" s="52">
        <v>6007.7885999999999</v>
      </c>
      <c r="G1030" s="52">
        <v>525</v>
      </c>
      <c r="H1030" s="52">
        <v>0</v>
      </c>
      <c r="I1030" s="52">
        <v>525</v>
      </c>
      <c r="J1030" s="51">
        <v>0</v>
      </c>
      <c r="K1030" s="54">
        <v>0</v>
      </c>
      <c r="L1030" s="51">
        <v>0</v>
      </c>
      <c r="M1030" s="54">
        <v>0</v>
      </c>
      <c r="N1030" s="53">
        <f t="shared" si="32"/>
        <v>0</v>
      </c>
      <c r="O1030" s="53">
        <f t="shared" si="33"/>
        <v>0</v>
      </c>
    </row>
    <row r="1031" spans="1:15" x14ac:dyDescent="0.2">
      <c r="A1031" s="51" t="s">
        <v>3567</v>
      </c>
      <c r="B1031" s="51" t="s">
        <v>3568</v>
      </c>
      <c r="C1031" s="51" t="s">
        <v>56</v>
      </c>
      <c r="D1031" s="51" t="s">
        <v>2161</v>
      </c>
      <c r="E1031" s="51" t="s">
        <v>1207</v>
      </c>
      <c r="F1031" s="52">
        <v>156.95215002399999</v>
      </c>
      <c r="G1031" s="52">
        <v>4020</v>
      </c>
      <c r="H1031" s="52">
        <v>1850</v>
      </c>
      <c r="I1031" s="52">
        <v>5870</v>
      </c>
      <c r="J1031" s="51">
        <v>1</v>
      </c>
      <c r="K1031" s="54">
        <v>5000</v>
      </c>
      <c r="L1031" s="51">
        <v>1</v>
      </c>
      <c r="M1031" s="54">
        <v>10000</v>
      </c>
      <c r="N1031" s="53">
        <f t="shared" si="32"/>
        <v>-5000</v>
      </c>
      <c r="O1031" s="53">
        <f t="shared" si="33"/>
        <v>5000</v>
      </c>
    </row>
    <row r="1032" spans="1:15" x14ac:dyDescent="0.2">
      <c r="A1032" s="51" t="s">
        <v>3567</v>
      </c>
      <c r="B1032" s="51" t="s">
        <v>3568</v>
      </c>
      <c r="C1032" s="51" t="s">
        <v>3944</v>
      </c>
      <c r="D1032" s="51" t="s">
        <v>4131</v>
      </c>
      <c r="E1032" s="51" t="s">
        <v>4132</v>
      </c>
      <c r="F1032" s="52">
        <v>1.0279320000000001</v>
      </c>
      <c r="G1032" s="52">
        <v>0</v>
      </c>
      <c r="H1032" s="52">
        <v>0</v>
      </c>
      <c r="I1032" s="52">
        <v>0</v>
      </c>
      <c r="J1032" s="51">
        <v>0</v>
      </c>
      <c r="K1032" s="54">
        <v>0</v>
      </c>
      <c r="L1032" s="51">
        <v>0</v>
      </c>
      <c r="M1032" s="54">
        <v>0</v>
      </c>
      <c r="N1032" s="53">
        <f t="shared" si="32"/>
        <v>0</v>
      </c>
      <c r="O1032" s="53">
        <f t="shared" si="33"/>
        <v>0</v>
      </c>
    </row>
    <row r="1033" spans="1:15" x14ac:dyDescent="0.2">
      <c r="A1033" s="51" t="s">
        <v>3567</v>
      </c>
      <c r="B1033" s="51" t="s">
        <v>3568</v>
      </c>
      <c r="C1033" s="51" t="s">
        <v>3590</v>
      </c>
      <c r="D1033" s="51" t="s">
        <v>4156</v>
      </c>
      <c r="E1033" s="51" t="s">
        <v>4157</v>
      </c>
      <c r="F1033" s="52">
        <v>3020.3146509798421</v>
      </c>
      <c r="G1033" s="52">
        <v>0</v>
      </c>
      <c r="H1033" s="52">
        <v>0</v>
      </c>
      <c r="I1033" s="52">
        <v>0</v>
      </c>
      <c r="J1033" s="51">
        <v>0</v>
      </c>
      <c r="K1033" s="54">
        <v>0</v>
      </c>
      <c r="L1033" s="51">
        <v>0</v>
      </c>
      <c r="M1033" s="54">
        <v>0</v>
      </c>
      <c r="N1033" s="53">
        <f t="shared" si="32"/>
        <v>0</v>
      </c>
      <c r="O1033" s="53">
        <f t="shared" si="33"/>
        <v>0</v>
      </c>
    </row>
    <row r="1034" spans="1:15" x14ac:dyDescent="0.2">
      <c r="A1034" s="51" t="s">
        <v>3567</v>
      </c>
      <c r="B1034" s="51" t="s">
        <v>3568</v>
      </c>
      <c r="C1034" s="51" t="s">
        <v>73</v>
      </c>
      <c r="D1034" s="51" t="s">
        <v>1098</v>
      </c>
      <c r="E1034" s="51" t="s">
        <v>1097</v>
      </c>
      <c r="F1034" s="52">
        <v>6724.5432690423631</v>
      </c>
      <c r="G1034" s="52">
        <v>4100</v>
      </c>
      <c r="H1034" s="52">
        <v>500</v>
      </c>
      <c r="I1034" s="52">
        <v>4600</v>
      </c>
      <c r="J1034" s="51">
        <v>1</v>
      </c>
      <c r="K1034" s="54">
        <v>5000</v>
      </c>
      <c r="L1034" s="51">
        <v>0</v>
      </c>
      <c r="M1034" s="54">
        <v>0</v>
      </c>
      <c r="N1034" s="53">
        <f t="shared" si="32"/>
        <v>5000</v>
      </c>
      <c r="O1034" s="53">
        <f t="shared" si="33"/>
        <v>-5000</v>
      </c>
    </row>
    <row r="1035" spans="1:15" x14ac:dyDescent="0.2">
      <c r="A1035" s="51" t="s">
        <v>3567</v>
      </c>
      <c r="B1035" s="51" t="s">
        <v>3568</v>
      </c>
      <c r="C1035" s="51" t="s">
        <v>54</v>
      </c>
      <c r="D1035" s="51" t="s">
        <v>3216</v>
      </c>
      <c r="E1035" s="51" t="s">
        <v>3215</v>
      </c>
      <c r="F1035" s="52">
        <v>6243.2636172191897</v>
      </c>
      <c r="G1035" s="52">
        <v>3800</v>
      </c>
      <c r="H1035" s="52">
        <v>8300</v>
      </c>
      <c r="I1035" s="52">
        <v>12100</v>
      </c>
      <c r="J1035" s="51">
        <v>0</v>
      </c>
      <c r="K1035" s="54">
        <v>0</v>
      </c>
      <c r="L1035" s="51">
        <v>1</v>
      </c>
      <c r="M1035" s="54">
        <v>5000</v>
      </c>
      <c r="N1035" s="53">
        <f t="shared" si="32"/>
        <v>-5000</v>
      </c>
      <c r="O1035" s="53">
        <f t="shared" si="33"/>
        <v>5000</v>
      </c>
    </row>
    <row r="1036" spans="1:15" x14ac:dyDescent="0.2">
      <c r="A1036" s="51" t="s">
        <v>3567</v>
      </c>
      <c r="B1036" s="51" t="s">
        <v>3568</v>
      </c>
      <c r="C1036" s="51" t="s">
        <v>57</v>
      </c>
      <c r="D1036" s="51" t="s">
        <v>1836</v>
      </c>
      <c r="E1036" s="51" t="s">
        <v>1835</v>
      </c>
      <c r="F1036" s="52">
        <v>5749.5761695425044</v>
      </c>
      <c r="G1036" s="52">
        <v>4460</v>
      </c>
      <c r="H1036" s="52">
        <v>300</v>
      </c>
      <c r="I1036" s="52">
        <v>4760</v>
      </c>
      <c r="J1036" s="51">
        <v>1</v>
      </c>
      <c r="K1036" s="54">
        <v>5000</v>
      </c>
      <c r="L1036" s="51">
        <v>0</v>
      </c>
      <c r="M1036" s="54">
        <v>0</v>
      </c>
      <c r="N1036" s="53">
        <f t="shared" si="32"/>
        <v>5000</v>
      </c>
      <c r="O1036" s="53">
        <f t="shared" si="33"/>
        <v>-5000</v>
      </c>
    </row>
    <row r="1037" spans="1:15" x14ac:dyDescent="0.2">
      <c r="A1037" s="51" t="s">
        <v>3567</v>
      </c>
      <c r="B1037" s="51" t="s">
        <v>3568</v>
      </c>
      <c r="C1037" s="51" t="s">
        <v>3718</v>
      </c>
      <c r="D1037" s="51" t="s">
        <v>4129</v>
      </c>
      <c r="E1037" s="51" t="s">
        <v>4130</v>
      </c>
      <c r="F1037" s="52">
        <v>1.7041647252000001</v>
      </c>
      <c r="G1037" s="52">
        <v>0</v>
      </c>
      <c r="H1037" s="52">
        <v>0</v>
      </c>
      <c r="I1037" s="52">
        <v>0</v>
      </c>
      <c r="J1037" s="51">
        <v>0</v>
      </c>
      <c r="K1037" s="54">
        <v>0</v>
      </c>
      <c r="L1037" s="51">
        <v>0</v>
      </c>
      <c r="M1037" s="54">
        <v>0</v>
      </c>
      <c r="N1037" s="53">
        <f t="shared" si="32"/>
        <v>0</v>
      </c>
      <c r="O1037" s="53">
        <f t="shared" si="33"/>
        <v>0</v>
      </c>
    </row>
    <row r="1038" spans="1:15" x14ac:dyDescent="0.2">
      <c r="A1038" s="51" t="s">
        <v>3567</v>
      </c>
      <c r="B1038" s="51" t="s">
        <v>3568</v>
      </c>
      <c r="C1038" s="51" t="s">
        <v>55</v>
      </c>
      <c r="D1038" s="51" t="s">
        <v>1349</v>
      </c>
      <c r="E1038" s="51" t="s">
        <v>1348</v>
      </c>
      <c r="F1038" s="52">
        <v>25212.896179854099</v>
      </c>
      <c r="G1038" s="52">
        <v>2830</v>
      </c>
      <c r="H1038" s="52">
        <v>34800</v>
      </c>
      <c r="I1038" s="52">
        <v>37630</v>
      </c>
      <c r="J1038" s="51">
        <v>0</v>
      </c>
      <c r="K1038" s="54">
        <v>0</v>
      </c>
      <c r="L1038" s="51">
        <v>1</v>
      </c>
      <c r="M1038" s="54">
        <v>50000</v>
      </c>
      <c r="N1038" s="53">
        <f t="shared" si="32"/>
        <v>-50000</v>
      </c>
      <c r="O1038" s="53">
        <f t="shared" si="33"/>
        <v>50000</v>
      </c>
    </row>
    <row r="1039" spans="1:15" x14ac:dyDescent="0.2">
      <c r="A1039" s="51" t="s">
        <v>3567</v>
      </c>
      <c r="B1039" s="51" t="s">
        <v>3568</v>
      </c>
      <c r="C1039" s="51" t="s">
        <v>67</v>
      </c>
      <c r="D1039" s="51" t="s">
        <v>1248</v>
      </c>
      <c r="E1039" s="51" t="s">
        <v>1247</v>
      </c>
      <c r="F1039" s="52">
        <v>14312.1363130435</v>
      </c>
      <c r="G1039" s="52">
        <v>300</v>
      </c>
      <c r="H1039" s="52">
        <v>0</v>
      </c>
      <c r="I1039" s="52">
        <v>300</v>
      </c>
      <c r="J1039" s="51">
        <v>0</v>
      </c>
      <c r="K1039" s="54">
        <v>0</v>
      </c>
      <c r="L1039" s="51">
        <v>1</v>
      </c>
      <c r="M1039" s="54">
        <v>15000</v>
      </c>
      <c r="N1039" s="53">
        <f t="shared" si="32"/>
        <v>-15000</v>
      </c>
      <c r="O1039" s="53">
        <f t="shared" si="33"/>
        <v>15000</v>
      </c>
    </row>
    <row r="1040" spans="1:15" x14ac:dyDescent="0.2">
      <c r="A1040" s="51" t="s">
        <v>3567</v>
      </c>
      <c r="B1040" s="51" t="s">
        <v>3568</v>
      </c>
      <c r="C1040" s="51" t="s">
        <v>62</v>
      </c>
      <c r="D1040" s="51" t="s">
        <v>3469</v>
      </c>
      <c r="E1040" s="51" t="s">
        <v>3468</v>
      </c>
      <c r="F1040" s="52">
        <v>7503.2346023140281</v>
      </c>
      <c r="G1040" s="52">
        <v>0</v>
      </c>
      <c r="H1040" s="52">
        <v>1300</v>
      </c>
      <c r="I1040" s="52">
        <v>1300</v>
      </c>
      <c r="J1040" s="51">
        <v>0</v>
      </c>
      <c r="K1040" s="54">
        <v>0</v>
      </c>
      <c r="L1040" s="51">
        <v>0</v>
      </c>
      <c r="M1040" s="54">
        <v>0</v>
      </c>
      <c r="N1040" s="53">
        <f t="shared" si="32"/>
        <v>0</v>
      </c>
      <c r="O1040" s="53">
        <f t="shared" si="33"/>
        <v>0</v>
      </c>
    </row>
    <row r="1041" spans="1:15" x14ac:dyDescent="0.2">
      <c r="A1041" s="51" t="s">
        <v>3567</v>
      </c>
      <c r="B1041" s="51" t="s">
        <v>3568</v>
      </c>
      <c r="C1041" s="51" t="s">
        <v>71</v>
      </c>
      <c r="D1041" s="51" t="s">
        <v>2240</v>
      </c>
      <c r="E1041" s="51" t="s">
        <v>2239</v>
      </c>
      <c r="F1041" s="52">
        <v>357.69860652170001</v>
      </c>
      <c r="G1041" s="52">
        <v>330</v>
      </c>
      <c r="H1041" s="52">
        <v>6765</v>
      </c>
      <c r="I1041" s="52">
        <v>7095</v>
      </c>
      <c r="J1041" s="51">
        <v>0</v>
      </c>
      <c r="K1041" s="54">
        <v>0</v>
      </c>
      <c r="L1041" s="51">
        <v>2</v>
      </c>
      <c r="M1041" s="54">
        <v>13000</v>
      </c>
      <c r="N1041" s="53">
        <f t="shared" si="32"/>
        <v>-13000</v>
      </c>
      <c r="O1041" s="53">
        <f t="shared" si="33"/>
        <v>13000</v>
      </c>
    </row>
    <row r="1042" spans="1:15" x14ac:dyDescent="0.2">
      <c r="A1042" s="51" t="s">
        <v>3567</v>
      </c>
      <c r="B1042" s="51" t="s">
        <v>3568</v>
      </c>
      <c r="C1042" s="51" t="s">
        <v>57</v>
      </c>
      <c r="D1042" s="51" t="s">
        <v>1232</v>
      </c>
      <c r="E1042" s="51" t="s">
        <v>1231</v>
      </c>
      <c r="F1042" s="52">
        <v>9068.9864261793282</v>
      </c>
      <c r="G1042" s="52">
        <v>0</v>
      </c>
      <c r="H1042" s="52">
        <v>11615</v>
      </c>
      <c r="I1042" s="52">
        <v>11615</v>
      </c>
      <c r="J1042" s="51">
        <v>0</v>
      </c>
      <c r="K1042" s="54">
        <v>0</v>
      </c>
      <c r="L1042" s="51">
        <v>1</v>
      </c>
      <c r="M1042" s="54">
        <v>6000</v>
      </c>
      <c r="N1042" s="53">
        <f t="shared" si="32"/>
        <v>-6000</v>
      </c>
      <c r="O1042" s="53">
        <f t="shared" si="33"/>
        <v>6000</v>
      </c>
    </row>
    <row r="1043" spans="1:15" x14ac:dyDescent="0.2">
      <c r="A1043" s="51" t="s">
        <v>3567</v>
      </c>
      <c r="B1043" s="51" t="s">
        <v>3568</v>
      </c>
      <c r="C1043" s="51" t="s">
        <v>74</v>
      </c>
      <c r="D1043" s="51" t="s">
        <v>712</v>
      </c>
      <c r="E1043" s="51" t="s">
        <v>711</v>
      </c>
      <c r="F1043" s="52">
        <v>983.519209887442</v>
      </c>
      <c r="G1043" s="52">
        <v>4643</v>
      </c>
      <c r="H1043" s="52">
        <v>200</v>
      </c>
      <c r="I1043" s="52">
        <v>4843</v>
      </c>
      <c r="J1043" s="51">
        <v>1</v>
      </c>
      <c r="K1043" s="54">
        <v>5000</v>
      </c>
      <c r="L1043" s="51">
        <v>0</v>
      </c>
      <c r="M1043" s="54">
        <v>0</v>
      </c>
      <c r="N1043" s="53">
        <f t="shared" si="32"/>
        <v>5000</v>
      </c>
      <c r="O1043" s="53">
        <f t="shared" si="33"/>
        <v>-5000</v>
      </c>
    </row>
    <row r="1044" spans="1:15" x14ac:dyDescent="0.2">
      <c r="A1044" s="51" t="s">
        <v>3567</v>
      </c>
      <c r="B1044" s="51" t="s">
        <v>3568</v>
      </c>
      <c r="C1044" s="51" t="s">
        <v>71</v>
      </c>
      <c r="D1044" s="51" t="s">
        <v>2899</v>
      </c>
      <c r="E1044" s="51" t="s">
        <v>2898</v>
      </c>
      <c r="F1044" s="52">
        <v>2317.3845095495672</v>
      </c>
      <c r="G1044" s="52">
        <v>1010</v>
      </c>
      <c r="H1044" s="52">
        <v>8570</v>
      </c>
      <c r="I1044" s="52">
        <v>9580</v>
      </c>
      <c r="J1044" s="51">
        <v>0</v>
      </c>
      <c r="K1044" s="54">
        <v>0</v>
      </c>
      <c r="L1044" s="51">
        <v>1</v>
      </c>
      <c r="M1044" s="54">
        <v>15000</v>
      </c>
      <c r="N1044" s="53">
        <f t="shared" si="32"/>
        <v>-15000</v>
      </c>
      <c r="O1044" s="53">
        <f t="shared" si="33"/>
        <v>15000</v>
      </c>
    </row>
    <row r="1045" spans="1:15" x14ac:dyDescent="0.2">
      <c r="A1045" s="51" t="s">
        <v>3567</v>
      </c>
      <c r="B1045" s="51" t="s">
        <v>3568</v>
      </c>
      <c r="C1045" s="51" t="s">
        <v>92</v>
      </c>
      <c r="D1045" s="51" t="s">
        <v>206</v>
      </c>
      <c r="E1045" s="51" t="s">
        <v>205</v>
      </c>
      <c r="F1045" s="52">
        <v>1458.061145409559</v>
      </c>
      <c r="G1045" s="52">
        <v>0</v>
      </c>
      <c r="H1045" s="52">
        <v>0</v>
      </c>
      <c r="I1045" s="52">
        <v>0</v>
      </c>
      <c r="J1045" s="51">
        <v>0</v>
      </c>
      <c r="K1045" s="54">
        <v>0</v>
      </c>
      <c r="L1045" s="51">
        <v>1</v>
      </c>
      <c r="M1045" s="54">
        <v>5000</v>
      </c>
      <c r="N1045" s="53">
        <f t="shared" si="32"/>
        <v>-5000</v>
      </c>
      <c r="O1045" s="53">
        <f t="shared" si="33"/>
        <v>5000</v>
      </c>
    </row>
    <row r="1046" spans="1:15" x14ac:dyDescent="0.2">
      <c r="A1046" s="51" t="s">
        <v>3567</v>
      </c>
      <c r="B1046" s="51" t="s">
        <v>3568</v>
      </c>
      <c r="C1046" s="51" t="s">
        <v>78</v>
      </c>
      <c r="D1046" s="51" t="s">
        <v>3220</v>
      </c>
      <c r="E1046" s="51" t="s">
        <v>3219</v>
      </c>
      <c r="F1046" s="52">
        <v>593.9605192932828</v>
      </c>
      <c r="G1046" s="52">
        <v>1720</v>
      </c>
      <c r="H1046" s="52">
        <v>2640</v>
      </c>
      <c r="I1046" s="52">
        <v>4360</v>
      </c>
      <c r="J1046" s="51">
        <v>0</v>
      </c>
      <c r="K1046" s="54">
        <v>0</v>
      </c>
      <c r="L1046" s="51">
        <v>1</v>
      </c>
      <c r="M1046" s="54">
        <v>20000</v>
      </c>
      <c r="N1046" s="53">
        <f t="shared" si="32"/>
        <v>-20000</v>
      </c>
      <c r="O1046" s="53">
        <f t="shared" si="33"/>
        <v>20000</v>
      </c>
    </row>
    <row r="1047" spans="1:15" x14ac:dyDescent="0.2">
      <c r="A1047" s="51" t="s">
        <v>3567</v>
      </c>
      <c r="B1047" s="51" t="s">
        <v>3568</v>
      </c>
      <c r="C1047" s="51" t="s">
        <v>80</v>
      </c>
      <c r="D1047" s="51" t="s">
        <v>4166</v>
      </c>
      <c r="E1047" s="51" t="s">
        <v>4167</v>
      </c>
      <c r="F1047" s="52">
        <v>23.270350000000001</v>
      </c>
      <c r="G1047" s="52">
        <v>0</v>
      </c>
      <c r="H1047" s="52">
        <v>0</v>
      </c>
      <c r="I1047" s="52">
        <v>0</v>
      </c>
      <c r="J1047" s="51">
        <v>0</v>
      </c>
      <c r="K1047" s="54">
        <v>0</v>
      </c>
      <c r="L1047" s="51">
        <v>0</v>
      </c>
      <c r="M1047" s="54">
        <v>0</v>
      </c>
      <c r="N1047" s="53">
        <f t="shared" si="32"/>
        <v>0</v>
      </c>
      <c r="O1047" s="53">
        <f t="shared" si="33"/>
        <v>0</v>
      </c>
    </row>
    <row r="1048" spans="1:15" x14ac:dyDescent="0.2">
      <c r="A1048" s="51" t="s">
        <v>3567</v>
      </c>
      <c r="B1048" s="51" t="s">
        <v>3568</v>
      </c>
      <c r="C1048" s="51" t="s">
        <v>66</v>
      </c>
      <c r="D1048" s="51" t="s">
        <v>2688</v>
      </c>
      <c r="E1048" s="51" t="s">
        <v>2687</v>
      </c>
      <c r="F1048" s="52">
        <v>19534.323390496571</v>
      </c>
      <c r="G1048" s="52">
        <v>4435</v>
      </c>
      <c r="H1048" s="52">
        <v>2000</v>
      </c>
      <c r="I1048" s="52">
        <v>6435</v>
      </c>
      <c r="J1048" s="51">
        <v>1</v>
      </c>
      <c r="K1048" s="54">
        <v>5000</v>
      </c>
      <c r="L1048" s="51">
        <v>0</v>
      </c>
      <c r="M1048" s="54">
        <v>0</v>
      </c>
      <c r="N1048" s="53">
        <f t="shared" si="32"/>
        <v>5000</v>
      </c>
      <c r="O1048" s="53">
        <f t="shared" si="33"/>
        <v>-5000</v>
      </c>
    </row>
    <row r="1049" spans="1:15" x14ac:dyDescent="0.2">
      <c r="A1049" s="51" t="s">
        <v>3567</v>
      </c>
      <c r="B1049" s="51" t="s">
        <v>3568</v>
      </c>
      <c r="C1049" s="51" t="s">
        <v>78</v>
      </c>
      <c r="D1049" s="51" t="s">
        <v>3241</v>
      </c>
      <c r="E1049" s="51" t="s">
        <v>3240</v>
      </c>
      <c r="F1049" s="52">
        <v>2501.768173421131</v>
      </c>
      <c r="G1049" s="52">
        <v>500</v>
      </c>
      <c r="H1049" s="52">
        <v>13660</v>
      </c>
      <c r="I1049" s="52">
        <v>14160</v>
      </c>
      <c r="J1049" s="51">
        <v>0</v>
      </c>
      <c r="K1049" s="54">
        <v>0</v>
      </c>
      <c r="L1049" s="51">
        <v>2</v>
      </c>
      <c r="M1049" s="54">
        <v>30000</v>
      </c>
      <c r="N1049" s="53">
        <f t="shared" si="32"/>
        <v>-30000</v>
      </c>
      <c r="O1049" s="53">
        <f t="shared" si="33"/>
        <v>30000</v>
      </c>
    </row>
    <row r="1050" spans="1:15" x14ac:dyDescent="0.2">
      <c r="A1050" s="51" t="s">
        <v>3567</v>
      </c>
      <c r="B1050" s="51" t="s">
        <v>3568</v>
      </c>
      <c r="C1050" s="51" t="s">
        <v>60</v>
      </c>
      <c r="D1050" s="51" t="s">
        <v>2366</v>
      </c>
      <c r="E1050" s="51" t="s">
        <v>2365</v>
      </c>
      <c r="F1050" s="52">
        <v>65336.528862397383</v>
      </c>
      <c r="G1050" s="52">
        <v>64395</v>
      </c>
      <c r="H1050" s="52">
        <v>32270</v>
      </c>
      <c r="I1050" s="52">
        <v>96665</v>
      </c>
      <c r="J1050" s="51">
        <v>2</v>
      </c>
      <c r="K1050" s="54">
        <v>30000</v>
      </c>
      <c r="L1050" s="51">
        <v>0</v>
      </c>
      <c r="M1050" s="54">
        <v>0</v>
      </c>
      <c r="N1050" s="53">
        <f t="shared" si="32"/>
        <v>30000</v>
      </c>
      <c r="O1050" s="53">
        <f t="shared" si="33"/>
        <v>-30000</v>
      </c>
    </row>
    <row r="1051" spans="1:15" x14ac:dyDescent="0.2">
      <c r="A1051" s="51" t="s">
        <v>3567</v>
      </c>
      <c r="B1051" s="51" t="s">
        <v>3568</v>
      </c>
      <c r="C1051" s="51" t="s">
        <v>92</v>
      </c>
      <c r="D1051" s="51" t="s">
        <v>2913</v>
      </c>
      <c r="E1051" s="51" t="s">
        <v>2912</v>
      </c>
      <c r="F1051" s="52">
        <v>13576.840955010181</v>
      </c>
      <c r="G1051" s="52">
        <v>33540</v>
      </c>
      <c r="H1051" s="52">
        <v>58980</v>
      </c>
      <c r="I1051" s="52">
        <v>92520</v>
      </c>
      <c r="J1051" s="51">
        <v>0</v>
      </c>
      <c r="K1051" s="54">
        <v>0</v>
      </c>
      <c r="L1051" s="51">
        <v>2</v>
      </c>
      <c r="M1051" s="54">
        <v>50000</v>
      </c>
      <c r="N1051" s="53">
        <f t="shared" si="32"/>
        <v>-50000</v>
      </c>
      <c r="O1051" s="53">
        <f t="shared" si="33"/>
        <v>50000</v>
      </c>
    </row>
    <row r="1052" spans="1:15" x14ac:dyDescent="0.2">
      <c r="A1052" s="51" t="s">
        <v>3567</v>
      </c>
      <c r="B1052" s="51" t="s">
        <v>3568</v>
      </c>
      <c r="C1052" s="51" t="s">
        <v>3610</v>
      </c>
      <c r="D1052" s="51" t="s">
        <v>4135</v>
      </c>
      <c r="E1052" s="51" t="s">
        <v>4136</v>
      </c>
      <c r="F1052" s="52">
        <v>1.487774562299949</v>
      </c>
      <c r="G1052" s="52">
        <v>0</v>
      </c>
      <c r="H1052" s="52">
        <v>0</v>
      </c>
      <c r="I1052" s="52">
        <v>0</v>
      </c>
      <c r="J1052" s="51">
        <v>0</v>
      </c>
      <c r="K1052" s="54">
        <v>0</v>
      </c>
      <c r="L1052" s="51">
        <v>0</v>
      </c>
      <c r="M1052" s="54">
        <v>0</v>
      </c>
      <c r="N1052" s="53">
        <f t="shared" si="32"/>
        <v>0</v>
      </c>
      <c r="O1052" s="53">
        <f t="shared" si="33"/>
        <v>0</v>
      </c>
    </row>
    <row r="1053" spans="1:15" x14ac:dyDescent="0.2">
      <c r="A1053" s="51" t="s">
        <v>3567</v>
      </c>
      <c r="B1053" s="51" t="s">
        <v>3568</v>
      </c>
      <c r="C1053" s="51" t="s">
        <v>3619</v>
      </c>
      <c r="D1053" s="51" t="s">
        <v>4105</v>
      </c>
      <c r="E1053" s="51" t="s">
        <v>4106</v>
      </c>
      <c r="F1053" s="52">
        <v>36.076039871990453</v>
      </c>
      <c r="G1053" s="52">
        <v>0</v>
      </c>
      <c r="H1053" s="52">
        <v>0</v>
      </c>
      <c r="I1053" s="52">
        <v>0</v>
      </c>
      <c r="J1053" s="51">
        <v>0</v>
      </c>
      <c r="K1053" s="54">
        <v>0</v>
      </c>
      <c r="L1053" s="51">
        <v>0</v>
      </c>
      <c r="M1053" s="54">
        <v>0</v>
      </c>
      <c r="N1053" s="53">
        <f t="shared" si="32"/>
        <v>0</v>
      </c>
      <c r="O1053" s="53">
        <f t="shared" si="33"/>
        <v>0</v>
      </c>
    </row>
    <row r="1054" spans="1:15" x14ac:dyDescent="0.2">
      <c r="A1054" s="51" t="s">
        <v>3567</v>
      </c>
      <c r="B1054" s="51" t="s">
        <v>3568</v>
      </c>
      <c r="C1054" s="51" t="s">
        <v>59</v>
      </c>
      <c r="D1054" s="51" t="s">
        <v>373</v>
      </c>
      <c r="E1054" s="51" t="s">
        <v>372</v>
      </c>
      <c r="F1054" s="52">
        <v>3835.3792759790158</v>
      </c>
      <c r="G1054" s="52">
        <v>5850</v>
      </c>
      <c r="H1054" s="52">
        <v>19875</v>
      </c>
      <c r="I1054" s="52">
        <v>25725</v>
      </c>
      <c r="J1054" s="51">
        <v>1</v>
      </c>
      <c r="K1054" s="54">
        <v>5000</v>
      </c>
      <c r="L1054" s="51">
        <v>1</v>
      </c>
      <c r="M1054" s="54">
        <v>15000</v>
      </c>
      <c r="N1054" s="53">
        <f t="shared" si="32"/>
        <v>-10000</v>
      </c>
      <c r="O1054" s="53">
        <f t="shared" si="33"/>
        <v>10000</v>
      </c>
    </row>
    <row r="1055" spans="1:15" x14ac:dyDescent="0.2">
      <c r="A1055" s="51" t="s">
        <v>3567</v>
      </c>
      <c r="B1055" s="51" t="s">
        <v>3568</v>
      </c>
      <c r="C1055" s="51" t="s">
        <v>53</v>
      </c>
      <c r="D1055" s="51" t="s">
        <v>2566</v>
      </c>
      <c r="E1055" s="51" t="s">
        <v>2565</v>
      </c>
      <c r="F1055" s="52">
        <v>422.53174711777518</v>
      </c>
      <c r="G1055" s="52">
        <v>35490</v>
      </c>
      <c r="H1055" s="52">
        <v>21370</v>
      </c>
      <c r="I1055" s="52">
        <v>56860</v>
      </c>
      <c r="J1055" s="51">
        <v>1</v>
      </c>
      <c r="K1055" s="54">
        <v>6000</v>
      </c>
      <c r="L1055" s="51">
        <v>1</v>
      </c>
      <c r="M1055" s="54">
        <v>11000</v>
      </c>
      <c r="N1055" s="53">
        <f t="shared" si="32"/>
        <v>-5000</v>
      </c>
      <c r="O1055" s="53">
        <f t="shared" si="33"/>
        <v>5000</v>
      </c>
    </row>
    <row r="1056" spans="1:15" x14ac:dyDescent="0.2">
      <c r="A1056" s="51" t="s">
        <v>3567</v>
      </c>
      <c r="B1056" s="51" t="s">
        <v>3568</v>
      </c>
      <c r="C1056" s="51" t="s">
        <v>3756</v>
      </c>
      <c r="D1056" s="51" t="s">
        <v>4115</v>
      </c>
      <c r="E1056" s="51" t="s">
        <v>4116</v>
      </c>
      <c r="F1056" s="52">
        <v>40.1829935823</v>
      </c>
      <c r="G1056" s="52">
        <v>0</v>
      </c>
      <c r="H1056" s="52">
        <v>0</v>
      </c>
      <c r="I1056" s="52">
        <v>0</v>
      </c>
      <c r="J1056" s="51">
        <v>0</v>
      </c>
      <c r="K1056" s="54">
        <v>0</v>
      </c>
      <c r="L1056" s="51">
        <v>0</v>
      </c>
      <c r="M1056" s="54">
        <v>0</v>
      </c>
      <c r="N1056" s="53">
        <f t="shared" si="32"/>
        <v>0</v>
      </c>
      <c r="O1056" s="53">
        <f t="shared" si="33"/>
        <v>0</v>
      </c>
    </row>
    <row r="1057" spans="1:15" x14ac:dyDescent="0.2">
      <c r="A1057" s="51" t="s">
        <v>3567</v>
      </c>
      <c r="B1057" s="51" t="s">
        <v>3568</v>
      </c>
      <c r="C1057" s="51" t="s">
        <v>58</v>
      </c>
      <c r="D1057" s="51" t="s">
        <v>4139</v>
      </c>
      <c r="E1057" s="51" t="s">
        <v>4140</v>
      </c>
      <c r="F1057" s="52">
        <v>0.40855719898789278</v>
      </c>
      <c r="G1057" s="52">
        <v>0</v>
      </c>
      <c r="H1057" s="52">
        <v>0</v>
      </c>
      <c r="I1057" s="52">
        <v>0</v>
      </c>
      <c r="J1057" s="51">
        <v>0</v>
      </c>
      <c r="K1057" s="54">
        <v>0</v>
      </c>
      <c r="L1057" s="51">
        <v>0</v>
      </c>
      <c r="M1057" s="54">
        <v>0</v>
      </c>
      <c r="N1057" s="53">
        <f t="shared" si="32"/>
        <v>0</v>
      </c>
      <c r="O1057" s="53">
        <f t="shared" si="33"/>
        <v>0</v>
      </c>
    </row>
    <row r="1058" spans="1:15" x14ac:dyDescent="0.2">
      <c r="A1058" s="51" t="s">
        <v>3567</v>
      </c>
      <c r="B1058" s="51" t="s">
        <v>3568</v>
      </c>
      <c r="C1058" s="51" t="s">
        <v>53</v>
      </c>
      <c r="D1058" s="51" t="s">
        <v>2560</v>
      </c>
      <c r="E1058" s="51" t="s">
        <v>2559</v>
      </c>
      <c r="F1058" s="52">
        <v>19002.638600006499</v>
      </c>
      <c r="G1058" s="52">
        <v>6700</v>
      </c>
      <c r="H1058" s="52">
        <v>13430</v>
      </c>
      <c r="I1058" s="52">
        <v>20130</v>
      </c>
      <c r="J1058" s="51">
        <v>0</v>
      </c>
      <c r="K1058" s="54">
        <v>0</v>
      </c>
      <c r="L1058" s="51">
        <v>1</v>
      </c>
      <c r="M1058" s="54">
        <v>5000</v>
      </c>
      <c r="N1058" s="53">
        <f t="shared" si="32"/>
        <v>-5000</v>
      </c>
      <c r="O1058" s="53">
        <f t="shared" si="33"/>
        <v>5000</v>
      </c>
    </row>
    <row r="1059" spans="1:15" x14ac:dyDescent="0.2">
      <c r="A1059" s="51" t="s">
        <v>3567</v>
      </c>
      <c r="B1059" s="51" t="s">
        <v>3568</v>
      </c>
      <c r="C1059" s="51" t="s">
        <v>78</v>
      </c>
      <c r="D1059" s="51" t="s">
        <v>3065</v>
      </c>
      <c r="E1059" s="51" t="s">
        <v>3064</v>
      </c>
      <c r="F1059" s="52">
        <v>4008.6279983985009</v>
      </c>
      <c r="G1059" s="52">
        <v>900</v>
      </c>
      <c r="H1059" s="52">
        <v>3400</v>
      </c>
      <c r="I1059" s="52">
        <v>4300</v>
      </c>
      <c r="J1059" s="51">
        <v>0</v>
      </c>
      <c r="K1059" s="54">
        <v>0</v>
      </c>
      <c r="L1059" s="51">
        <v>1</v>
      </c>
      <c r="M1059" s="54">
        <v>10000</v>
      </c>
      <c r="N1059" s="53">
        <f t="shared" si="32"/>
        <v>-10000</v>
      </c>
      <c r="O1059" s="53">
        <f t="shared" si="33"/>
        <v>10000</v>
      </c>
    </row>
    <row r="1060" spans="1:15" x14ac:dyDescent="0.2">
      <c r="A1060" s="51" t="s">
        <v>3567</v>
      </c>
      <c r="B1060" s="51" t="s">
        <v>3568</v>
      </c>
      <c r="C1060" s="51" t="s">
        <v>54</v>
      </c>
      <c r="D1060" s="51" t="s">
        <v>198</v>
      </c>
      <c r="E1060" s="51" t="s">
        <v>197</v>
      </c>
      <c r="F1060" s="52">
        <v>13.399800000000001</v>
      </c>
      <c r="G1060" s="52">
        <v>2730</v>
      </c>
      <c r="H1060" s="52">
        <v>0</v>
      </c>
      <c r="I1060" s="52">
        <v>2730</v>
      </c>
      <c r="J1060" s="51">
        <v>0</v>
      </c>
      <c r="K1060" s="54">
        <v>0</v>
      </c>
      <c r="L1060" s="51">
        <v>0</v>
      </c>
      <c r="M1060" s="54">
        <v>0</v>
      </c>
      <c r="N1060" s="53">
        <f t="shared" si="32"/>
        <v>0</v>
      </c>
      <c r="O1060" s="53">
        <f t="shared" si="33"/>
        <v>0</v>
      </c>
    </row>
    <row r="1061" spans="1:15" x14ac:dyDescent="0.2">
      <c r="A1061" s="51" t="s">
        <v>3567</v>
      </c>
      <c r="B1061" s="51" t="s">
        <v>3568</v>
      </c>
      <c r="C1061" s="51" t="s">
        <v>57</v>
      </c>
      <c r="D1061" s="51" t="s">
        <v>2165</v>
      </c>
      <c r="E1061" s="51" t="s">
        <v>2164</v>
      </c>
      <c r="F1061" s="52">
        <v>205.44687871759891</v>
      </c>
      <c r="G1061" s="52">
        <v>0</v>
      </c>
      <c r="H1061" s="52">
        <v>5100</v>
      </c>
      <c r="I1061" s="52">
        <v>5100</v>
      </c>
      <c r="J1061" s="51">
        <v>0</v>
      </c>
      <c r="K1061" s="54">
        <v>0</v>
      </c>
      <c r="L1061" s="51">
        <v>1</v>
      </c>
      <c r="M1061" s="54">
        <v>8000</v>
      </c>
      <c r="N1061" s="53">
        <f t="shared" si="32"/>
        <v>-8000</v>
      </c>
      <c r="O1061" s="53">
        <f t="shared" si="33"/>
        <v>8000</v>
      </c>
    </row>
    <row r="1062" spans="1:15" x14ac:dyDescent="0.2">
      <c r="A1062" s="51" t="s">
        <v>3567</v>
      </c>
      <c r="B1062" s="51" t="s">
        <v>3568</v>
      </c>
      <c r="C1062" s="51" t="s">
        <v>85</v>
      </c>
      <c r="D1062" s="51" t="s">
        <v>1683</v>
      </c>
      <c r="E1062" s="51" t="s">
        <v>1682</v>
      </c>
      <c r="F1062" s="52">
        <v>9953.3423000000003</v>
      </c>
      <c r="G1062" s="52">
        <v>0</v>
      </c>
      <c r="H1062" s="52">
        <v>24070</v>
      </c>
      <c r="I1062" s="52">
        <v>24070</v>
      </c>
      <c r="J1062" s="51">
        <v>0</v>
      </c>
      <c r="K1062" s="54">
        <v>0</v>
      </c>
      <c r="L1062" s="51">
        <v>1</v>
      </c>
      <c r="M1062" s="54">
        <v>20000</v>
      </c>
      <c r="N1062" s="53">
        <f t="shared" si="32"/>
        <v>-20000</v>
      </c>
      <c r="O1062" s="53">
        <f t="shared" si="33"/>
        <v>20000</v>
      </c>
    </row>
    <row r="1063" spans="1:15" x14ac:dyDescent="0.2">
      <c r="A1063" s="51" t="s">
        <v>3567</v>
      </c>
      <c r="B1063" s="51" t="s">
        <v>3568</v>
      </c>
      <c r="C1063" s="51" t="s">
        <v>76</v>
      </c>
      <c r="D1063" s="51" t="s">
        <v>520</v>
      </c>
      <c r="E1063" s="51" t="s">
        <v>519</v>
      </c>
      <c r="F1063" s="52">
        <v>1487.8691616824569</v>
      </c>
      <c r="G1063" s="52">
        <v>2030</v>
      </c>
      <c r="H1063" s="52">
        <v>0</v>
      </c>
      <c r="I1063" s="52">
        <v>2030</v>
      </c>
      <c r="J1063" s="51">
        <v>0</v>
      </c>
      <c r="K1063" s="54">
        <v>0</v>
      </c>
      <c r="L1063" s="51">
        <v>0</v>
      </c>
      <c r="M1063" s="54">
        <v>0</v>
      </c>
      <c r="N1063" s="53">
        <f t="shared" si="32"/>
        <v>0</v>
      </c>
      <c r="O1063" s="53">
        <f t="shared" si="33"/>
        <v>0</v>
      </c>
    </row>
    <row r="1064" spans="1:15" x14ac:dyDescent="0.2">
      <c r="A1064" s="51" t="s">
        <v>3567</v>
      </c>
      <c r="B1064" s="51" t="s">
        <v>3568</v>
      </c>
      <c r="C1064" s="51" t="s">
        <v>59</v>
      </c>
      <c r="D1064" s="51" t="s">
        <v>4141</v>
      </c>
      <c r="E1064" s="51" t="s">
        <v>4142</v>
      </c>
      <c r="F1064" s="52">
        <v>3.1558999999999999</v>
      </c>
      <c r="G1064" s="52">
        <v>0</v>
      </c>
      <c r="H1064" s="52">
        <v>0</v>
      </c>
      <c r="I1064" s="52">
        <v>0</v>
      </c>
      <c r="J1064" s="51">
        <v>0</v>
      </c>
      <c r="K1064" s="54">
        <v>0</v>
      </c>
      <c r="L1064" s="51">
        <v>0</v>
      </c>
      <c r="M1064" s="54">
        <v>0</v>
      </c>
      <c r="N1064" s="53">
        <f t="shared" si="32"/>
        <v>0</v>
      </c>
      <c r="O1064" s="53">
        <f t="shared" si="33"/>
        <v>0</v>
      </c>
    </row>
    <row r="1065" spans="1:15" x14ac:dyDescent="0.2">
      <c r="A1065" s="51" t="s">
        <v>3567</v>
      </c>
      <c r="B1065" s="51" t="s">
        <v>3568</v>
      </c>
      <c r="C1065" s="51" t="s">
        <v>55</v>
      </c>
      <c r="D1065" s="51" t="s">
        <v>1002</v>
      </c>
      <c r="E1065" s="51" t="s">
        <v>1001</v>
      </c>
      <c r="F1065" s="52">
        <v>3850.45908218155</v>
      </c>
      <c r="G1065" s="52">
        <v>15525</v>
      </c>
      <c r="H1065" s="52">
        <v>59990</v>
      </c>
      <c r="I1065" s="52">
        <v>75515</v>
      </c>
      <c r="J1065" s="51">
        <v>0</v>
      </c>
      <c r="K1065" s="54">
        <v>0</v>
      </c>
      <c r="L1065" s="51">
        <v>2</v>
      </c>
      <c r="M1065" s="54">
        <v>55000</v>
      </c>
      <c r="N1065" s="53">
        <f t="shared" si="32"/>
        <v>-55000</v>
      </c>
      <c r="O1065" s="53">
        <f t="shared" si="33"/>
        <v>55000</v>
      </c>
    </row>
    <row r="1066" spans="1:15" x14ac:dyDescent="0.2">
      <c r="A1066" s="51" t="s">
        <v>3567</v>
      </c>
      <c r="B1066" s="51" t="s">
        <v>3568</v>
      </c>
      <c r="C1066" s="51" t="s">
        <v>70</v>
      </c>
      <c r="D1066" s="51" t="s">
        <v>3019</v>
      </c>
      <c r="E1066" s="51" t="s">
        <v>3018</v>
      </c>
      <c r="F1066" s="52">
        <v>2.7606217387999998</v>
      </c>
      <c r="G1066" s="52">
        <v>266</v>
      </c>
      <c r="H1066" s="52">
        <v>6924</v>
      </c>
      <c r="I1066" s="52">
        <v>7190</v>
      </c>
      <c r="J1066" s="51">
        <v>0</v>
      </c>
      <c r="K1066" s="54">
        <v>0</v>
      </c>
      <c r="L1066" s="51">
        <v>1</v>
      </c>
      <c r="M1066" s="54">
        <v>5000</v>
      </c>
      <c r="N1066" s="53">
        <f t="shared" si="32"/>
        <v>-5000</v>
      </c>
      <c r="O1066" s="53">
        <f t="shared" si="33"/>
        <v>5000</v>
      </c>
    </row>
    <row r="1067" spans="1:15" x14ac:dyDescent="0.2">
      <c r="A1067" s="51" t="s">
        <v>3567</v>
      </c>
      <c r="B1067" s="51" t="s">
        <v>3568</v>
      </c>
      <c r="C1067" s="51" t="s">
        <v>3650</v>
      </c>
      <c r="D1067" s="51" t="s">
        <v>4094</v>
      </c>
      <c r="E1067" s="51" t="s">
        <v>4095</v>
      </c>
      <c r="F1067" s="52">
        <v>2.8364101792034702</v>
      </c>
      <c r="G1067" s="52">
        <v>0</v>
      </c>
      <c r="H1067" s="52">
        <v>0</v>
      </c>
      <c r="I1067" s="52">
        <v>0</v>
      </c>
      <c r="J1067" s="51">
        <v>0</v>
      </c>
      <c r="K1067" s="54">
        <v>0</v>
      </c>
      <c r="L1067" s="51">
        <v>0</v>
      </c>
      <c r="M1067" s="54">
        <v>0</v>
      </c>
      <c r="N1067" s="53">
        <f t="shared" si="32"/>
        <v>0</v>
      </c>
      <c r="O1067" s="53">
        <f t="shared" si="33"/>
        <v>0</v>
      </c>
    </row>
    <row r="1068" spans="1:15" x14ac:dyDescent="0.2">
      <c r="A1068" s="51" t="s">
        <v>3567</v>
      </c>
      <c r="B1068" s="51" t="s">
        <v>3568</v>
      </c>
      <c r="C1068" s="51" t="s">
        <v>71</v>
      </c>
      <c r="D1068" s="51" t="s">
        <v>2468</v>
      </c>
      <c r="E1068" s="51" t="s">
        <v>2467</v>
      </c>
      <c r="F1068" s="52">
        <v>3839.7208875044998</v>
      </c>
      <c r="G1068" s="52">
        <v>2025</v>
      </c>
      <c r="H1068" s="52">
        <v>1100</v>
      </c>
      <c r="I1068" s="52">
        <v>3125</v>
      </c>
      <c r="J1068" s="51">
        <v>1</v>
      </c>
      <c r="K1068" s="54">
        <v>4000</v>
      </c>
      <c r="L1068" s="51">
        <v>0</v>
      </c>
      <c r="M1068" s="54">
        <v>0</v>
      </c>
      <c r="N1068" s="53">
        <f t="shared" si="32"/>
        <v>4000</v>
      </c>
      <c r="O1068" s="53">
        <f t="shared" si="33"/>
        <v>-4000</v>
      </c>
    </row>
    <row r="1069" spans="1:15" x14ac:dyDescent="0.2">
      <c r="A1069" s="51" t="s">
        <v>3567</v>
      </c>
      <c r="B1069" s="51" t="s">
        <v>3568</v>
      </c>
      <c r="C1069" s="51" t="s">
        <v>82</v>
      </c>
      <c r="D1069" s="51" t="s">
        <v>479</v>
      </c>
      <c r="E1069" s="51" t="s">
        <v>478</v>
      </c>
      <c r="F1069" s="52">
        <v>843.19518600000004</v>
      </c>
      <c r="G1069" s="52">
        <v>0</v>
      </c>
      <c r="H1069" s="52">
        <v>5024</v>
      </c>
      <c r="I1069" s="52">
        <v>5024</v>
      </c>
      <c r="J1069" s="51">
        <v>0</v>
      </c>
      <c r="K1069" s="54">
        <v>0</v>
      </c>
      <c r="L1069" s="51">
        <v>1</v>
      </c>
      <c r="M1069" s="54">
        <v>5000</v>
      </c>
      <c r="N1069" s="53">
        <f t="shared" si="32"/>
        <v>-5000</v>
      </c>
      <c r="O1069" s="53">
        <f t="shared" si="33"/>
        <v>5000</v>
      </c>
    </row>
    <row r="1070" spans="1:15" x14ac:dyDescent="0.2">
      <c r="A1070" s="51" t="s">
        <v>3567</v>
      </c>
      <c r="B1070" s="51" t="s">
        <v>3568</v>
      </c>
      <c r="C1070" s="51" t="s">
        <v>63</v>
      </c>
      <c r="D1070" s="51" t="s">
        <v>2393</v>
      </c>
      <c r="E1070" s="51" t="s">
        <v>2392</v>
      </c>
      <c r="F1070" s="52">
        <v>10625.041406661179</v>
      </c>
      <c r="G1070" s="52">
        <v>19510</v>
      </c>
      <c r="H1070" s="52">
        <v>0</v>
      </c>
      <c r="I1070" s="52">
        <v>19510</v>
      </c>
      <c r="J1070" s="51">
        <v>2</v>
      </c>
      <c r="K1070" s="54">
        <v>34000</v>
      </c>
      <c r="L1070" s="51">
        <v>1</v>
      </c>
      <c r="M1070" s="54">
        <v>4000</v>
      </c>
      <c r="N1070" s="53">
        <f t="shared" si="32"/>
        <v>30000</v>
      </c>
      <c r="O1070" s="53">
        <f t="shared" si="33"/>
        <v>-30000</v>
      </c>
    </row>
    <row r="1071" spans="1:15" x14ac:dyDescent="0.2">
      <c r="A1071" s="51" t="s">
        <v>3567</v>
      </c>
      <c r="B1071" s="51" t="s">
        <v>3568</v>
      </c>
      <c r="C1071" s="51" t="s">
        <v>3577</v>
      </c>
      <c r="D1071" s="51" t="s">
        <v>4088</v>
      </c>
      <c r="E1071" s="51" t="s">
        <v>145</v>
      </c>
      <c r="F1071" s="52">
        <v>108.94270755548089</v>
      </c>
      <c r="G1071" s="52">
        <v>0</v>
      </c>
      <c r="H1071" s="52">
        <v>0</v>
      </c>
      <c r="I1071" s="52">
        <v>0</v>
      </c>
      <c r="J1071" s="51">
        <v>0</v>
      </c>
      <c r="K1071" s="54">
        <v>0</v>
      </c>
      <c r="L1071" s="51">
        <v>0</v>
      </c>
      <c r="M1071" s="54">
        <v>0</v>
      </c>
      <c r="N1071" s="53">
        <f t="shared" si="32"/>
        <v>0</v>
      </c>
      <c r="O1071" s="53">
        <f t="shared" si="33"/>
        <v>0</v>
      </c>
    </row>
    <row r="1072" spans="1:15" x14ac:dyDescent="0.2">
      <c r="A1072" s="51" t="s">
        <v>3567</v>
      </c>
      <c r="B1072" s="51" t="s">
        <v>3568</v>
      </c>
      <c r="C1072" s="51" t="s">
        <v>53</v>
      </c>
      <c r="D1072" s="51" t="s">
        <v>4186</v>
      </c>
      <c r="E1072" s="51" t="s">
        <v>4187</v>
      </c>
      <c r="F1072" s="52">
        <v>35.596638426865823</v>
      </c>
      <c r="G1072" s="52">
        <v>0</v>
      </c>
      <c r="H1072" s="52">
        <v>0</v>
      </c>
      <c r="I1072" s="52">
        <v>0</v>
      </c>
      <c r="J1072" s="51">
        <v>0</v>
      </c>
      <c r="K1072" s="54">
        <v>0</v>
      </c>
      <c r="L1072" s="51">
        <v>0</v>
      </c>
      <c r="M1072" s="54">
        <v>0</v>
      </c>
      <c r="N1072" s="53">
        <f t="shared" si="32"/>
        <v>0</v>
      </c>
      <c r="O1072" s="53">
        <f t="shared" si="33"/>
        <v>0</v>
      </c>
    </row>
    <row r="1073" spans="1:15" x14ac:dyDescent="0.2">
      <c r="A1073" s="51" t="s">
        <v>3567</v>
      </c>
      <c r="B1073" s="51" t="s">
        <v>3568</v>
      </c>
      <c r="C1073" s="51" t="s">
        <v>3786</v>
      </c>
      <c r="D1073" s="51" t="s">
        <v>4184</v>
      </c>
      <c r="E1073" s="51" t="s">
        <v>4185</v>
      </c>
      <c r="F1073" s="52">
        <v>2.4310646407673868</v>
      </c>
      <c r="G1073" s="52">
        <v>0</v>
      </c>
      <c r="H1073" s="52">
        <v>0</v>
      </c>
      <c r="I1073" s="52">
        <v>0</v>
      </c>
      <c r="J1073" s="51">
        <v>0</v>
      </c>
      <c r="K1073" s="54">
        <v>0</v>
      </c>
      <c r="L1073" s="51">
        <v>0</v>
      </c>
      <c r="M1073" s="54">
        <v>0</v>
      </c>
      <c r="N1073" s="53">
        <f t="shared" si="32"/>
        <v>0</v>
      </c>
      <c r="O1073" s="53">
        <f t="shared" si="33"/>
        <v>0</v>
      </c>
    </row>
    <row r="1074" spans="1:15" x14ac:dyDescent="0.2">
      <c r="A1074" s="51" t="s">
        <v>3567</v>
      </c>
      <c r="B1074" s="51" t="s">
        <v>3568</v>
      </c>
      <c r="C1074" s="51" t="s">
        <v>3571</v>
      </c>
      <c r="D1074" s="51" t="s">
        <v>4158</v>
      </c>
      <c r="E1074" s="51" t="s">
        <v>4159</v>
      </c>
      <c r="F1074" s="52">
        <v>206.48057649505901</v>
      </c>
      <c r="G1074" s="52">
        <v>0</v>
      </c>
      <c r="H1074" s="52">
        <v>0</v>
      </c>
      <c r="I1074" s="52">
        <v>0</v>
      </c>
      <c r="J1074" s="51">
        <v>0</v>
      </c>
      <c r="K1074" s="54">
        <v>0</v>
      </c>
      <c r="L1074" s="51">
        <v>0</v>
      </c>
      <c r="M1074" s="54">
        <v>0</v>
      </c>
      <c r="N1074" s="53">
        <f t="shared" si="32"/>
        <v>0</v>
      </c>
      <c r="O1074" s="53">
        <f t="shared" si="33"/>
        <v>0</v>
      </c>
    </row>
    <row r="1075" spans="1:15" x14ac:dyDescent="0.2">
      <c r="A1075" s="51" t="s">
        <v>3567</v>
      </c>
      <c r="B1075" s="51" t="s">
        <v>3568</v>
      </c>
      <c r="C1075" s="51" t="s">
        <v>53</v>
      </c>
      <c r="D1075" s="51" t="s">
        <v>2601</v>
      </c>
      <c r="E1075" s="51" t="s">
        <v>2600</v>
      </c>
      <c r="F1075" s="52">
        <v>33272.650656999998</v>
      </c>
      <c r="G1075" s="52">
        <v>74565</v>
      </c>
      <c r="H1075" s="52">
        <v>12000</v>
      </c>
      <c r="I1075" s="52">
        <v>86565</v>
      </c>
      <c r="J1075" s="51">
        <v>6</v>
      </c>
      <c r="K1075" s="54">
        <v>96000</v>
      </c>
      <c r="L1075" s="51">
        <v>0</v>
      </c>
      <c r="M1075" s="54">
        <v>0</v>
      </c>
      <c r="N1075" s="53">
        <f t="shared" si="32"/>
        <v>96000</v>
      </c>
      <c r="O1075" s="53">
        <f t="shared" si="33"/>
        <v>-96000</v>
      </c>
    </row>
    <row r="1076" spans="1:15" x14ac:dyDescent="0.2">
      <c r="A1076" s="51" t="s">
        <v>3567</v>
      </c>
      <c r="B1076" s="51" t="s">
        <v>3568</v>
      </c>
      <c r="C1076" s="51" t="s">
        <v>63</v>
      </c>
      <c r="D1076" s="51" t="s">
        <v>4117</v>
      </c>
      <c r="E1076" s="51" t="s">
        <v>4118</v>
      </c>
      <c r="F1076" s="52">
        <v>86.891350000000003</v>
      </c>
      <c r="G1076" s="52">
        <v>0</v>
      </c>
      <c r="H1076" s="52">
        <v>0</v>
      </c>
      <c r="I1076" s="52">
        <v>0</v>
      </c>
      <c r="J1076" s="51">
        <v>0</v>
      </c>
      <c r="K1076" s="54">
        <v>0</v>
      </c>
      <c r="L1076" s="51">
        <v>0</v>
      </c>
      <c r="M1076" s="54">
        <v>0</v>
      </c>
      <c r="N1076" s="53">
        <f t="shared" si="32"/>
        <v>0</v>
      </c>
      <c r="O1076" s="53">
        <f t="shared" si="33"/>
        <v>0</v>
      </c>
    </row>
    <row r="1077" spans="1:15" x14ac:dyDescent="0.2">
      <c r="A1077" s="51" t="s">
        <v>3567</v>
      </c>
      <c r="B1077" s="51" t="s">
        <v>3568</v>
      </c>
      <c r="C1077" s="51" t="s">
        <v>3619</v>
      </c>
      <c r="D1077" s="51" t="s">
        <v>4147</v>
      </c>
      <c r="E1077" s="51" t="s">
        <v>4148</v>
      </c>
      <c r="F1077" s="52">
        <v>1.544022864141364</v>
      </c>
      <c r="G1077" s="52">
        <v>0</v>
      </c>
      <c r="H1077" s="52">
        <v>0</v>
      </c>
      <c r="I1077" s="52">
        <v>0</v>
      </c>
      <c r="J1077" s="51">
        <v>0</v>
      </c>
      <c r="K1077" s="54">
        <v>0</v>
      </c>
      <c r="L1077" s="51">
        <v>0</v>
      </c>
      <c r="M1077" s="54">
        <v>0</v>
      </c>
      <c r="N1077" s="53">
        <f t="shared" si="32"/>
        <v>0</v>
      </c>
      <c r="O1077" s="53">
        <f t="shared" si="33"/>
        <v>0</v>
      </c>
    </row>
    <row r="1078" spans="1:15" x14ac:dyDescent="0.2">
      <c r="A1078" s="51" t="s">
        <v>3567</v>
      </c>
      <c r="B1078" s="51" t="s">
        <v>3568</v>
      </c>
      <c r="C1078" s="51" t="s">
        <v>57</v>
      </c>
      <c r="D1078" s="51" t="s">
        <v>4181</v>
      </c>
      <c r="E1078" s="51" t="s">
        <v>959</v>
      </c>
      <c r="F1078" s="52">
        <v>96.059958820316993</v>
      </c>
      <c r="G1078" s="52">
        <v>0</v>
      </c>
      <c r="H1078" s="52">
        <v>0</v>
      </c>
      <c r="I1078" s="52">
        <v>0</v>
      </c>
      <c r="J1078" s="51">
        <v>0</v>
      </c>
      <c r="K1078" s="54">
        <v>0</v>
      </c>
      <c r="L1078" s="51">
        <v>0</v>
      </c>
      <c r="M1078" s="54">
        <v>0</v>
      </c>
      <c r="N1078" s="53">
        <f t="shared" si="32"/>
        <v>0</v>
      </c>
      <c r="O1078" s="53">
        <f t="shared" si="33"/>
        <v>0</v>
      </c>
    </row>
    <row r="1079" spans="1:15" x14ac:dyDescent="0.2">
      <c r="A1079" s="51" t="s">
        <v>3567</v>
      </c>
      <c r="B1079" s="51" t="s">
        <v>3568</v>
      </c>
      <c r="C1079" s="51" t="s">
        <v>73</v>
      </c>
      <c r="D1079" s="51" t="s">
        <v>871</v>
      </c>
      <c r="E1079" s="51" t="s">
        <v>870</v>
      </c>
      <c r="F1079" s="52">
        <v>5946.3292685315964</v>
      </c>
      <c r="G1079" s="52">
        <v>6980</v>
      </c>
      <c r="H1079" s="52">
        <v>13630</v>
      </c>
      <c r="I1079" s="52">
        <v>20610</v>
      </c>
      <c r="J1079" s="51">
        <v>1</v>
      </c>
      <c r="K1079" s="54">
        <v>5000</v>
      </c>
      <c r="L1079" s="51">
        <v>1</v>
      </c>
      <c r="M1079" s="54">
        <v>10000</v>
      </c>
      <c r="N1079" s="53">
        <f t="shared" si="32"/>
        <v>-5000</v>
      </c>
      <c r="O1079" s="53">
        <f t="shared" si="33"/>
        <v>5000</v>
      </c>
    </row>
    <row r="1080" spans="1:15" x14ac:dyDescent="0.2">
      <c r="A1080" s="51" t="s">
        <v>3567</v>
      </c>
      <c r="B1080" s="51" t="s">
        <v>3568</v>
      </c>
      <c r="C1080" s="51" t="s">
        <v>61</v>
      </c>
      <c r="D1080" s="51" t="s">
        <v>621</v>
      </c>
      <c r="E1080" s="51" t="s">
        <v>620</v>
      </c>
      <c r="F1080" s="52">
        <v>8288.8559079081442</v>
      </c>
      <c r="G1080" s="52">
        <v>26210</v>
      </c>
      <c r="H1080" s="52">
        <v>13850</v>
      </c>
      <c r="I1080" s="52">
        <v>40060</v>
      </c>
      <c r="J1080" s="51">
        <v>1</v>
      </c>
      <c r="K1080" s="54">
        <v>10000</v>
      </c>
      <c r="L1080" s="51">
        <v>0</v>
      </c>
      <c r="M1080" s="54">
        <v>0</v>
      </c>
      <c r="N1080" s="53">
        <f t="shared" si="32"/>
        <v>10000</v>
      </c>
      <c r="O1080" s="53">
        <f t="shared" si="33"/>
        <v>-10000</v>
      </c>
    </row>
    <row r="1081" spans="1:15" x14ac:dyDescent="0.2">
      <c r="A1081" s="51" t="s">
        <v>3567</v>
      </c>
      <c r="B1081" s="51" t="s">
        <v>3568</v>
      </c>
      <c r="C1081" s="51" t="s">
        <v>68</v>
      </c>
      <c r="D1081" s="51" t="s">
        <v>2036</v>
      </c>
      <c r="E1081" s="51" t="s">
        <v>2035</v>
      </c>
      <c r="F1081" s="52">
        <v>3360.908001194282</v>
      </c>
      <c r="G1081" s="52">
        <v>12477</v>
      </c>
      <c r="H1081" s="52">
        <v>5920</v>
      </c>
      <c r="I1081" s="52">
        <v>18397</v>
      </c>
      <c r="J1081" s="51">
        <v>0</v>
      </c>
      <c r="K1081" s="54">
        <v>0</v>
      </c>
      <c r="L1081" s="51">
        <v>1</v>
      </c>
      <c r="M1081" s="54">
        <v>10000</v>
      </c>
      <c r="N1081" s="53">
        <f t="shared" si="32"/>
        <v>-10000</v>
      </c>
      <c r="O1081" s="53">
        <f t="shared" si="33"/>
        <v>10000</v>
      </c>
    </row>
    <row r="1082" spans="1:15" x14ac:dyDescent="0.2">
      <c r="A1082" s="51" t="s">
        <v>3567</v>
      </c>
      <c r="B1082" s="51" t="s">
        <v>3568</v>
      </c>
      <c r="C1082" s="51" t="s">
        <v>67</v>
      </c>
      <c r="D1082" s="51" t="s">
        <v>4084</v>
      </c>
      <c r="E1082" s="51" t="s">
        <v>4085</v>
      </c>
      <c r="F1082" s="52">
        <v>0.53965836617713081</v>
      </c>
      <c r="G1082" s="52">
        <v>0</v>
      </c>
      <c r="H1082" s="52">
        <v>0</v>
      </c>
      <c r="I1082" s="52">
        <v>0</v>
      </c>
      <c r="J1082" s="51">
        <v>0</v>
      </c>
      <c r="K1082" s="54">
        <v>0</v>
      </c>
      <c r="L1082" s="51">
        <v>0</v>
      </c>
      <c r="M1082" s="54">
        <v>0</v>
      </c>
      <c r="N1082" s="53">
        <f t="shared" si="32"/>
        <v>0</v>
      </c>
      <c r="O1082" s="53">
        <f t="shared" si="33"/>
        <v>0</v>
      </c>
    </row>
    <row r="1083" spans="1:15" x14ac:dyDescent="0.2">
      <c r="A1083" s="51" t="s">
        <v>3567</v>
      </c>
      <c r="B1083" s="51" t="s">
        <v>3568</v>
      </c>
      <c r="C1083" s="51" t="s">
        <v>3636</v>
      </c>
      <c r="D1083" s="51" t="s">
        <v>4119</v>
      </c>
      <c r="E1083" s="51" t="s">
        <v>4120</v>
      </c>
      <c r="F1083" s="52">
        <v>13.60411325866454</v>
      </c>
      <c r="G1083" s="52">
        <v>0</v>
      </c>
      <c r="H1083" s="52">
        <v>0</v>
      </c>
      <c r="I1083" s="52">
        <v>0</v>
      </c>
      <c r="J1083" s="51">
        <v>0</v>
      </c>
      <c r="K1083" s="54">
        <v>0</v>
      </c>
      <c r="L1083" s="51">
        <v>0</v>
      </c>
      <c r="M1083" s="54">
        <v>0</v>
      </c>
      <c r="N1083" s="53">
        <f t="shared" si="32"/>
        <v>0</v>
      </c>
      <c r="O1083" s="53">
        <f t="shared" si="33"/>
        <v>0</v>
      </c>
    </row>
    <row r="1084" spans="1:15" x14ac:dyDescent="0.2">
      <c r="A1084" s="51" t="s">
        <v>3567</v>
      </c>
      <c r="B1084" s="51" t="s">
        <v>3568</v>
      </c>
      <c r="C1084" s="51" t="s">
        <v>3698</v>
      </c>
      <c r="D1084" s="51" t="s">
        <v>4164</v>
      </c>
      <c r="E1084" s="51" t="s">
        <v>4165</v>
      </c>
      <c r="F1084" s="52">
        <v>0.76854999999999996</v>
      </c>
      <c r="G1084" s="52">
        <v>0</v>
      </c>
      <c r="H1084" s="52">
        <v>0</v>
      </c>
      <c r="I1084" s="52">
        <v>0</v>
      </c>
      <c r="J1084" s="51">
        <v>0</v>
      </c>
      <c r="K1084" s="54">
        <v>0</v>
      </c>
      <c r="L1084" s="51">
        <v>0</v>
      </c>
      <c r="M1084" s="54">
        <v>0</v>
      </c>
      <c r="N1084" s="53">
        <f t="shared" si="32"/>
        <v>0</v>
      </c>
      <c r="O1084" s="53">
        <f t="shared" si="33"/>
        <v>0</v>
      </c>
    </row>
    <row r="1085" spans="1:15" x14ac:dyDescent="0.2">
      <c r="A1085" s="51" t="s">
        <v>3567</v>
      </c>
      <c r="B1085" s="51" t="s">
        <v>3568</v>
      </c>
      <c r="C1085" s="51" t="s">
        <v>93</v>
      </c>
      <c r="D1085" s="51" t="s">
        <v>2181</v>
      </c>
      <c r="E1085" s="51" t="s">
        <v>2180</v>
      </c>
      <c r="F1085" s="52">
        <v>7138.2230341199356</v>
      </c>
      <c r="G1085" s="52">
        <v>953</v>
      </c>
      <c r="H1085" s="52">
        <v>11990</v>
      </c>
      <c r="I1085" s="52">
        <v>12943</v>
      </c>
      <c r="J1085" s="51">
        <v>1</v>
      </c>
      <c r="K1085" s="54">
        <v>10000</v>
      </c>
      <c r="L1085" s="51">
        <v>1</v>
      </c>
      <c r="M1085" s="54">
        <v>15000</v>
      </c>
      <c r="N1085" s="53">
        <f t="shared" si="32"/>
        <v>-5000</v>
      </c>
      <c r="O1085" s="53">
        <f t="shared" si="33"/>
        <v>5000</v>
      </c>
    </row>
    <row r="1086" spans="1:15" x14ac:dyDescent="0.2">
      <c r="A1086" s="51" t="s">
        <v>3567</v>
      </c>
      <c r="B1086" s="51" t="s">
        <v>3568</v>
      </c>
      <c r="C1086" s="51" t="s">
        <v>55</v>
      </c>
      <c r="D1086" s="51" t="s">
        <v>2280</v>
      </c>
      <c r="E1086" s="51" t="s">
        <v>312</v>
      </c>
      <c r="F1086" s="52">
        <v>3189.6994</v>
      </c>
      <c r="G1086" s="52">
        <v>0</v>
      </c>
      <c r="H1086" s="52">
        <v>0</v>
      </c>
      <c r="I1086" s="52">
        <v>0</v>
      </c>
      <c r="J1086" s="51">
        <v>0</v>
      </c>
      <c r="K1086" s="54">
        <v>0</v>
      </c>
      <c r="L1086" s="51">
        <v>1</v>
      </c>
      <c r="M1086" s="54">
        <v>5000</v>
      </c>
      <c r="N1086" s="53">
        <f t="shared" si="32"/>
        <v>-5000</v>
      </c>
      <c r="O1086" s="53">
        <f t="shared" si="33"/>
        <v>5000</v>
      </c>
    </row>
    <row r="1087" spans="1:15" x14ac:dyDescent="0.2">
      <c r="A1087" s="51" t="s">
        <v>3567</v>
      </c>
      <c r="B1087" s="51" t="s">
        <v>3568</v>
      </c>
      <c r="C1087" s="51" t="s">
        <v>60</v>
      </c>
      <c r="D1087" s="51" t="s">
        <v>273</v>
      </c>
      <c r="E1087" s="51" t="s">
        <v>272</v>
      </c>
      <c r="F1087" s="52">
        <v>25062.119524595309</v>
      </c>
      <c r="G1087" s="52">
        <v>16080</v>
      </c>
      <c r="H1087" s="52">
        <v>5600</v>
      </c>
      <c r="I1087" s="52">
        <v>21680</v>
      </c>
      <c r="J1087" s="51">
        <v>0</v>
      </c>
      <c r="K1087" s="54">
        <v>0</v>
      </c>
      <c r="L1087" s="51">
        <v>1</v>
      </c>
      <c r="M1087" s="54">
        <v>25000</v>
      </c>
      <c r="N1087" s="53">
        <f t="shared" si="32"/>
        <v>-25000</v>
      </c>
      <c r="O1087" s="53">
        <f t="shared" si="33"/>
        <v>25000</v>
      </c>
    </row>
    <row r="1088" spans="1:15" x14ac:dyDescent="0.2">
      <c r="A1088" s="51" t="s">
        <v>3567</v>
      </c>
      <c r="B1088" s="51" t="s">
        <v>3568</v>
      </c>
      <c r="C1088" s="51" t="s">
        <v>68</v>
      </c>
      <c r="D1088" s="51" t="s">
        <v>1190</v>
      </c>
      <c r="E1088" s="51" t="s">
        <v>1189</v>
      </c>
      <c r="F1088" s="52">
        <v>4572.7214192239398</v>
      </c>
      <c r="G1088" s="52">
        <v>14960</v>
      </c>
      <c r="H1088" s="52">
        <v>16440</v>
      </c>
      <c r="I1088" s="52">
        <v>31400</v>
      </c>
      <c r="J1088" s="51">
        <v>2</v>
      </c>
      <c r="K1088" s="54">
        <v>15000</v>
      </c>
      <c r="L1088" s="51">
        <v>1</v>
      </c>
      <c r="M1088" s="54">
        <v>20000</v>
      </c>
      <c r="N1088" s="53">
        <f t="shared" si="32"/>
        <v>-5000</v>
      </c>
      <c r="O1088" s="53">
        <f t="shared" si="33"/>
        <v>5000</v>
      </c>
    </row>
    <row r="1089" spans="1:15" x14ac:dyDescent="0.2">
      <c r="A1089" s="51" t="s">
        <v>3567</v>
      </c>
      <c r="B1089" s="51" t="s">
        <v>3568</v>
      </c>
      <c r="C1089" s="51" t="s">
        <v>71</v>
      </c>
      <c r="D1089" s="51" t="s">
        <v>2901</v>
      </c>
      <c r="E1089" s="51" t="s">
        <v>2900</v>
      </c>
      <c r="F1089" s="52">
        <v>1971.2163</v>
      </c>
      <c r="G1089" s="52">
        <v>1200</v>
      </c>
      <c r="H1089" s="52">
        <v>5180</v>
      </c>
      <c r="I1089" s="52">
        <v>6380</v>
      </c>
      <c r="J1089" s="51">
        <v>0</v>
      </c>
      <c r="K1089" s="54">
        <v>0</v>
      </c>
      <c r="L1089" s="51">
        <v>2</v>
      </c>
      <c r="M1089" s="54">
        <v>15000</v>
      </c>
      <c r="N1089" s="53">
        <f t="shared" si="32"/>
        <v>-15000</v>
      </c>
      <c r="O1089" s="53">
        <f t="shared" si="33"/>
        <v>15000</v>
      </c>
    </row>
    <row r="1090" spans="1:15" x14ac:dyDescent="0.2">
      <c r="A1090" s="51" t="s">
        <v>3567</v>
      </c>
      <c r="B1090" s="51" t="s">
        <v>3568</v>
      </c>
      <c r="C1090" s="51" t="s">
        <v>82</v>
      </c>
      <c r="D1090" s="51" t="s">
        <v>3190</v>
      </c>
      <c r="E1090" s="51" t="s">
        <v>3189</v>
      </c>
      <c r="F1090" s="52">
        <v>1620.1167618978191</v>
      </c>
      <c r="G1090" s="52">
        <v>0</v>
      </c>
      <c r="H1090" s="52">
        <v>5550</v>
      </c>
      <c r="I1090" s="52">
        <v>5550</v>
      </c>
      <c r="J1090" s="51">
        <v>0</v>
      </c>
      <c r="K1090" s="54">
        <v>0</v>
      </c>
      <c r="L1090" s="51">
        <v>1</v>
      </c>
      <c r="M1090" s="54">
        <v>5500</v>
      </c>
      <c r="N1090" s="53">
        <f t="shared" si="32"/>
        <v>-5500</v>
      </c>
      <c r="O1090" s="53">
        <f t="shared" si="33"/>
        <v>5500</v>
      </c>
    </row>
    <row r="1091" spans="1:15" x14ac:dyDescent="0.2">
      <c r="A1091" s="51" t="s">
        <v>3567</v>
      </c>
      <c r="B1091" s="51" t="s">
        <v>3568</v>
      </c>
      <c r="C1091" s="51" t="s">
        <v>80</v>
      </c>
      <c r="D1091" s="51" t="s">
        <v>2610</v>
      </c>
      <c r="E1091" s="51" t="s">
        <v>2609</v>
      </c>
      <c r="F1091" s="52">
        <v>351.17540000000002</v>
      </c>
      <c r="G1091" s="52">
        <v>0</v>
      </c>
      <c r="H1091" s="52">
        <v>500</v>
      </c>
      <c r="I1091" s="52">
        <v>500</v>
      </c>
      <c r="J1091" s="51">
        <v>0</v>
      </c>
      <c r="K1091" s="54">
        <v>0</v>
      </c>
      <c r="L1091" s="51">
        <v>1</v>
      </c>
      <c r="M1091" s="54">
        <v>5000</v>
      </c>
      <c r="N1091" s="53">
        <f t="shared" ref="N1091:N1154" si="34">K1091-M1091</f>
        <v>-5000</v>
      </c>
      <c r="O1091" s="53">
        <f t="shared" ref="O1091:O1154" si="35">M1091-K1091</f>
        <v>5000</v>
      </c>
    </row>
    <row r="1092" spans="1:15" x14ac:dyDescent="0.2">
      <c r="A1092" s="51" t="s">
        <v>3567</v>
      </c>
      <c r="B1092" s="51" t="s">
        <v>3568</v>
      </c>
      <c r="C1092" s="51" t="s">
        <v>70</v>
      </c>
      <c r="D1092" s="51" t="s">
        <v>1355</v>
      </c>
      <c r="E1092" s="51" t="s">
        <v>1354</v>
      </c>
      <c r="F1092" s="52">
        <v>31808.14584358643</v>
      </c>
      <c r="G1092" s="52">
        <v>12070</v>
      </c>
      <c r="H1092" s="52">
        <v>48470</v>
      </c>
      <c r="I1092" s="52">
        <v>60540</v>
      </c>
      <c r="J1092" s="51">
        <v>0</v>
      </c>
      <c r="K1092" s="54">
        <v>0</v>
      </c>
      <c r="L1092" s="51">
        <v>1</v>
      </c>
      <c r="M1092" s="54">
        <v>30000</v>
      </c>
      <c r="N1092" s="53">
        <f t="shared" si="34"/>
        <v>-30000</v>
      </c>
      <c r="O1092" s="53">
        <f t="shared" si="35"/>
        <v>30000</v>
      </c>
    </row>
    <row r="1093" spans="1:15" x14ac:dyDescent="0.2">
      <c r="A1093" s="51" t="s">
        <v>3567</v>
      </c>
      <c r="B1093" s="51" t="s">
        <v>3568</v>
      </c>
      <c r="C1093" s="51" t="s">
        <v>59</v>
      </c>
      <c r="D1093" s="51" t="s">
        <v>1824</v>
      </c>
      <c r="E1093" s="51" t="s">
        <v>1823</v>
      </c>
      <c r="F1093" s="52">
        <v>972.21420000000001</v>
      </c>
      <c r="G1093" s="52">
        <v>4600</v>
      </c>
      <c r="H1093" s="52">
        <v>4900</v>
      </c>
      <c r="I1093" s="52">
        <v>9500</v>
      </c>
      <c r="J1093" s="51">
        <v>0</v>
      </c>
      <c r="K1093" s="54">
        <v>0</v>
      </c>
      <c r="L1093" s="51">
        <v>0</v>
      </c>
      <c r="M1093" s="54">
        <v>0</v>
      </c>
      <c r="N1093" s="53">
        <f t="shared" si="34"/>
        <v>0</v>
      </c>
      <c r="O1093" s="53">
        <f t="shared" si="35"/>
        <v>0</v>
      </c>
    </row>
    <row r="1094" spans="1:15" x14ac:dyDescent="0.2">
      <c r="A1094" s="51" t="s">
        <v>3567</v>
      </c>
      <c r="B1094" s="51" t="s">
        <v>3568</v>
      </c>
      <c r="C1094" s="51" t="s">
        <v>84</v>
      </c>
      <c r="D1094" s="51" t="s">
        <v>244</v>
      </c>
      <c r="E1094" s="51" t="s">
        <v>243</v>
      </c>
      <c r="F1094" s="52">
        <v>23.153199999999998</v>
      </c>
      <c r="G1094" s="52">
        <v>0</v>
      </c>
      <c r="H1094" s="52">
        <v>0</v>
      </c>
      <c r="I1094" s="52">
        <v>0</v>
      </c>
      <c r="J1094" s="51">
        <v>0</v>
      </c>
      <c r="K1094" s="54">
        <v>0</v>
      </c>
      <c r="L1094" s="51">
        <v>0</v>
      </c>
      <c r="M1094" s="54">
        <v>0</v>
      </c>
      <c r="N1094" s="53">
        <f t="shared" si="34"/>
        <v>0</v>
      </c>
      <c r="O1094" s="53">
        <f t="shared" si="35"/>
        <v>0</v>
      </c>
    </row>
    <row r="1095" spans="1:15" x14ac:dyDescent="0.2">
      <c r="A1095" s="51" t="s">
        <v>3567</v>
      </c>
      <c r="B1095" s="51" t="s">
        <v>3568</v>
      </c>
      <c r="C1095" s="51" t="s">
        <v>53</v>
      </c>
      <c r="D1095" s="51" t="s">
        <v>4202</v>
      </c>
      <c r="E1095" s="51" t="s">
        <v>814</v>
      </c>
      <c r="F1095" s="52">
        <v>28.8721</v>
      </c>
      <c r="G1095" s="52">
        <v>0</v>
      </c>
      <c r="H1095" s="52">
        <v>0</v>
      </c>
      <c r="I1095" s="52">
        <v>0</v>
      </c>
      <c r="J1095" s="51">
        <v>0</v>
      </c>
      <c r="K1095" s="54">
        <v>0</v>
      </c>
      <c r="L1095" s="51">
        <v>0</v>
      </c>
      <c r="M1095" s="54">
        <v>0</v>
      </c>
      <c r="N1095" s="53">
        <f t="shared" si="34"/>
        <v>0</v>
      </c>
      <c r="O1095" s="53">
        <f t="shared" si="35"/>
        <v>0</v>
      </c>
    </row>
    <row r="1096" spans="1:15" x14ac:dyDescent="0.2">
      <c r="A1096" s="51" t="s">
        <v>3567</v>
      </c>
      <c r="B1096" s="51" t="s">
        <v>3568</v>
      </c>
      <c r="C1096" s="51" t="s">
        <v>4149</v>
      </c>
      <c r="D1096" s="51" t="s">
        <v>4150</v>
      </c>
      <c r="E1096" s="51" t="s">
        <v>4151</v>
      </c>
      <c r="F1096" s="52">
        <v>68.082499999999996</v>
      </c>
      <c r="G1096" s="52">
        <v>0</v>
      </c>
      <c r="H1096" s="52">
        <v>0</v>
      </c>
      <c r="I1096" s="52">
        <v>0</v>
      </c>
      <c r="J1096" s="51">
        <v>0</v>
      </c>
      <c r="K1096" s="54">
        <v>0</v>
      </c>
      <c r="L1096" s="51">
        <v>0</v>
      </c>
      <c r="M1096" s="54">
        <v>0</v>
      </c>
      <c r="N1096" s="53">
        <f t="shared" si="34"/>
        <v>0</v>
      </c>
      <c r="O1096" s="53">
        <f t="shared" si="35"/>
        <v>0</v>
      </c>
    </row>
    <row r="1097" spans="1:15" x14ac:dyDescent="0.2">
      <c r="A1097" s="51" t="s">
        <v>3567</v>
      </c>
      <c r="B1097" s="51" t="s">
        <v>3568</v>
      </c>
      <c r="C1097" s="51" t="s">
        <v>81</v>
      </c>
      <c r="D1097" s="51" t="s">
        <v>2871</v>
      </c>
      <c r="E1097" s="51" t="s">
        <v>2870</v>
      </c>
      <c r="F1097" s="52">
        <v>13911.308213504741</v>
      </c>
      <c r="G1097" s="52">
        <v>31065</v>
      </c>
      <c r="H1097" s="52">
        <v>19405</v>
      </c>
      <c r="I1097" s="52">
        <v>50470</v>
      </c>
      <c r="J1097" s="51">
        <v>0</v>
      </c>
      <c r="K1097" s="54">
        <v>0</v>
      </c>
      <c r="L1097" s="51">
        <v>1</v>
      </c>
      <c r="M1097" s="54">
        <v>70000</v>
      </c>
      <c r="N1097" s="53">
        <f t="shared" si="34"/>
        <v>-70000</v>
      </c>
      <c r="O1097" s="53">
        <f t="shared" si="35"/>
        <v>70000</v>
      </c>
    </row>
    <row r="1098" spans="1:15" x14ac:dyDescent="0.2">
      <c r="A1098" s="51" t="s">
        <v>3567</v>
      </c>
      <c r="B1098" s="51" t="s">
        <v>3568</v>
      </c>
      <c r="C1098" s="51" t="s">
        <v>70</v>
      </c>
      <c r="D1098" s="51" t="s">
        <v>4170</v>
      </c>
      <c r="E1098" s="51" t="s">
        <v>4171</v>
      </c>
      <c r="F1098" s="52">
        <v>54.738847612800001</v>
      </c>
      <c r="G1098" s="52">
        <v>0</v>
      </c>
      <c r="H1098" s="52">
        <v>0</v>
      </c>
      <c r="I1098" s="52">
        <v>0</v>
      </c>
      <c r="J1098" s="51">
        <v>0</v>
      </c>
      <c r="K1098" s="54">
        <v>0</v>
      </c>
      <c r="L1098" s="51">
        <v>0</v>
      </c>
      <c r="M1098" s="54">
        <v>0</v>
      </c>
      <c r="N1098" s="53">
        <f t="shared" si="34"/>
        <v>0</v>
      </c>
      <c r="O1098" s="53">
        <f t="shared" si="35"/>
        <v>0</v>
      </c>
    </row>
    <row r="1099" spans="1:15" x14ac:dyDescent="0.2">
      <c r="A1099" s="51" t="s">
        <v>3567</v>
      </c>
      <c r="B1099" s="51" t="s">
        <v>3568</v>
      </c>
      <c r="C1099" s="51" t="s">
        <v>84</v>
      </c>
      <c r="D1099" s="51" t="s">
        <v>2340</v>
      </c>
      <c r="E1099" s="51" t="s">
        <v>2339</v>
      </c>
      <c r="F1099" s="52">
        <v>11079.7583</v>
      </c>
      <c r="G1099" s="52">
        <v>700</v>
      </c>
      <c r="H1099" s="52">
        <v>0</v>
      </c>
      <c r="I1099" s="52">
        <v>700</v>
      </c>
      <c r="J1099" s="51">
        <v>1</v>
      </c>
      <c r="K1099" s="54">
        <v>5000</v>
      </c>
      <c r="L1099" s="51">
        <v>0</v>
      </c>
      <c r="M1099" s="54">
        <v>0</v>
      </c>
      <c r="N1099" s="53">
        <f t="shared" si="34"/>
        <v>5000</v>
      </c>
      <c r="O1099" s="53">
        <f t="shared" si="35"/>
        <v>-5000</v>
      </c>
    </row>
    <row r="1100" spans="1:15" x14ac:dyDescent="0.2">
      <c r="A1100" s="51" t="s">
        <v>3567</v>
      </c>
      <c r="B1100" s="51" t="s">
        <v>3568</v>
      </c>
      <c r="C1100" s="51" t="s">
        <v>3756</v>
      </c>
      <c r="D1100" s="51" t="s">
        <v>4125</v>
      </c>
      <c r="E1100" s="51" t="s">
        <v>4126</v>
      </c>
      <c r="F1100" s="52">
        <v>3.43627899731319</v>
      </c>
      <c r="G1100" s="52">
        <v>0</v>
      </c>
      <c r="H1100" s="52">
        <v>0</v>
      </c>
      <c r="I1100" s="52">
        <v>0</v>
      </c>
      <c r="J1100" s="51">
        <v>0</v>
      </c>
      <c r="K1100" s="54">
        <v>0</v>
      </c>
      <c r="L1100" s="51">
        <v>0</v>
      </c>
      <c r="M1100" s="54">
        <v>0</v>
      </c>
      <c r="N1100" s="53">
        <f t="shared" si="34"/>
        <v>0</v>
      </c>
      <c r="O1100" s="53">
        <f t="shared" si="35"/>
        <v>0</v>
      </c>
    </row>
    <row r="1101" spans="1:15" x14ac:dyDescent="0.2">
      <c r="A1101" s="51" t="s">
        <v>3567</v>
      </c>
      <c r="B1101" s="51" t="s">
        <v>3568</v>
      </c>
      <c r="C1101" s="51" t="s">
        <v>54</v>
      </c>
      <c r="D1101" s="51" t="s">
        <v>124</v>
      </c>
      <c r="E1101" s="51" t="s">
        <v>123</v>
      </c>
      <c r="F1101" s="52">
        <v>32317.616028414341</v>
      </c>
      <c r="G1101" s="52">
        <v>0</v>
      </c>
      <c r="H1101" s="52">
        <v>0</v>
      </c>
      <c r="I1101" s="52">
        <v>0</v>
      </c>
      <c r="J1101" s="51">
        <v>1</v>
      </c>
      <c r="K1101" s="54">
        <v>5000</v>
      </c>
      <c r="L1101" s="51">
        <v>0</v>
      </c>
      <c r="M1101" s="54">
        <v>0</v>
      </c>
      <c r="N1101" s="53">
        <f t="shared" si="34"/>
        <v>5000</v>
      </c>
      <c r="O1101" s="53">
        <f t="shared" si="35"/>
        <v>-5000</v>
      </c>
    </row>
    <row r="1102" spans="1:15" x14ac:dyDescent="0.2">
      <c r="A1102" s="51" t="s">
        <v>3567</v>
      </c>
      <c r="B1102" s="51" t="s">
        <v>3568</v>
      </c>
      <c r="C1102" s="51" t="s">
        <v>73</v>
      </c>
      <c r="D1102" s="51" t="s">
        <v>3417</v>
      </c>
      <c r="E1102" s="51" t="s">
        <v>3416</v>
      </c>
      <c r="F1102" s="52">
        <v>1114.2569000000001</v>
      </c>
      <c r="G1102" s="52">
        <v>0</v>
      </c>
      <c r="H1102" s="52">
        <v>0</v>
      </c>
      <c r="I1102" s="52">
        <v>0</v>
      </c>
      <c r="J1102" s="51">
        <v>0</v>
      </c>
      <c r="K1102" s="54">
        <v>0</v>
      </c>
      <c r="L1102" s="51">
        <v>1</v>
      </c>
      <c r="M1102" s="54">
        <v>5000</v>
      </c>
      <c r="N1102" s="53">
        <f t="shared" si="34"/>
        <v>-5000</v>
      </c>
      <c r="O1102" s="53">
        <f t="shared" si="35"/>
        <v>5000</v>
      </c>
    </row>
    <row r="1103" spans="1:15" x14ac:dyDescent="0.2">
      <c r="A1103" s="51" t="s">
        <v>3567</v>
      </c>
      <c r="B1103" s="51" t="s">
        <v>3568</v>
      </c>
      <c r="C1103" s="51" t="s">
        <v>61</v>
      </c>
      <c r="D1103" s="51" t="s">
        <v>1699</v>
      </c>
      <c r="E1103" s="51" t="s">
        <v>1698</v>
      </c>
      <c r="F1103" s="52">
        <v>247.47280000000001</v>
      </c>
      <c r="G1103" s="52">
        <v>10000</v>
      </c>
      <c r="H1103" s="52">
        <v>14800</v>
      </c>
      <c r="I1103" s="52">
        <v>24800</v>
      </c>
      <c r="J1103" s="51">
        <v>1</v>
      </c>
      <c r="K1103" s="54">
        <v>10000</v>
      </c>
      <c r="L1103" s="51">
        <v>1</v>
      </c>
      <c r="M1103" s="54">
        <v>15000</v>
      </c>
      <c r="N1103" s="53">
        <f t="shared" si="34"/>
        <v>-5000</v>
      </c>
      <c r="O1103" s="53">
        <f t="shared" si="35"/>
        <v>5000</v>
      </c>
    </row>
    <row r="1104" spans="1:15" x14ac:dyDescent="0.2">
      <c r="A1104" s="51" t="s">
        <v>3567</v>
      </c>
      <c r="B1104" s="51" t="s">
        <v>3568</v>
      </c>
      <c r="C1104" s="51" t="s">
        <v>57</v>
      </c>
      <c r="D1104" s="51" t="s">
        <v>4168</v>
      </c>
      <c r="E1104" s="51" t="s">
        <v>4169</v>
      </c>
      <c r="F1104" s="52">
        <v>27.814043999999999</v>
      </c>
      <c r="G1104" s="52">
        <v>0</v>
      </c>
      <c r="H1104" s="52">
        <v>0</v>
      </c>
      <c r="I1104" s="52">
        <v>0</v>
      </c>
      <c r="J1104" s="51">
        <v>0</v>
      </c>
      <c r="K1104" s="54">
        <v>0</v>
      </c>
      <c r="L1104" s="51">
        <v>0</v>
      </c>
      <c r="M1104" s="54">
        <v>0</v>
      </c>
      <c r="N1104" s="53">
        <f t="shared" si="34"/>
        <v>0</v>
      </c>
      <c r="O1104" s="53">
        <f t="shared" si="35"/>
        <v>0</v>
      </c>
    </row>
    <row r="1105" spans="1:15" x14ac:dyDescent="0.2">
      <c r="A1105" s="51" t="s">
        <v>3567</v>
      </c>
      <c r="B1105" s="51" t="s">
        <v>3568</v>
      </c>
      <c r="C1105" s="51" t="s">
        <v>79</v>
      </c>
      <c r="D1105" s="51" t="s">
        <v>2603</v>
      </c>
      <c r="E1105" s="51" t="s">
        <v>2602</v>
      </c>
      <c r="F1105" s="52">
        <v>8673.3001999999997</v>
      </c>
      <c r="G1105" s="52">
        <v>10000</v>
      </c>
      <c r="H1105" s="52">
        <v>2520</v>
      </c>
      <c r="I1105" s="52">
        <v>12520</v>
      </c>
      <c r="J1105" s="51">
        <v>1</v>
      </c>
      <c r="K1105" s="54">
        <v>5000</v>
      </c>
      <c r="L1105" s="51">
        <v>0</v>
      </c>
      <c r="M1105" s="54">
        <v>0</v>
      </c>
      <c r="N1105" s="53">
        <f t="shared" si="34"/>
        <v>5000</v>
      </c>
      <c r="O1105" s="53">
        <f t="shared" si="35"/>
        <v>-5000</v>
      </c>
    </row>
    <row r="1106" spans="1:15" x14ac:dyDescent="0.2">
      <c r="A1106" s="51" t="s">
        <v>3567</v>
      </c>
      <c r="B1106" s="51" t="s">
        <v>3568</v>
      </c>
      <c r="C1106" s="51" t="s">
        <v>79</v>
      </c>
      <c r="D1106" s="51" t="s">
        <v>609</v>
      </c>
      <c r="E1106" s="51" t="s">
        <v>608</v>
      </c>
      <c r="F1106" s="52">
        <v>8443.7207999999991</v>
      </c>
      <c r="G1106" s="52">
        <v>8450</v>
      </c>
      <c r="H1106" s="52">
        <v>6590</v>
      </c>
      <c r="I1106" s="52">
        <v>15040</v>
      </c>
      <c r="J1106" s="51">
        <v>1</v>
      </c>
      <c r="K1106" s="54">
        <v>10000</v>
      </c>
      <c r="L1106" s="51">
        <v>0</v>
      </c>
      <c r="M1106" s="54">
        <v>0</v>
      </c>
      <c r="N1106" s="53">
        <f t="shared" si="34"/>
        <v>10000</v>
      </c>
      <c r="O1106" s="53">
        <f t="shared" si="35"/>
        <v>-10000</v>
      </c>
    </row>
    <row r="1107" spans="1:15" x14ac:dyDescent="0.2">
      <c r="A1107" s="51" t="s">
        <v>3567</v>
      </c>
      <c r="B1107" s="51" t="s">
        <v>3568</v>
      </c>
      <c r="C1107" s="51" t="s">
        <v>3580</v>
      </c>
      <c r="D1107" s="51" t="s">
        <v>4127</v>
      </c>
      <c r="E1107" s="51" t="s">
        <v>4128</v>
      </c>
      <c r="F1107" s="52">
        <v>145.60357683072269</v>
      </c>
      <c r="G1107" s="52">
        <v>0</v>
      </c>
      <c r="H1107" s="52">
        <v>0</v>
      </c>
      <c r="I1107" s="52">
        <v>0</v>
      </c>
      <c r="J1107" s="51">
        <v>0</v>
      </c>
      <c r="K1107" s="54">
        <v>0</v>
      </c>
      <c r="L1107" s="51">
        <v>0</v>
      </c>
      <c r="M1107" s="54">
        <v>0</v>
      </c>
      <c r="N1107" s="53">
        <f t="shared" si="34"/>
        <v>0</v>
      </c>
      <c r="O1107" s="53">
        <f t="shared" si="35"/>
        <v>0</v>
      </c>
    </row>
    <row r="1108" spans="1:15" x14ac:dyDescent="0.2">
      <c r="A1108" s="51" t="s">
        <v>3567</v>
      </c>
      <c r="B1108" s="51" t="s">
        <v>3568</v>
      </c>
      <c r="C1108" s="51" t="s">
        <v>79</v>
      </c>
      <c r="D1108" s="51" t="s">
        <v>327</v>
      </c>
      <c r="E1108" s="51" t="s">
        <v>326</v>
      </c>
      <c r="F1108" s="52">
        <v>3771.8328706744819</v>
      </c>
      <c r="G1108" s="52">
        <v>8080</v>
      </c>
      <c r="H1108" s="52">
        <v>13660</v>
      </c>
      <c r="I1108" s="52">
        <v>21740</v>
      </c>
      <c r="J1108" s="51">
        <v>0</v>
      </c>
      <c r="K1108" s="54">
        <v>0</v>
      </c>
      <c r="L1108" s="51">
        <v>2</v>
      </c>
      <c r="M1108" s="54">
        <v>21000</v>
      </c>
      <c r="N1108" s="53">
        <f t="shared" si="34"/>
        <v>-21000</v>
      </c>
      <c r="O1108" s="53">
        <f t="shared" si="35"/>
        <v>21000</v>
      </c>
    </row>
    <row r="1109" spans="1:15" x14ac:dyDescent="0.2">
      <c r="A1109" s="51" t="s">
        <v>3567</v>
      </c>
      <c r="B1109" s="51" t="s">
        <v>3568</v>
      </c>
      <c r="C1109" s="51" t="s">
        <v>80</v>
      </c>
      <c r="D1109" s="51" t="s">
        <v>456</v>
      </c>
      <c r="E1109" s="51" t="s">
        <v>455</v>
      </c>
      <c r="F1109" s="52">
        <v>5779.6112833268953</v>
      </c>
      <c r="G1109" s="52">
        <v>15670</v>
      </c>
      <c r="H1109" s="52">
        <v>57895</v>
      </c>
      <c r="I1109" s="52">
        <v>73565</v>
      </c>
      <c r="J1109" s="51">
        <v>0</v>
      </c>
      <c r="K1109" s="54">
        <v>0</v>
      </c>
      <c r="L1109" s="51">
        <v>2</v>
      </c>
      <c r="M1109" s="54">
        <v>100000</v>
      </c>
      <c r="N1109" s="53">
        <f t="shared" si="34"/>
        <v>-100000</v>
      </c>
      <c r="O1109" s="53">
        <f t="shared" si="35"/>
        <v>100000</v>
      </c>
    </row>
    <row r="1110" spans="1:15" x14ac:dyDescent="0.2">
      <c r="A1110" s="51" t="s">
        <v>3567</v>
      </c>
      <c r="B1110" s="51" t="s">
        <v>3568</v>
      </c>
      <c r="C1110" s="51" t="s">
        <v>59</v>
      </c>
      <c r="D1110" s="51" t="s">
        <v>1852</v>
      </c>
      <c r="E1110" s="51" t="s">
        <v>1851</v>
      </c>
      <c r="F1110" s="52">
        <v>27.05910300685494</v>
      </c>
      <c r="G1110" s="52">
        <v>0</v>
      </c>
      <c r="H1110" s="52">
        <v>0</v>
      </c>
      <c r="I1110" s="52">
        <v>0</v>
      </c>
      <c r="J1110" s="51">
        <v>0</v>
      </c>
      <c r="K1110" s="54">
        <v>0</v>
      </c>
      <c r="L1110" s="51">
        <v>0</v>
      </c>
      <c r="M1110" s="54">
        <v>0</v>
      </c>
      <c r="N1110" s="53">
        <f t="shared" si="34"/>
        <v>0</v>
      </c>
      <c r="O1110" s="53">
        <f t="shared" si="35"/>
        <v>0</v>
      </c>
    </row>
    <row r="1111" spans="1:15" x14ac:dyDescent="0.2">
      <c r="A1111" s="51" t="s">
        <v>3567</v>
      </c>
      <c r="B1111" s="51" t="s">
        <v>3568</v>
      </c>
      <c r="C1111" s="51" t="s">
        <v>60</v>
      </c>
      <c r="D1111" s="51" t="s">
        <v>3113</v>
      </c>
      <c r="E1111" s="51" t="s">
        <v>3112</v>
      </c>
      <c r="F1111" s="52">
        <v>4039.791168102598</v>
      </c>
      <c r="G1111" s="52">
        <v>1000</v>
      </c>
      <c r="H1111" s="52">
        <v>0</v>
      </c>
      <c r="I1111" s="52">
        <v>1000</v>
      </c>
      <c r="J1111" s="51">
        <v>1</v>
      </c>
      <c r="K1111" s="54">
        <v>5000</v>
      </c>
      <c r="L1111" s="51">
        <v>0</v>
      </c>
      <c r="M1111" s="54">
        <v>0</v>
      </c>
      <c r="N1111" s="53">
        <f t="shared" si="34"/>
        <v>5000</v>
      </c>
      <c r="O1111" s="53">
        <f t="shared" si="35"/>
        <v>-5000</v>
      </c>
    </row>
    <row r="1112" spans="1:15" x14ac:dyDescent="0.2">
      <c r="A1112" s="51" t="s">
        <v>3567</v>
      </c>
      <c r="B1112" s="51" t="s">
        <v>3568</v>
      </c>
      <c r="C1112" s="51" t="s">
        <v>82</v>
      </c>
      <c r="D1112" s="51" t="s">
        <v>2086</v>
      </c>
      <c r="E1112" s="51" t="s">
        <v>2085</v>
      </c>
      <c r="F1112" s="52">
        <v>3428.9032499999998</v>
      </c>
      <c r="G1112" s="52">
        <v>0</v>
      </c>
      <c r="H1112" s="52">
        <v>0</v>
      </c>
      <c r="I1112" s="52">
        <v>0</v>
      </c>
      <c r="J1112" s="51">
        <v>0</v>
      </c>
      <c r="K1112" s="54">
        <v>0</v>
      </c>
      <c r="L1112" s="51">
        <v>0</v>
      </c>
      <c r="M1112" s="54">
        <v>0</v>
      </c>
      <c r="N1112" s="53">
        <f t="shared" si="34"/>
        <v>0</v>
      </c>
      <c r="O1112" s="53">
        <f t="shared" si="35"/>
        <v>0</v>
      </c>
    </row>
    <row r="1113" spans="1:15" x14ac:dyDescent="0.2">
      <c r="A1113" s="51" t="s">
        <v>3567</v>
      </c>
      <c r="B1113" s="51" t="s">
        <v>3568</v>
      </c>
      <c r="C1113" s="51" t="s">
        <v>3944</v>
      </c>
      <c r="D1113" s="51" t="s">
        <v>4133</v>
      </c>
      <c r="E1113" s="51" t="s">
        <v>4134</v>
      </c>
      <c r="F1113" s="52">
        <v>17.582149999999999</v>
      </c>
      <c r="G1113" s="52">
        <v>0</v>
      </c>
      <c r="H1113" s="52">
        <v>0</v>
      </c>
      <c r="I1113" s="52">
        <v>0</v>
      </c>
      <c r="J1113" s="51">
        <v>0</v>
      </c>
      <c r="K1113" s="54">
        <v>0</v>
      </c>
      <c r="L1113" s="51">
        <v>0</v>
      </c>
      <c r="M1113" s="54">
        <v>0</v>
      </c>
      <c r="N1113" s="53">
        <f t="shared" si="34"/>
        <v>0</v>
      </c>
      <c r="O1113" s="53">
        <f t="shared" si="35"/>
        <v>0</v>
      </c>
    </row>
    <row r="1114" spans="1:15" x14ac:dyDescent="0.2">
      <c r="A1114" s="51" t="s">
        <v>3567</v>
      </c>
      <c r="B1114" s="51" t="s">
        <v>3568</v>
      </c>
      <c r="C1114" s="51" t="s">
        <v>54</v>
      </c>
      <c r="D1114" s="51" t="s">
        <v>2690</v>
      </c>
      <c r="E1114" s="51" t="s">
        <v>2689</v>
      </c>
      <c r="F1114" s="52">
        <v>22793.4123</v>
      </c>
      <c r="G1114" s="52">
        <v>2800</v>
      </c>
      <c r="H1114" s="52">
        <v>15050</v>
      </c>
      <c r="I1114" s="52">
        <v>17850</v>
      </c>
      <c r="J1114" s="51">
        <v>0</v>
      </c>
      <c r="K1114" s="54">
        <v>0</v>
      </c>
      <c r="L1114" s="51">
        <v>1</v>
      </c>
      <c r="M1114" s="54">
        <v>5000</v>
      </c>
      <c r="N1114" s="53">
        <f t="shared" si="34"/>
        <v>-5000</v>
      </c>
      <c r="O1114" s="53">
        <f t="shared" si="35"/>
        <v>5000</v>
      </c>
    </row>
    <row r="1115" spans="1:15" x14ac:dyDescent="0.2">
      <c r="A1115" s="51" t="s">
        <v>3567</v>
      </c>
      <c r="B1115" s="51" t="s">
        <v>3568</v>
      </c>
      <c r="C1115" s="51" t="s">
        <v>74</v>
      </c>
      <c r="D1115" s="51" t="s">
        <v>3108</v>
      </c>
      <c r="E1115" s="51" t="s">
        <v>3107</v>
      </c>
      <c r="F1115" s="52">
        <v>28439.25785782182</v>
      </c>
      <c r="G1115" s="52">
        <v>28080</v>
      </c>
      <c r="H1115" s="52">
        <v>22232</v>
      </c>
      <c r="I1115" s="52">
        <v>50312</v>
      </c>
      <c r="J1115" s="51">
        <v>1</v>
      </c>
      <c r="K1115" s="54">
        <v>20000</v>
      </c>
      <c r="L1115" s="51">
        <v>1</v>
      </c>
      <c r="M1115" s="54">
        <v>16000</v>
      </c>
      <c r="N1115" s="53">
        <f t="shared" si="34"/>
        <v>4000</v>
      </c>
      <c r="O1115" s="53">
        <f t="shared" si="35"/>
        <v>-4000</v>
      </c>
    </row>
    <row r="1116" spans="1:15" x14ac:dyDescent="0.2">
      <c r="A1116" s="51" t="s">
        <v>3567</v>
      </c>
      <c r="B1116" s="51" t="s">
        <v>3568</v>
      </c>
      <c r="C1116" s="51" t="s">
        <v>3633</v>
      </c>
      <c r="D1116" s="51" t="s">
        <v>4123</v>
      </c>
      <c r="E1116" s="51" t="s">
        <v>4124</v>
      </c>
      <c r="F1116" s="52">
        <v>4.5455692005911003E-3</v>
      </c>
      <c r="G1116" s="52">
        <v>0</v>
      </c>
      <c r="H1116" s="52">
        <v>0</v>
      </c>
      <c r="I1116" s="52">
        <v>0</v>
      </c>
      <c r="J1116" s="51">
        <v>0</v>
      </c>
      <c r="K1116" s="54">
        <v>0</v>
      </c>
      <c r="L1116" s="51">
        <v>0</v>
      </c>
      <c r="M1116" s="54">
        <v>0</v>
      </c>
      <c r="N1116" s="53">
        <f t="shared" si="34"/>
        <v>0</v>
      </c>
      <c r="O1116" s="53">
        <f t="shared" si="35"/>
        <v>0</v>
      </c>
    </row>
    <row r="1117" spans="1:15" x14ac:dyDescent="0.2">
      <c r="A1117" s="51" t="s">
        <v>3567</v>
      </c>
      <c r="B1117" s="51" t="s">
        <v>3568</v>
      </c>
      <c r="C1117" s="51" t="s">
        <v>56</v>
      </c>
      <c r="D1117" s="51" t="s">
        <v>497</v>
      </c>
      <c r="E1117" s="51" t="s">
        <v>496</v>
      </c>
      <c r="F1117" s="52">
        <v>2228.708334763845</v>
      </c>
      <c r="G1117" s="52">
        <v>8180</v>
      </c>
      <c r="H1117" s="52">
        <v>2200</v>
      </c>
      <c r="I1117" s="52">
        <v>10380</v>
      </c>
      <c r="J1117" s="51">
        <v>1</v>
      </c>
      <c r="K1117" s="54">
        <v>5000</v>
      </c>
      <c r="L1117" s="51">
        <v>0</v>
      </c>
      <c r="M1117" s="54">
        <v>0</v>
      </c>
      <c r="N1117" s="53">
        <f t="shared" si="34"/>
        <v>5000</v>
      </c>
      <c r="O1117" s="53">
        <f t="shared" si="35"/>
        <v>-5000</v>
      </c>
    </row>
    <row r="1118" spans="1:15" x14ac:dyDescent="0.2">
      <c r="A1118" s="51" t="s">
        <v>3567</v>
      </c>
      <c r="B1118" s="51" t="s">
        <v>3568</v>
      </c>
      <c r="C1118" s="51" t="s">
        <v>3650</v>
      </c>
      <c r="D1118" s="51" t="s">
        <v>4160</v>
      </c>
      <c r="E1118" s="51" t="s">
        <v>4161</v>
      </c>
      <c r="F1118" s="52">
        <v>18.403182055403128</v>
      </c>
      <c r="G1118" s="52">
        <v>0</v>
      </c>
      <c r="H1118" s="52">
        <v>0</v>
      </c>
      <c r="I1118" s="52">
        <v>0</v>
      </c>
      <c r="J1118" s="51">
        <v>0</v>
      </c>
      <c r="K1118" s="54">
        <v>0</v>
      </c>
      <c r="L1118" s="51">
        <v>0</v>
      </c>
      <c r="M1118" s="54">
        <v>0</v>
      </c>
      <c r="N1118" s="53">
        <f t="shared" si="34"/>
        <v>0</v>
      </c>
      <c r="O1118" s="53">
        <f t="shared" si="35"/>
        <v>0</v>
      </c>
    </row>
    <row r="1119" spans="1:15" x14ac:dyDescent="0.2">
      <c r="A1119" s="51" t="s">
        <v>3567</v>
      </c>
      <c r="B1119" s="51" t="s">
        <v>3568</v>
      </c>
      <c r="C1119" s="51" t="s">
        <v>75</v>
      </c>
      <c r="D1119" s="51" t="s">
        <v>1646</v>
      </c>
      <c r="E1119" s="51" t="s">
        <v>1645</v>
      </c>
      <c r="F1119" s="52">
        <v>2146.2120247972921</v>
      </c>
      <c r="G1119" s="52">
        <v>33100</v>
      </c>
      <c r="H1119" s="52">
        <v>105</v>
      </c>
      <c r="I1119" s="52">
        <v>33205</v>
      </c>
      <c r="J1119" s="51">
        <v>4</v>
      </c>
      <c r="K1119" s="54">
        <v>35000</v>
      </c>
      <c r="L1119" s="51">
        <v>0</v>
      </c>
      <c r="M1119" s="54">
        <v>0</v>
      </c>
      <c r="N1119" s="53">
        <f t="shared" si="34"/>
        <v>35000</v>
      </c>
      <c r="O1119" s="53">
        <f t="shared" si="35"/>
        <v>-35000</v>
      </c>
    </row>
    <row r="1120" spans="1:15" x14ac:dyDescent="0.2">
      <c r="A1120" s="51" t="s">
        <v>3567</v>
      </c>
      <c r="B1120" s="51" t="s">
        <v>3568</v>
      </c>
      <c r="C1120" s="51" t="s">
        <v>53</v>
      </c>
      <c r="D1120" s="51" t="s">
        <v>2011</v>
      </c>
      <c r="E1120" s="51" t="s">
        <v>2010</v>
      </c>
      <c r="F1120" s="52">
        <v>3889.3847919371528</v>
      </c>
      <c r="G1120" s="52">
        <v>3000</v>
      </c>
      <c r="H1120" s="52">
        <v>0</v>
      </c>
      <c r="I1120" s="52">
        <v>3000</v>
      </c>
      <c r="J1120" s="51">
        <v>1</v>
      </c>
      <c r="K1120" s="54">
        <v>5000</v>
      </c>
      <c r="L1120" s="51">
        <v>0</v>
      </c>
      <c r="M1120" s="54">
        <v>0</v>
      </c>
      <c r="N1120" s="53">
        <f t="shared" si="34"/>
        <v>5000</v>
      </c>
      <c r="O1120" s="53">
        <f t="shared" si="35"/>
        <v>-5000</v>
      </c>
    </row>
    <row r="1121" spans="1:15" x14ac:dyDescent="0.2">
      <c r="A1121" s="51" t="s">
        <v>3567</v>
      </c>
      <c r="B1121" s="51" t="s">
        <v>3568</v>
      </c>
      <c r="C1121" s="51" t="s">
        <v>3633</v>
      </c>
      <c r="D1121" s="51" t="s">
        <v>4178</v>
      </c>
      <c r="E1121" s="51" t="s">
        <v>4179</v>
      </c>
      <c r="F1121" s="52">
        <v>0.39191212248943719</v>
      </c>
      <c r="G1121" s="52">
        <v>0</v>
      </c>
      <c r="H1121" s="52">
        <v>0</v>
      </c>
      <c r="I1121" s="52">
        <v>0</v>
      </c>
      <c r="J1121" s="51">
        <v>0</v>
      </c>
      <c r="K1121" s="54">
        <v>0</v>
      </c>
      <c r="L1121" s="51">
        <v>0</v>
      </c>
      <c r="M1121" s="54">
        <v>0</v>
      </c>
      <c r="N1121" s="53">
        <f t="shared" si="34"/>
        <v>0</v>
      </c>
      <c r="O1121" s="53">
        <f t="shared" si="35"/>
        <v>0</v>
      </c>
    </row>
    <row r="1122" spans="1:15" x14ac:dyDescent="0.2">
      <c r="A1122" s="51" t="s">
        <v>3567</v>
      </c>
      <c r="B1122" s="51" t="s">
        <v>3568</v>
      </c>
      <c r="C1122" s="51" t="s">
        <v>92</v>
      </c>
      <c r="D1122" s="51" t="s">
        <v>1757</v>
      </c>
      <c r="E1122" s="51" t="s">
        <v>1756</v>
      </c>
      <c r="F1122" s="52">
        <v>3400.7378171494038</v>
      </c>
      <c r="G1122" s="52">
        <v>2200</v>
      </c>
      <c r="H1122" s="52">
        <v>6430</v>
      </c>
      <c r="I1122" s="52">
        <v>8630</v>
      </c>
      <c r="J1122" s="51">
        <v>0</v>
      </c>
      <c r="K1122" s="54">
        <v>0</v>
      </c>
      <c r="L1122" s="51">
        <v>1</v>
      </c>
      <c r="M1122" s="54">
        <v>13000</v>
      </c>
      <c r="N1122" s="53">
        <f t="shared" si="34"/>
        <v>-13000</v>
      </c>
      <c r="O1122" s="53">
        <f t="shared" si="35"/>
        <v>13000</v>
      </c>
    </row>
    <row r="1123" spans="1:15" x14ac:dyDescent="0.2">
      <c r="A1123" s="51" t="s">
        <v>3567</v>
      </c>
      <c r="B1123" s="51" t="s">
        <v>3568</v>
      </c>
      <c r="C1123" s="51" t="s">
        <v>52</v>
      </c>
      <c r="D1123" s="51" t="s">
        <v>948</v>
      </c>
      <c r="E1123" s="51" t="s">
        <v>947</v>
      </c>
      <c r="F1123" s="52">
        <v>67.28</v>
      </c>
      <c r="G1123" s="52">
        <v>0</v>
      </c>
      <c r="H1123" s="52">
        <v>3000</v>
      </c>
      <c r="I1123" s="52">
        <v>3000</v>
      </c>
      <c r="J1123" s="51">
        <v>0</v>
      </c>
      <c r="K1123" s="54">
        <v>0</v>
      </c>
      <c r="L1123" s="51">
        <v>1</v>
      </c>
      <c r="M1123" s="54">
        <v>8000</v>
      </c>
      <c r="N1123" s="53">
        <f t="shared" si="34"/>
        <v>-8000</v>
      </c>
      <c r="O1123" s="53">
        <f t="shared" si="35"/>
        <v>8000</v>
      </c>
    </row>
    <row r="1124" spans="1:15" x14ac:dyDescent="0.2">
      <c r="A1124" s="51" t="s">
        <v>3567</v>
      </c>
      <c r="B1124" s="51" t="s">
        <v>3568</v>
      </c>
      <c r="C1124" s="51" t="s">
        <v>68</v>
      </c>
      <c r="D1124" s="51" t="s">
        <v>2699</v>
      </c>
      <c r="E1124" s="51" t="s">
        <v>600</v>
      </c>
      <c r="F1124" s="52">
        <v>21439.2981</v>
      </c>
      <c r="G1124" s="52">
        <v>1600</v>
      </c>
      <c r="H1124" s="52">
        <v>17150</v>
      </c>
      <c r="I1124" s="52">
        <v>18750</v>
      </c>
      <c r="J1124" s="51">
        <v>1</v>
      </c>
      <c r="K1124" s="54">
        <v>5000</v>
      </c>
      <c r="L1124" s="51">
        <v>0</v>
      </c>
      <c r="M1124" s="54">
        <v>0</v>
      </c>
      <c r="N1124" s="53">
        <f t="shared" si="34"/>
        <v>5000</v>
      </c>
      <c r="O1124" s="53">
        <f t="shared" si="35"/>
        <v>-5000</v>
      </c>
    </row>
    <row r="1125" spans="1:15" x14ac:dyDescent="0.2">
      <c r="A1125" s="51" t="s">
        <v>3567</v>
      </c>
      <c r="B1125" s="51" t="s">
        <v>3568</v>
      </c>
      <c r="C1125" s="51" t="s">
        <v>78</v>
      </c>
      <c r="D1125" s="51" t="s">
        <v>2538</v>
      </c>
      <c r="E1125" s="51" t="s">
        <v>2537</v>
      </c>
      <c r="F1125" s="52">
        <v>845.71484114501868</v>
      </c>
      <c r="G1125" s="52">
        <v>1000</v>
      </c>
      <c r="H1125" s="52">
        <v>0</v>
      </c>
      <c r="I1125" s="52">
        <v>1000</v>
      </c>
      <c r="J1125" s="51">
        <v>0</v>
      </c>
      <c r="K1125" s="54">
        <v>0</v>
      </c>
      <c r="L1125" s="51">
        <v>1</v>
      </c>
      <c r="M1125" s="54">
        <v>23000</v>
      </c>
      <c r="N1125" s="53">
        <f t="shared" si="34"/>
        <v>-23000</v>
      </c>
      <c r="O1125" s="53">
        <f t="shared" si="35"/>
        <v>23000</v>
      </c>
    </row>
    <row r="1126" spans="1:15" x14ac:dyDescent="0.2">
      <c r="A1126" s="51" t="s">
        <v>3567</v>
      </c>
      <c r="B1126" s="51" t="s">
        <v>3568</v>
      </c>
      <c r="C1126" s="51" t="s">
        <v>86</v>
      </c>
      <c r="D1126" s="51" t="s">
        <v>2330</v>
      </c>
      <c r="E1126" s="51" t="s">
        <v>2329</v>
      </c>
      <c r="F1126" s="52">
        <v>50.282145999999997</v>
      </c>
      <c r="G1126" s="52">
        <v>0</v>
      </c>
      <c r="H1126" s="52">
        <v>0</v>
      </c>
      <c r="I1126" s="52">
        <v>0</v>
      </c>
      <c r="J1126" s="51">
        <v>0</v>
      </c>
      <c r="K1126" s="54">
        <v>0</v>
      </c>
      <c r="L1126" s="51">
        <v>0</v>
      </c>
      <c r="M1126" s="54">
        <v>0</v>
      </c>
      <c r="N1126" s="53">
        <f t="shared" si="34"/>
        <v>0</v>
      </c>
      <c r="O1126" s="53">
        <f t="shared" si="35"/>
        <v>0</v>
      </c>
    </row>
    <row r="1127" spans="1:15" x14ac:dyDescent="0.2">
      <c r="A1127" s="51" t="s">
        <v>3567</v>
      </c>
      <c r="B1127" s="51" t="s">
        <v>3568</v>
      </c>
      <c r="C1127" s="51" t="s">
        <v>54</v>
      </c>
      <c r="D1127" s="51" t="s">
        <v>355</v>
      </c>
      <c r="E1127" s="51" t="s">
        <v>354</v>
      </c>
      <c r="F1127" s="52">
        <v>29700.130418393252</v>
      </c>
      <c r="G1127" s="52">
        <v>6160</v>
      </c>
      <c r="H1127" s="52">
        <v>32470</v>
      </c>
      <c r="I1127" s="52">
        <v>38630</v>
      </c>
      <c r="J1127" s="51">
        <v>0</v>
      </c>
      <c r="K1127" s="54">
        <v>0</v>
      </c>
      <c r="L1127" s="51">
        <v>1</v>
      </c>
      <c r="M1127" s="54">
        <v>10000</v>
      </c>
      <c r="N1127" s="53">
        <f t="shared" si="34"/>
        <v>-10000</v>
      </c>
      <c r="O1127" s="53">
        <f t="shared" si="35"/>
        <v>10000</v>
      </c>
    </row>
    <row r="1128" spans="1:15" x14ac:dyDescent="0.2">
      <c r="A1128" s="51" t="s">
        <v>3567</v>
      </c>
      <c r="B1128" s="51" t="s">
        <v>3568</v>
      </c>
      <c r="C1128" s="51" t="s">
        <v>3619</v>
      </c>
      <c r="D1128" s="51" t="s">
        <v>4107</v>
      </c>
      <c r="E1128" s="51" t="s">
        <v>4108</v>
      </c>
      <c r="F1128" s="52">
        <v>6.9706442660814254</v>
      </c>
      <c r="G1128" s="52">
        <v>0</v>
      </c>
      <c r="H1128" s="52">
        <v>0</v>
      </c>
      <c r="I1128" s="52">
        <v>0</v>
      </c>
      <c r="J1128" s="51">
        <v>0</v>
      </c>
      <c r="K1128" s="54">
        <v>0</v>
      </c>
      <c r="L1128" s="51">
        <v>0</v>
      </c>
      <c r="M1128" s="54">
        <v>0</v>
      </c>
      <c r="N1128" s="53">
        <f t="shared" si="34"/>
        <v>0</v>
      </c>
      <c r="O1128" s="53">
        <f t="shared" si="35"/>
        <v>0</v>
      </c>
    </row>
    <row r="1129" spans="1:15" x14ac:dyDescent="0.2">
      <c r="A1129" s="51" t="s">
        <v>3567</v>
      </c>
      <c r="B1129" s="51" t="s">
        <v>3568</v>
      </c>
      <c r="C1129" s="51" t="s">
        <v>83</v>
      </c>
      <c r="D1129" s="51" t="s">
        <v>1991</v>
      </c>
      <c r="E1129" s="51" t="s">
        <v>1990</v>
      </c>
      <c r="F1129" s="52">
        <v>7084.4842034782996</v>
      </c>
      <c r="G1129" s="52">
        <v>4000</v>
      </c>
      <c r="H1129" s="52">
        <v>1500</v>
      </c>
      <c r="I1129" s="52">
        <v>5500</v>
      </c>
      <c r="J1129" s="51">
        <v>1</v>
      </c>
      <c r="K1129" s="54">
        <v>5000</v>
      </c>
      <c r="L1129" s="51">
        <v>0</v>
      </c>
      <c r="M1129" s="54">
        <v>0</v>
      </c>
      <c r="N1129" s="53">
        <f t="shared" si="34"/>
        <v>5000</v>
      </c>
      <c r="O1129" s="53">
        <f t="shared" si="35"/>
        <v>-5000</v>
      </c>
    </row>
    <row r="1130" spans="1:15" x14ac:dyDescent="0.2">
      <c r="A1130" s="51" t="s">
        <v>3567</v>
      </c>
      <c r="B1130" s="51" t="s">
        <v>3568</v>
      </c>
      <c r="C1130" s="51" t="s">
        <v>87</v>
      </c>
      <c r="D1130" s="51" t="s">
        <v>1869</v>
      </c>
      <c r="E1130" s="51" t="s">
        <v>1868</v>
      </c>
      <c r="F1130" s="52">
        <v>33945.037994521197</v>
      </c>
      <c r="G1130" s="52">
        <v>1200</v>
      </c>
      <c r="H1130" s="52">
        <v>1150</v>
      </c>
      <c r="I1130" s="52">
        <v>2350</v>
      </c>
      <c r="J1130" s="51">
        <v>1</v>
      </c>
      <c r="K1130" s="54">
        <v>10000</v>
      </c>
      <c r="L1130" s="51">
        <v>0</v>
      </c>
      <c r="M1130" s="54">
        <v>0</v>
      </c>
      <c r="N1130" s="53">
        <f t="shared" si="34"/>
        <v>10000</v>
      </c>
      <c r="O1130" s="53">
        <f t="shared" si="35"/>
        <v>-10000</v>
      </c>
    </row>
    <row r="1131" spans="1:15" x14ac:dyDescent="0.2">
      <c r="A1131" s="51" t="s">
        <v>3567</v>
      </c>
      <c r="B1131" s="51" t="s">
        <v>3568</v>
      </c>
      <c r="C1131" s="51" t="s">
        <v>3718</v>
      </c>
      <c r="D1131" s="51" t="s">
        <v>4172</v>
      </c>
      <c r="E1131" s="51" t="s">
        <v>4173</v>
      </c>
      <c r="F1131" s="52">
        <v>13.395421708699139</v>
      </c>
      <c r="G1131" s="52">
        <v>0</v>
      </c>
      <c r="H1131" s="52">
        <v>0</v>
      </c>
      <c r="I1131" s="52">
        <v>0</v>
      </c>
      <c r="J1131" s="51">
        <v>0</v>
      </c>
      <c r="K1131" s="54">
        <v>0</v>
      </c>
      <c r="L1131" s="51">
        <v>0</v>
      </c>
      <c r="M1131" s="54">
        <v>0</v>
      </c>
      <c r="N1131" s="53">
        <f t="shared" si="34"/>
        <v>0</v>
      </c>
      <c r="O1131" s="53">
        <f t="shared" si="35"/>
        <v>0</v>
      </c>
    </row>
    <row r="1132" spans="1:15" x14ac:dyDescent="0.2">
      <c r="A1132" s="51" t="s">
        <v>3567</v>
      </c>
      <c r="B1132" s="51" t="s">
        <v>3568</v>
      </c>
      <c r="C1132" s="51" t="s">
        <v>82</v>
      </c>
      <c r="D1132" s="51" t="s">
        <v>1062</v>
      </c>
      <c r="E1132" s="51" t="s">
        <v>1061</v>
      </c>
      <c r="F1132" s="52">
        <v>6149.1709499999997</v>
      </c>
      <c r="G1132" s="52">
        <v>0</v>
      </c>
      <c r="H1132" s="52">
        <v>0</v>
      </c>
      <c r="I1132" s="52">
        <v>0</v>
      </c>
      <c r="J1132" s="51">
        <v>1</v>
      </c>
      <c r="K1132" s="54">
        <v>6000</v>
      </c>
      <c r="L1132" s="51">
        <v>0</v>
      </c>
      <c r="M1132" s="54">
        <v>0</v>
      </c>
      <c r="N1132" s="53">
        <f t="shared" si="34"/>
        <v>6000</v>
      </c>
      <c r="O1132" s="53">
        <f t="shared" si="35"/>
        <v>-6000</v>
      </c>
    </row>
    <row r="1133" spans="1:15" x14ac:dyDescent="0.2">
      <c r="A1133" s="51" t="s">
        <v>3567</v>
      </c>
      <c r="B1133" s="51" t="s">
        <v>3568</v>
      </c>
      <c r="C1133" s="51" t="s">
        <v>82</v>
      </c>
      <c r="D1133" s="51" t="s">
        <v>432</v>
      </c>
      <c r="E1133" s="51" t="s">
        <v>431</v>
      </c>
      <c r="F1133" s="52">
        <v>8484.9003053037886</v>
      </c>
      <c r="G1133" s="52">
        <v>4420</v>
      </c>
      <c r="H1133" s="52">
        <v>6920</v>
      </c>
      <c r="I1133" s="52">
        <v>11340</v>
      </c>
      <c r="J1133" s="51">
        <v>0</v>
      </c>
      <c r="K1133" s="54">
        <v>0</v>
      </c>
      <c r="L1133" s="51">
        <v>1</v>
      </c>
      <c r="M1133" s="54">
        <v>5000</v>
      </c>
      <c r="N1133" s="53">
        <f t="shared" si="34"/>
        <v>-5000</v>
      </c>
      <c r="O1133" s="53">
        <f t="shared" si="35"/>
        <v>5000</v>
      </c>
    </row>
    <row r="1134" spans="1:15" x14ac:dyDescent="0.2">
      <c r="A1134" s="51" t="s">
        <v>3567</v>
      </c>
      <c r="B1134" s="51" t="s">
        <v>3568</v>
      </c>
      <c r="C1134" s="51" t="s">
        <v>63</v>
      </c>
      <c r="D1134" s="51" t="s">
        <v>1816</v>
      </c>
      <c r="E1134" s="51" t="s">
        <v>1815</v>
      </c>
      <c r="F1134" s="52">
        <v>21372.032836307611</v>
      </c>
      <c r="G1134" s="52">
        <v>1200</v>
      </c>
      <c r="H1134" s="52">
        <v>0</v>
      </c>
      <c r="I1134" s="52">
        <v>1200</v>
      </c>
      <c r="J1134" s="51">
        <v>1</v>
      </c>
      <c r="K1134" s="54">
        <v>6000</v>
      </c>
      <c r="L1134" s="51">
        <v>0</v>
      </c>
      <c r="M1134" s="54">
        <v>0</v>
      </c>
      <c r="N1134" s="53">
        <f t="shared" si="34"/>
        <v>6000</v>
      </c>
      <c r="O1134" s="53">
        <f t="shared" si="35"/>
        <v>-6000</v>
      </c>
    </row>
    <row r="1135" spans="1:15" x14ac:dyDescent="0.2">
      <c r="A1135" s="51" t="s">
        <v>3567</v>
      </c>
      <c r="B1135" s="51" t="s">
        <v>3568</v>
      </c>
      <c r="C1135" s="51" t="s">
        <v>3580</v>
      </c>
      <c r="D1135" s="51" t="s">
        <v>4174</v>
      </c>
      <c r="E1135" s="51" t="s">
        <v>4175</v>
      </c>
      <c r="F1135" s="52">
        <v>36.1261731796371</v>
      </c>
      <c r="G1135" s="52">
        <v>0</v>
      </c>
      <c r="H1135" s="52">
        <v>0</v>
      </c>
      <c r="I1135" s="52">
        <v>0</v>
      </c>
      <c r="J1135" s="51">
        <v>0</v>
      </c>
      <c r="K1135" s="54">
        <v>0</v>
      </c>
      <c r="L1135" s="51">
        <v>0</v>
      </c>
      <c r="M1135" s="54">
        <v>0</v>
      </c>
      <c r="N1135" s="53">
        <f t="shared" si="34"/>
        <v>0</v>
      </c>
      <c r="O1135" s="53">
        <f t="shared" si="35"/>
        <v>0</v>
      </c>
    </row>
    <row r="1136" spans="1:15" x14ac:dyDescent="0.2">
      <c r="A1136" s="51" t="s">
        <v>3567</v>
      </c>
      <c r="B1136" s="51" t="s">
        <v>3568</v>
      </c>
      <c r="C1136" s="51" t="s">
        <v>87</v>
      </c>
      <c r="D1136" s="51" t="s">
        <v>1026</v>
      </c>
      <c r="E1136" s="51" t="s">
        <v>1025</v>
      </c>
      <c r="F1136" s="52">
        <v>2042.8341</v>
      </c>
      <c r="G1136" s="52">
        <v>5265</v>
      </c>
      <c r="H1136" s="52">
        <v>50</v>
      </c>
      <c r="I1136" s="52">
        <v>5315</v>
      </c>
      <c r="J1136" s="51">
        <v>1</v>
      </c>
      <c r="K1136" s="54">
        <v>5000</v>
      </c>
      <c r="L1136" s="51">
        <v>0</v>
      </c>
      <c r="M1136" s="54">
        <v>0</v>
      </c>
      <c r="N1136" s="53">
        <f t="shared" si="34"/>
        <v>5000</v>
      </c>
      <c r="O1136" s="53">
        <f t="shared" si="35"/>
        <v>-5000</v>
      </c>
    </row>
    <row r="1137" spans="1:15" x14ac:dyDescent="0.2">
      <c r="A1137" s="51" t="s">
        <v>3567</v>
      </c>
      <c r="B1137" s="51" t="s">
        <v>3568</v>
      </c>
      <c r="C1137" s="51" t="s">
        <v>55</v>
      </c>
      <c r="D1137" s="51" t="s">
        <v>4200</v>
      </c>
      <c r="E1137" s="51" t="s">
        <v>4201</v>
      </c>
      <c r="F1137" s="52">
        <v>1.8385</v>
      </c>
      <c r="G1137" s="52">
        <v>0</v>
      </c>
      <c r="H1137" s="52">
        <v>0</v>
      </c>
      <c r="I1137" s="52">
        <v>0</v>
      </c>
      <c r="J1137" s="51">
        <v>0</v>
      </c>
      <c r="K1137" s="54">
        <v>0</v>
      </c>
      <c r="L1137" s="51">
        <v>0</v>
      </c>
      <c r="M1137" s="54">
        <v>0</v>
      </c>
      <c r="N1137" s="53">
        <f t="shared" si="34"/>
        <v>0</v>
      </c>
      <c r="O1137" s="53">
        <f t="shared" si="35"/>
        <v>0</v>
      </c>
    </row>
    <row r="1138" spans="1:15" x14ac:dyDescent="0.2">
      <c r="A1138" s="51" t="s">
        <v>3567</v>
      </c>
      <c r="B1138" s="51" t="s">
        <v>3568</v>
      </c>
      <c r="C1138" s="51" t="s">
        <v>75</v>
      </c>
      <c r="D1138" s="51" t="s">
        <v>833</v>
      </c>
      <c r="E1138" s="51" t="s">
        <v>832</v>
      </c>
      <c r="F1138" s="52">
        <v>166.16794999999999</v>
      </c>
      <c r="G1138" s="52">
        <v>0</v>
      </c>
      <c r="H1138" s="52">
        <v>0</v>
      </c>
      <c r="I1138" s="52">
        <v>0</v>
      </c>
      <c r="J1138" s="51">
        <v>0</v>
      </c>
      <c r="K1138" s="54">
        <v>0</v>
      </c>
      <c r="L1138" s="51">
        <v>0</v>
      </c>
      <c r="M1138" s="54">
        <v>0</v>
      </c>
      <c r="N1138" s="53">
        <f t="shared" si="34"/>
        <v>0</v>
      </c>
      <c r="O1138" s="53">
        <f t="shared" si="35"/>
        <v>0</v>
      </c>
    </row>
    <row r="1139" spans="1:15" x14ac:dyDescent="0.2">
      <c r="A1139" s="51" t="s">
        <v>3567</v>
      </c>
      <c r="B1139" s="51" t="s">
        <v>3568</v>
      </c>
      <c r="C1139" s="51" t="s">
        <v>62</v>
      </c>
      <c r="D1139" s="51" t="s">
        <v>460</v>
      </c>
      <c r="E1139" s="51" t="s">
        <v>459</v>
      </c>
      <c r="F1139" s="52">
        <v>13779.151555233389</v>
      </c>
      <c r="G1139" s="52">
        <v>1000</v>
      </c>
      <c r="H1139" s="52">
        <v>7010</v>
      </c>
      <c r="I1139" s="52">
        <v>8010</v>
      </c>
      <c r="J1139" s="51">
        <v>0</v>
      </c>
      <c r="K1139" s="54">
        <v>0</v>
      </c>
      <c r="L1139" s="51">
        <v>1</v>
      </c>
      <c r="M1139" s="54">
        <v>20000</v>
      </c>
      <c r="N1139" s="53">
        <f t="shared" si="34"/>
        <v>-20000</v>
      </c>
      <c r="O1139" s="53">
        <f t="shared" si="35"/>
        <v>20000</v>
      </c>
    </row>
    <row r="1140" spans="1:15" x14ac:dyDescent="0.2">
      <c r="A1140" s="51" t="s">
        <v>3567</v>
      </c>
      <c r="B1140" s="51" t="s">
        <v>3568</v>
      </c>
      <c r="C1140" s="51" t="s">
        <v>3607</v>
      </c>
      <c r="D1140" s="51" t="s">
        <v>4196</v>
      </c>
      <c r="E1140" s="51" t="s">
        <v>4197</v>
      </c>
      <c r="F1140" s="52">
        <v>38.9377365295</v>
      </c>
      <c r="G1140" s="52">
        <v>0</v>
      </c>
      <c r="H1140" s="52">
        <v>0</v>
      </c>
      <c r="I1140" s="52">
        <v>0</v>
      </c>
      <c r="J1140" s="51">
        <v>0</v>
      </c>
      <c r="K1140" s="54">
        <v>0</v>
      </c>
      <c r="L1140" s="51">
        <v>0</v>
      </c>
      <c r="M1140" s="54">
        <v>0</v>
      </c>
      <c r="N1140" s="53">
        <f t="shared" si="34"/>
        <v>0</v>
      </c>
      <c r="O1140" s="53">
        <f t="shared" si="35"/>
        <v>0</v>
      </c>
    </row>
    <row r="1141" spans="1:15" x14ac:dyDescent="0.2">
      <c r="A1141" s="51" t="s">
        <v>3567</v>
      </c>
      <c r="B1141" s="51" t="s">
        <v>3568</v>
      </c>
      <c r="C1141" s="51" t="s">
        <v>92</v>
      </c>
      <c r="D1141" s="51" t="s">
        <v>2556</v>
      </c>
      <c r="E1141" s="51" t="s">
        <v>2555</v>
      </c>
      <c r="F1141" s="52">
        <v>25331.088328317739</v>
      </c>
      <c r="G1141" s="52">
        <v>7320</v>
      </c>
      <c r="H1141" s="52">
        <v>18800</v>
      </c>
      <c r="I1141" s="52">
        <v>26120</v>
      </c>
      <c r="J1141" s="51">
        <v>1</v>
      </c>
      <c r="K1141" s="54">
        <v>5000</v>
      </c>
      <c r="L1141" s="51">
        <v>1</v>
      </c>
      <c r="M1141" s="54">
        <v>30000</v>
      </c>
      <c r="N1141" s="53">
        <f t="shared" si="34"/>
        <v>-25000</v>
      </c>
      <c r="O1141" s="53">
        <f t="shared" si="35"/>
        <v>25000</v>
      </c>
    </row>
    <row r="1142" spans="1:15" x14ac:dyDescent="0.2">
      <c r="A1142" s="51" t="s">
        <v>3567</v>
      </c>
      <c r="B1142" s="51" t="s">
        <v>3568</v>
      </c>
      <c r="C1142" s="51" t="s">
        <v>54</v>
      </c>
      <c r="D1142" s="51" t="s">
        <v>154</v>
      </c>
      <c r="E1142" s="51" t="s">
        <v>153</v>
      </c>
      <c r="F1142" s="52">
        <v>5632.0059000000001</v>
      </c>
      <c r="G1142" s="52">
        <v>0</v>
      </c>
      <c r="H1142" s="52">
        <v>0</v>
      </c>
      <c r="I1142" s="52">
        <v>0</v>
      </c>
      <c r="J1142" s="51">
        <v>1</v>
      </c>
      <c r="K1142" s="54">
        <v>5000</v>
      </c>
      <c r="L1142" s="51">
        <v>0</v>
      </c>
      <c r="M1142" s="54">
        <v>0</v>
      </c>
      <c r="N1142" s="53">
        <f t="shared" si="34"/>
        <v>5000</v>
      </c>
      <c r="O1142" s="53">
        <f t="shared" si="35"/>
        <v>-5000</v>
      </c>
    </row>
    <row r="1143" spans="1:15" x14ac:dyDescent="0.2">
      <c r="A1143" s="51" t="s">
        <v>3567</v>
      </c>
      <c r="B1143" s="51" t="s">
        <v>3568</v>
      </c>
      <c r="C1143" s="51" t="s">
        <v>3610</v>
      </c>
      <c r="D1143" s="51" t="s">
        <v>4121</v>
      </c>
      <c r="E1143" s="51" t="s">
        <v>4122</v>
      </c>
      <c r="F1143" s="52">
        <v>4.3751500192000004</v>
      </c>
      <c r="G1143" s="52">
        <v>0</v>
      </c>
      <c r="H1143" s="52">
        <v>0</v>
      </c>
      <c r="I1143" s="52">
        <v>0</v>
      </c>
      <c r="J1143" s="51">
        <v>0</v>
      </c>
      <c r="K1143" s="54">
        <v>0</v>
      </c>
      <c r="L1143" s="51">
        <v>0</v>
      </c>
      <c r="M1143" s="54">
        <v>0</v>
      </c>
      <c r="N1143" s="53">
        <f t="shared" si="34"/>
        <v>0</v>
      </c>
      <c r="O1143" s="53">
        <f t="shared" si="35"/>
        <v>0</v>
      </c>
    </row>
    <row r="1144" spans="1:15" x14ac:dyDescent="0.2">
      <c r="A1144" s="51" t="s">
        <v>3567</v>
      </c>
      <c r="B1144" s="51" t="s">
        <v>3568</v>
      </c>
      <c r="C1144" s="51" t="s">
        <v>52</v>
      </c>
      <c r="D1144" s="51" t="s">
        <v>660</v>
      </c>
      <c r="E1144" s="51" t="s">
        <v>659</v>
      </c>
      <c r="F1144" s="52">
        <v>47047.697739655443</v>
      </c>
      <c r="G1144" s="52">
        <v>1000</v>
      </c>
      <c r="H1144" s="52">
        <v>0</v>
      </c>
      <c r="I1144" s="52">
        <v>1000</v>
      </c>
      <c r="J1144" s="51">
        <v>1</v>
      </c>
      <c r="K1144" s="54">
        <v>5000</v>
      </c>
      <c r="L1144" s="51">
        <v>1</v>
      </c>
      <c r="M1144" s="54">
        <v>15000</v>
      </c>
      <c r="N1144" s="53">
        <f t="shared" si="34"/>
        <v>-10000</v>
      </c>
      <c r="O1144" s="53">
        <f t="shared" si="35"/>
        <v>10000</v>
      </c>
    </row>
    <row r="1145" spans="1:15" x14ac:dyDescent="0.2">
      <c r="A1145" s="51" t="s">
        <v>3567</v>
      </c>
      <c r="B1145" s="51" t="s">
        <v>3568</v>
      </c>
      <c r="C1145" s="51" t="s">
        <v>70</v>
      </c>
      <c r="D1145" s="51" t="s">
        <v>2433</v>
      </c>
      <c r="E1145" s="51" t="s">
        <v>2432</v>
      </c>
      <c r="F1145" s="52">
        <v>8115.1128000070003</v>
      </c>
      <c r="G1145" s="52">
        <v>3000</v>
      </c>
      <c r="H1145" s="52">
        <v>0</v>
      </c>
      <c r="I1145" s="52">
        <v>3000</v>
      </c>
      <c r="J1145" s="51">
        <v>1</v>
      </c>
      <c r="K1145" s="54">
        <v>5000</v>
      </c>
      <c r="L1145" s="51">
        <v>0</v>
      </c>
      <c r="M1145" s="54">
        <v>0</v>
      </c>
      <c r="N1145" s="53">
        <f t="shared" si="34"/>
        <v>5000</v>
      </c>
      <c r="O1145" s="53">
        <f t="shared" si="35"/>
        <v>-5000</v>
      </c>
    </row>
    <row r="1146" spans="1:15" x14ac:dyDescent="0.2">
      <c r="A1146" s="51" t="s">
        <v>3567</v>
      </c>
      <c r="B1146" s="51" t="s">
        <v>3568</v>
      </c>
      <c r="C1146" s="51" t="s">
        <v>3650</v>
      </c>
      <c r="D1146" s="51" t="s">
        <v>4176</v>
      </c>
      <c r="E1146" s="51" t="s">
        <v>4177</v>
      </c>
      <c r="F1146" s="52">
        <v>2.0347665216999999</v>
      </c>
      <c r="G1146" s="52">
        <v>0</v>
      </c>
      <c r="H1146" s="52">
        <v>0</v>
      </c>
      <c r="I1146" s="52">
        <v>0</v>
      </c>
      <c r="J1146" s="51">
        <v>0</v>
      </c>
      <c r="K1146" s="54">
        <v>0</v>
      </c>
      <c r="L1146" s="51">
        <v>0</v>
      </c>
      <c r="M1146" s="54">
        <v>0</v>
      </c>
      <c r="N1146" s="53">
        <f t="shared" si="34"/>
        <v>0</v>
      </c>
      <c r="O1146" s="53">
        <f t="shared" si="35"/>
        <v>0</v>
      </c>
    </row>
    <row r="1147" spans="1:15" x14ac:dyDescent="0.2">
      <c r="A1147" s="51" t="s">
        <v>3567</v>
      </c>
      <c r="B1147" s="51" t="s">
        <v>3568</v>
      </c>
      <c r="C1147" s="51" t="s">
        <v>74</v>
      </c>
      <c r="D1147" s="51" t="s">
        <v>1640</v>
      </c>
      <c r="E1147" s="51" t="s">
        <v>1639</v>
      </c>
      <c r="F1147" s="52">
        <v>10253.8992</v>
      </c>
      <c r="G1147" s="52">
        <v>555</v>
      </c>
      <c r="H1147" s="52">
        <v>1045</v>
      </c>
      <c r="I1147" s="52">
        <v>1600</v>
      </c>
      <c r="J1147" s="51">
        <v>1</v>
      </c>
      <c r="K1147" s="54">
        <v>5000</v>
      </c>
      <c r="L1147" s="51">
        <v>0</v>
      </c>
      <c r="M1147" s="54">
        <v>0</v>
      </c>
      <c r="N1147" s="53">
        <f t="shared" si="34"/>
        <v>5000</v>
      </c>
      <c r="O1147" s="53">
        <f t="shared" si="35"/>
        <v>-5000</v>
      </c>
    </row>
    <row r="1148" spans="1:15" x14ac:dyDescent="0.2">
      <c r="A1148" s="51" t="s">
        <v>3567</v>
      </c>
      <c r="B1148" s="51" t="s">
        <v>3568</v>
      </c>
      <c r="C1148" s="51" t="s">
        <v>54</v>
      </c>
      <c r="D1148" s="51" t="s">
        <v>942</v>
      </c>
      <c r="E1148" s="51" t="s">
        <v>941</v>
      </c>
      <c r="F1148" s="52">
        <v>4578.7625626114168</v>
      </c>
      <c r="G1148" s="52">
        <v>1000</v>
      </c>
      <c r="H1148" s="52">
        <v>2220</v>
      </c>
      <c r="I1148" s="52">
        <v>3220</v>
      </c>
      <c r="J1148" s="51">
        <v>0</v>
      </c>
      <c r="K1148" s="54">
        <v>0</v>
      </c>
      <c r="L1148" s="51">
        <v>0</v>
      </c>
      <c r="M1148" s="54">
        <v>0</v>
      </c>
      <c r="N1148" s="53">
        <f t="shared" si="34"/>
        <v>0</v>
      </c>
      <c r="O1148" s="53">
        <f t="shared" si="35"/>
        <v>0</v>
      </c>
    </row>
    <row r="1149" spans="1:15" x14ac:dyDescent="0.2">
      <c r="A1149" s="51" t="s">
        <v>3567</v>
      </c>
      <c r="B1149" s="51" t="s">
        <v>3568</v>
      </c>
      <c r="C1149" s="51" t="s">
        <v>86</v>
      </c>
      <c r="D1149" s="51" t="s">
        <v>1028</v>
      </c>
      <c r="E1149" s="51" t="s">
        <v>1027</v>
      </c>
      <c r="F1149" s="52">
        <v>3472.2662999999998</v>
      </c>
      <c r="G1149" s="52">
        <v>100</v>
      </c>
      <c r="H1149" s="52">
        <v>0</v>
      </c>
      <c r="I1149" s="52">
        <v>100</v>
      </c>
      <c r="J1149" s="51">
        <v>0</v>
      </c>
      <c r="K1149" s="54">
        <v>0</v>
      </c>
      <c r="L1149" s="51">
        <v>1</v>
      </c>
      <c r="M1149" s="54">
        <v>6000</v>
      </c>
      <c r="N1149" s="53">
        <f t="shared" si="34"/>
        <v>-6000</v>
      </c>
      <c r="O1149" s="53">
        <f t="shared" si="35"/>
        <v>6000</v>
      </c>
    </row>
    <row r="1150" spans="1:15" x14ac:dyDescent="0.2">
      <c r="A1150" s="51" t="s">
        <v>3567</v>
      </c>
      <c r="B1150" s="51" t="s">
        <v>3568</v>
      </c>
      <c r="C1150" s="51" t="s">
        <v>63</v>
      </c>
      <c r="D1150" s="51" t="s">
        <v>4188</v>
      </c>
      <c r="E1150" s="51" t="s">
        <v>4189</v>
      </c>
      <c r="F1150" s="52">
        <v>54.606493180536923</v>
      </c>
      <c r="G1150" s="52">
        <v>0</v>
      </c>
      <c r="H1150" s="52">
        <v>0</v>
      </c>
      <c r="I1150" s="52">
        <v>0</v>
      </c>
      <c r="J1150" s="51">
        <v>0</v>
      </c>
      <c r="K1150" s="54">
        <v>0</v>
      </c>
      <c r="L1150" s="51">
        <v>0</v>
      </c>
      <c r="M1150" s="54">
        <v>0</v>
      </c>
      <c r="N1150" s="53">
        <f t="shared" si="34"/>
        <v>0</v>
      </c>
      <c r="O1150" s="53">
        <f t="shared" si="35"/>
        <v>0</v>
      </c>
    </row>
    <row r="1151" spans="1:15" x14ac:dyDescent="0.2">
      <c r="A1151" s="51" t="s">
        <v>3567</v>
      </c>
      <c r="B1151" s="51" t="s">
        <v>3568</v>
      </c>
      <c r="C1151" s="51" t="s">
        <v>3630</v>
      </c>
      <c r="D1151" s="51" t="s">
        <v>4143</v>
      </c>
      <c r="E1151" s="51" t="s">
        <v>4144</v>
      </c>
      <c r="F1151" s="52">
        <v>3.6048000027999998</v>
      </c>
      <c r="G1151" s="52">
        <v>0</v>
      </c>
      <c r="H1151" s="52">
        <v>0</v>
      </c>
      <c r="I1151" s="52">
        <v>0</v>
      </c>
      <c r="J1151" s="51">
        <v>0</v>
      </c>
      <c r="K1151" s="54">
        <v>0</v>
      </c>
      <c r="L1151" s="51">
        <v>0</v>
      </c>
      <c r="M1151" s="54">
        <v>0</v>
      </c>
      <c r="N1151" s="53">
        <f t="shared" si="34"/>
        <v>0</v>
      </c>
      <c r="O1151" s="53">
        <f t="shared" si="35"/>
        <v>0</v>
      </c>
    </row>
    <row r="1152" spans="1:15" x14ac:dyDescent="0.2">
      <c r="A1152" s="51" t="s">
        <v>3567</v>
      </c>
      <c r="B1152" s="51" t="s">
        <v>3568</v>
      </c>
      <c r="C1152" s="51" t="s">
        <v>66</v>
      </c>
      <c r="D1152" s="51" t="s">
        <v>1581</v>
      </c>
      <c r="E1152" s="51" t="s">
        <v>1580</v>
      </c>
      <c r="F1152" s="52">
        <v>142.43510143419459</v>
      </c>
      <c r="G1152" s="52">
        <v>11400</v>
      </c>
      <c r="H1152" s="52">
        <v>16320</v>
      </c>
      <c r="I1152" s="52">
        <v>27720</v>
      </c>
      <c r="J1152" s="51">
        <v>1</v>
      </c>
      <c r="K1152" s="54">
        <v>5000</v>
      </c>
      <c r="L1152" s="51">
        <v>2</v>
      </c>
      <c r="M1152" s="54">
        <v>20000</v>
      </c>
      <c r="N1152" s="53">
        <f t="shared" si="34"/>
        <v>-15000</v>
      </c>
      <c r="O1152" s="53">
        <f t="shared" si="35"/>
        <v>15000</v>
      </c>
    </row>
    <row r="1153" spans="1:15" x14ac:dyDescent="0.2">
      <c r="A1153" s="51" t="s">
        <v>3567</v>
      </c>
      <c r="B1153" s="51" t="s">
        <v>3568</v>
      </c>
      <c r="C1153" s="51" t="s">
        <v>61</v>
      </c>
      <c r="D1153" s="51" t="s">
        <v>2988</v>
      </c>
      <c r="E1153" s="51" t="s">
        <v>2987</v>
      </c>
      <c r="F1153" s="52">
        <v>5086.0043042386442</v>
      </c>
      <c r="G1153" s="52">
        <v>0</v>
      </c>
      <c r="H1153" s="52">
        <v>0</v>
      </c>
      <c r="I1153" s="52">
        <v>0</v>
      </c>
      <c r="J1153" s="51">
        <v>1</v>
      </c>
      <c r="K1153" s="54">
        <v>5000</v>
      </c>
      <c r="L1153" s="51">
        <v>0</v>
      </c>
      <c r="M1153" s="54">
        <v>0</v>
      </c>
      <c r="N1153" s="53">
        <f t="shared" si="34"/>
        <v>5000</v>
      </c>
      <c r="O1153" s="53">
        <f t="shared" si="35"/>
        <v>-5000</v>
      </c>
    </row>
    <row r="1154" spans="1:15" x14ac:dyDescent="0.2">
      <c r="A1154" s="51" t="s">
        <v>3567</v>
      </c>
      <c r="B1154" s="51" t="s">
        <v>3568</v>
      </c>
      <c r="C1154" s="51" t="s">
        <v>76</v>
      </c>
      <c r="D1154" s="51" t="s">
        <v>2953</v>
      </c>
      <c r="E1154" s="51" t="s">
        <v>881</v>
      </c>
      <c r="F1154" s="52">
        <v>4631.1225000000004</v>
      </c>
      <c r="G1154" s="52">
        <v>8075</v>
      </c>
      <c r="H1154" s="52">
        <v>8300</v>
      </c>
      <c r="I1154" s="52">
        <v>16375</v>
      </c>
      <c r="J1154" s="51">
        <v>1</v>
      </c>
      <c r="K1154" s="54">
        <v>5000</v>
      </c>
      <c r="L1154" s="51">
        <v>0</v>
      </c>
      <c r="M1154" s="54">
        <v>0</v>
      </c>
      <c r="N1154" s="53">
        <f t="shared" si="34"/>
        <v>5000</v>
      </c>
      <c r="O1154" s="53">
        <f t="shared" si="35"/>
        <v>-5000</v>
      </c>
    </row>
    <row r="1155" spans="1:15" x14ac:dyDescent="0.2">
      <c r="A1155" s="51" t="s">
        <v>3567</v>
      </c>
      <c r="B1155" s="51" t="s">
        <v>3568</v>
      </c>
      <c r="C1155" s="51" t="s">
        <v>3580</v>
      </c>
      <c r="D1155" s="51" t="s">
        <v>4162</v>
      </c>
      <c r="E1155" s="51" t="s">
        <v>4163</v>
      </c>
      <c r="F1155" s="52">
        <v>7.2800000000000004E-2</v>
      </c>
      <c r="G1155" s="52">
        <v>0</v>
      </c>
      <c r="H1155" s="52">
        <v>0</v>
      </c>
      <c r="I1155" s="52">
        <v>0</v>
      </c>
      <c r="J1155" s="51">
        <v>0</v>
      </c>
      <c r="K1155" s="54">
        <v>0</v>
      </c>
      <c r="L1155" s="51">
        <v>0</v>
      </c>
      <c r="M1155" s="54">
        <v>0</v>
      </c>
      <c r="N1155" s="53">
        <f t="shared" ref="N1155:N1218" si="36">K1155-M1155</f>
        <v>0</v>
      </c>
      <c r="O1155" s="53">
        <f t="shared" ref="O1155:O1218" si="37">M1155-K1155</f>
        <v>0</v>
      </c>
    </row>
    <row r="1156" spans="1:15" x14ac:dyDescent="0.2">
      <c r="A1156" s="51" t="s">
        <v>3567</v>
      </c>
      <c r="B1156" s="51" t="s">
        <v>3568</v>
      </c>
      <c r="C1156" s="51" t="s">
        <v>85</v>
      </c>
      <c r="D1156" s="51" t="s">
        <v>1999</v>
      </c>
      <c r="E1156" s="51" t="s">
        <v>1998</v>
      </c>
      <c r="F1156" s="52">
        <v>1010.2039720017</v>
      </c>
      <c r="G1156" s="52">
        <v>600</v>
      </c>
      <c r="H1156" s="52">
        <v>0</v>
      </c>
      <c r="I1156" s="52">
        <v>600</v>
      </c>
      <c r="J1156" s="51">
        <v>0</v>
      </c>
      <c r="K1156" s="54">
        <v>0</v>
      </c>
      <c r="L1156" s="51">
        <v>1</v>
      </c>
      <c r="M1156" s="54">
        <v>9000</v>
      </c>
      <c r="N1156" s="53">
        <f t="shared" si="36"/>
        <v>-9000</v>
      </c>
      <c r="O1156" s="53">
        <f t="shared" si="37"/>
        <v>9000</v>
      </c>
    </row>
    <row r="1157" spans="1:15" x14ac:dyDescent="0.2">
      <c r="A1157" s="51" t="s">
        <v>3567</v>
      </c>
      <c r="B1157" s="51" t="s">
        <v>3568</v>
      </c>
      <c r="C1157" s="51" t="s">
        <v>60</v>
      </c>
      <c r="D1157" s="51" t="s">
        <v>847</v>
      </c>
      <c r="E1157" s="51" t="s">
        <v>846</v>
      </c>
      <c r="F1157" s="52">
        <v>11631.7449000044</v>
      </c>
      <c r="G1157" s="52">
        <v>485</v>
      </c>
      <c r="H1157" s="52">
        <v>4595</v>
      </c>
      <c r="I1157" s="52">
        <v>5080</v>
      </c>
      <c r="J1157" s="51">
        <v>0</v>
      </c>
      <c r="K1157" s="54">
        <v>0</v>
      </c>
      <c r="L1157" s="51">
        <v>1</v>
      </c>
      <c r="M1157" s="54">
        <v>6000</v>
      </c>
      <c r="N1157" s="53">
        <f t="shared" si="36"/>
        <v>-6000</v>
      </c>
      <c r="O1157" s="53">
        <f t="shared" si="37"/>
        <v>6000</v>
      </c>
    </row>
    <row r="1158" spans="1:15" x14ac:dyDescent="0.2">
      <c r="A1158" s="51" t="s">
        <v>3567</v>
      </c>
      <c r="B1158" s="51" t="s">
        <v>3568</v>
      </c>
      <c r="C1158" s="51" t="s">
        <v>83</v>
      </c>
      <c r="D1158" s="51" t="s">
        <v>918</v>
      </c>
      <c r="E1158" s="51" t="s">
        <v>917</v>
      </c>
      <c r="F1158" s="52">
        <v>2277.3326511051291</v>
      </c>
      <c r="G1158" s="52">
        <v>1015</v>
      </c>
      <c r="H1158" s="52">
        <v>510</v>
      </c>
      <c r="I1158" s="52">
        <v>1525</v>
      </c>
      <c r="J1158" s="51">
        <v>0</v>
      </c>
      <c r="K1158" s="54">
        <v>0</v>
      </c>
      <c r="L1158" s="51">
        <v>1</v>
      </c>
      <c r="M1158" s="54">
        <v>5000</v>
      </c>
      <c r="N1158" s="53">
        <f t="shared" si="36"/>
        <v>-5000</v>
      </c>
      <c r="O1158" s="53">
        <f t="shared" si="37"/>
        <v>5000</v>
      </c>
    </row>
    <row r="1159" spans="1:15" x14ac:dyDescent="0.2">
      <c r="A1159" s="51" t="s">
        <v>3567</v>
      </c>
      <c r="B1159" s="51" t="s">
        <v>3568</v>
      </c>
      <c r="C1159" s="51" t="s">
        <v>3630</v>
      </c>
      <c r="D1159" s="51" t="s">
        <v>4194</v>
      </c>
      <c r="E1159" s="51" t="s">
        <v>4195</v>
      </c>
      <c r="F1159" s="52">
        <v>0.38060409383984339</v>
      </c>
      <c r="G1159" s="52">
        <v>0</v>
      </c>
      <c r="H1159" s="52">
        <v>0</v>
      </c>
      <c r="I1159" s="52">
        <v>0</v>
      </c>
      <c r="J1159" s="51">
        <v>0</v>
      </c>
      <c r="K1159" s="54">
        <v>0</v>
      </c>
      <c r="L1159" s="51">
        <v>0</v>
      </c>
      <c r="M1159" s="54">
        <v>0</v>
      </c>
      <c r="N1159" s="53">
        <f t="shared" si="36"/>
        <v>0</v>
      </c>
      <c r="O1159" s="53">
        <f t="shared" si="37"/>
        <v>0</v>
      </c>
    </row>
    <row r="1160" spans="1:15" x14ac:dyDescent="0.2">
      <c r="A1160" s="51" t="s">
        <v>3567</v>
      </c>
      <c r="B1160" s="51" t="s">
        <v>3568</v>
      </c>
      <c r="C1160" s="51" t="s">
        <v>80</v>
      </c>
      <c r="D1160" s="51" t="s">
        <v>2852</v>
      </c>
      <c r="E1160" s="51" t="s">
        <v>2851</v>
      </c>
      <c r="F1160" s="52">
        <v>10987.8628755187</v>
      </c>
      <c r="G1160" s="52">
        <v>3300</v>
      </c>
      <c r="H1160" s="52">
        <v>100</v>
      </c>
      <c r="I1160" s="52">
        <v>3400</v>
      </c>
      <c r="J1160" s="51">
        <v>1</v>
      </c>
      <c r="K1160" s="54">
        <v>5000</v>
      </c>
      <c r="L1160" s="51">
        <v>0</v>
      </c>
      <c r="M1160" s="54">
        <v>0</v>
      </c>
      <c r="N1160" s="53">
        <f t="shared" si="36"/>
        <v>5000</v>
      </c>
      <c r="O1160" s="53">
        <f t="shared" si="37"/>
        <v>-5000</v>
      </c>
    </row>
    <row r="1161" spans="1:15" x14ac:dyDescent="0.2">
      <c r="A1161" s="51" t="s">
        <v>3567</v>
      </c>
      <c r="B1161" s="51" t="s">
        <v>3568</v>
      </c>
      <c r="C1161" s="51" t="s">
        <v>87</v>
      </c>
      <c r="D1161" s="51" t="s">
        <v>831</v>
      </c>
      <c r="E1161" s="51" t="s">
        <v>830</v>
      </c>
      <c r="F1161" s="52">
        <v>3202.3494942060729</v>
      </c>
      <c r="G1161" s="52">
        <v>2500</v>
      </c>
      <c r="H1161" s="52">
        <v>140</v>
      </c>
      <c r="I1161" s="52">
        <v>2640</v>
      </c>
      <c r="J1161" s="51">
        <v>1</v>
      </c>
      <c r="K1161" s="54">
        <v>5000</v>
      </c>
      <c r="L1161" s="51">
        <v>0</v>
      </c>
      <c r="M1161" s="54">
        <v>0</v>
      </c>
      <c r="N1161" s="53">
        <f t="shared" si="36"/>
        <v>5000</v>
      </c>
      <c r="O1161" s="53">
        <f t="shared" si="37"/>
        <v>-5000</v>
      </c>
    </row>
    <row r="1162" spans="1:15" x14ac:dyDescent="0.2">
      <c r="A1162" s="51" t="s">
        <v>3567</v>
      </c>
      <c r="B1162" s="51" t="s">
        <v>3568</v>
      </c>
      <c r="C1162" s="51" t="s">
        <v>81</v>
      </c>
      <c r="D1162" s="51" t="s">
        <v>4190</v>
      </c>
      <c r="E1162" s="51" t="s">
        <v>4191</v>
      </c>
      <c r="F1162" s="52">
        <v>12.757440000000001</v>
      </c>
      <c r="G1162" s="52">
        <v>0</v>
      </c>
      <c r="H1162" s="52">
        <v>0</v>
      </c>
      <c r="I1162" s="52">
        <v>0</v>
      </c>
      <c r="J1162" s="51">
        <v>0</v>
      </c>
      <c r="K1162" s="54">
        <v>0</v>
      </c>
      <c r="L1162" s="51">
        <v>0</v>
      </c>
      <c r="M1162" s="54">
        <v>0</v>
      </c>
      <c r="N1162" s="53">
        <f t="shared" si="36"/>
        <v>0</v>
      </c>
      <c r="O1162" s="53">
        <f t="shared" si="37"/>
        <v>0</v>
      </c>
    </row>
    <row r="1163" spans="1:15" x14ac:dyDescent="0.2">
      <c r="A1163" s="51" t="s">
        <v>3567</v>
      </c>
      <c r="B1163" s="51" t="s">
        <v>3568</v>
      </c>
      <c r="C1163" s="51" t="s">
        <v>93</v>
      </c>
      <c r="D1163" s="51" t="s">
        <v>1622</v>
      </c>
      <c r="E1163" s="51" t="s">
        <v>1621</v>
      </c>
      <c r="F1163" s="52">
        <v>39.3536</v>
      </c>
      <c r="G1163" s="52">
        <v>6450</v>
      </c>
      <c r="H1163" s="52">
        <v>0</v>
      </c>
      <c r="I1163" s="52">
        <v>6450</v>
      </c>
      <c r="J1163" s="51">
        <v>1</v>
      </c>
      <c r="K1163" s="54">
        <v>5000</v>
      </c>
      <c r="L1163" s="51">
        <v>0</v>
      </c>
      <c r="M1163" s="54">
        <v>0</v>
      </c>
      <c r="N1163" s="53">
        <f t="shared" si="36"/>
        <v>5000</v>
      </c>
      <c r="O1163" s="53">
        <f t="shared" si="37"/>
        <v>-5000</v>
      </c>
    </row>
    <row r="1164" spans="1:15" x14ac:dyDescent="0.2">
      <c r="A1164" s="51" t="s">
        <v>3567</v>
      </c>
      <c r="B1164" s="51" t="s">
        <v>3568</v>
      </c>
      <c r="C1164" s="51" t="s">
        <v>3653</v>
      </c>
      <c r="D1164" s="51" t="s">
        <v>4180</v>
      </c>
      <c r="E1164" s="51" t="s">
        <v>1736</v>
      </c>
      <c r="F1164" s="52">
        <v>12.898</v>
      </c>
      <c r="G1164" s="52">
        <v>0</v>
      </c>
      <c r="H1164" s="52">
        <v>0</v>
      </c>
      <c r="I1164" s="52">
        <v>0</v>
      </c>
      <c r="J1164" s="51">
        <v>0</v>
      </c>
      <c r="K1164" s="54">
        <v>0</v>
      </c>
      <c r="L1164" s="51">
        <v>0</v>
      </c>
      <c r="M1164" s="54">
        <v>0</v>
      </c>
      <c r="N1164" s="53">
        <f t="shared" si="36"/>
        <v>0</v>
      </c>
      <c r="O1164" s="53">
        <f t="shared" si="37"/>
        <v>0</v>
      </c>
    </row>
    <row r="1165" spans="1:15" x14ac:dyDescent="0.2">
      <c r="A1165" s="51" t="s">
        <v>3567</v>
      </c>
      <c r="B1165" s="51" t="s">
        <v>3568</v>
      </c>
      <c r="C1165" s="51" t="s">
        <v>60</v>
      </c>
      <c r="D1165" s="51" t="s">
        <v>3162</v>
      </c>
      <c r="E1165" s="51" t="s">
        <v>3161</v>
      </c>
      <c r="F1165" s="52">
        <v>12602.1324</v>
      </c>
      <c r="G1165" s="52">
        <v>2000</v>
      </c>
      <c r="H1165" s="52">
        <v>0</v>
      </c>
      <c r="I1165" s="52">
        <v>2000</v>
      </c>
      <c r="J1165" s="51">
        <v>1</v>
      </c>
      <c r="K1165" s="54">
        <v>6000</v>
      </c>
      <c r="L1165" s="51">
        <v>0</v>
      </c>
      <c r="M1165" s="54">
        <v>0</v>
      </c>
      <c r="N1165" s="53">
        <f t="shared" si="36"/>
        <v>6000</v>
      </c>
      <c r="O1165" s="53">
        <f t="shared" si="37"/>
        <v>-6000</v>
      </c>
    </row>
    <row r="1166" spans="1:15" x14ac:dyDescent="0.2">
      <c r="A1166" s="51" t="s">
        <v>3567</v>
      </c>
      <c r="B1166" s="51" t="s">
        <v>3568</v>
      </c>
      <c r="C1166" s="51" t="s">
        <v>76</v>
      </c>
      <c r="D1166" s="51" t="s">
        <v>3237</v>
      </c>
      <c r="E1166" s="51" t="s">
        <v>3236</v>
      </c>
      <c r="F1166" s="52">
        <v>8940.2620110000007</v>
      </c>
      <c r="G1166" s="52">
        <v>7605</v>
      </c>
      <c r="H1166" s="52">
        <v>10235</v>
      </c>
      <c r="I1166" s="52">
        <v>17840</v>
      </c>
      <c r="J1166" s="51">
        <v>1</v>
      </c>
      <c r="K1166" s="54">
        <v>5000</v>
      </c>
      <c r="L1166" s="51">
        <v>2</v>
      </c>
      <c r="M1166" s="54">
        <v>12000</v>
      </c>
      <c r="N1166" s="53">
        <f t="shared" si="36"/>
        <v>-7000</v>
      </c>
      <c r="O1166" s="53">
        <f t="shared" si="37"/>
        <v>7000</v>
      </c>
    </row>
    <row r="1167" spans="1:15" x14ac:dyDescent="0.2">
      <c r="A1167" s="51" t="s">
        <v>3567</v>
      </c>
      <c r="B1167" s="51" t="s">
        <v>3568</v>
      </c>
      <c r="C1167" s="51" t="s">
        <v>54</v>
      </c>
      <c r="D1167" s="51" t="s">
        <v>3473</v>
      </c>
      <c r="E1167" s="51" t="s">
        <v>3472</v>
      </c>
      <c r="F1167" s="52">
        <v>6514.2798140463747</v>
      </c>
      <c r="G1167" s="52">
        <v>0</v>
      </c>
      <c r="H1167" s="52">
        <v>0</v>
      </c>
      <c r="I1167" s="52">
        <v>0</v>
      </c>
      <c r="J1167" s="51">
        <v>0</v>
      </c>
      <c r="K1167" s="54">
        <v>0</v>
      </c>
      <c r="L1167" s="51">
        <v>0</v>
      </c>
      <c r="M1167" s="54">
        <v>0</v>
      </c>
      <c r="N1167" s="53">
        <f t="shared" si="36"/>
        <v>0</v>
      </c>
      <c r="O1167" s="53">
        <f t="shared" si="37"/>
        <v>0</v>
      </c>
    </row>
    <row r="1168" spans="1:15" x14ac:dyDescent="0.2">
      <c r="A1168" s="51" t="s">
        <v>3567</v>
      </c>
      <c r="B1168" s="51" t="s">
        <v>3568</v>
      </c>
      <c r="C1168" s="51" t="s">
        <v>82</v>
      </c>
      <c r="D1168" s="51" t="s">
        <v>1163</v>
      </c>
      <c r="E1168" s="51" t="s">
        <v>1162</v>
      </c>
      <c r="F1168" s="52">
        <v>1.566329843371294</v>
      </c>
      <c r="G1168" s="52">
        <v>0</v>
      </c>
      <c r="H1168" s="52">
        <v>0</v>
      </c>
      <c r="I1168" s="52">
        <v>0</v>
      </c>
      <c r="J1168" s="51">
        <v>0</v>
      </c>
      <c r="K1168" s="54">
        <v>0</v>
      </c>
      <c r="L1168" s="51">
        <v>0</v>
      </c>
      <c r="M1168" s="54">
        <v>0</v>
      </c>
      <c r="N1168" s="53">
        <f t="shared" si="36"/>
        <v>0</v>
      </c>
      <c r="O1168" s="53">
        <f t="shared" si="37"/>
        <v>0</v>
      </c>
    </row>
    <row r="1169" spans="1:15" x14ac:dyDescent="0.2">
      <c r="A1169" s="51" t="s">
        <v>3567</v>
      </c>
      <c r="B1169" s="51" t="s">
        <v>3568</v>
      </c>
      <c r="C1169" s="51" t="s">
        <v>63</v>
      </c>
      <c r="D1169" s="51" t="s">
        <v>4182</v>
      </c>
      <c r="E1169" s="51" t="s">
        <v>4183</v>
      </c>
      <c r="F1169" s="52">
        <v>19.795791734343741</v>
      </c>
      <c r="G1169" s="52">
        <v>0</v>
      </c>
      <c r="H1169" s="52">
        <v>0</v>
      </c>
      <c r="I1169" s="52">
        <v>0</v>
      </c>
      <c r="J1169" s="51">
        <v>0</v>
      </c>
      <c r="K1169" s="54">
        <v>0</v>
      </c>
      <c r="L1169" s="51">
        <v>0</v>
      </c>
      <c r="M1169" s="54">
        <v>0</v>
      </c>
      <c r="N1169" s="53">
        <f t="shared" si="36"/>
        <v>0</v>
      </c>
      <c r="O1169" s="53">
        <f t="shared" si="37"/>
        <v>0</v>
      </c>
    </row>
    <row r="1170" spans="1:15" x14ac:dyDescent="0.2">
      <c r="A1170" s="51" t="s">
        <v>3567</v>
      </c>
      <c r="B1170" s="51" t="s">
        <v>3568</v>
      </c>
      <c r="C1170" s="51" t="s">
        <v>75</v>
      </c>
      <c r="D1170" s="51" t="s">
        <v>2807</v>
      </c>
      <c r="E1170" s="51" t="s">
        <v>2806</v>
      </c>
      <c r="F1170" s="52">
        <v>16731.364000000001</v>
      </c>
      <c r="G1170" s="52">
        <v>23052</v>
      </c>
      <c r="H1170" s="52">
        <v>9780</v>
      </c>
      <c r="I1170" s="52">
        <v>32832</v>
      </c>
      <c r="J1170" s="51">
        <v>1</v>
      </c>
      <c r="K1170" s="54">
        <v>10000</v>
      </c>
      <c r="L1170" s="51">
        <v>1</v>
      </c>
      <c r="M1170" s="54">
        <v>25000</v>
      </c>
      <c r="N1170" s="53">
        <f t="shared" si="36"/>
        <v>-15000</v>
      </c>
      <c r="O1170" s="53">
        <f t="shared" si="37"/>
        <v>15000</v>
      </c>
    </row>
    <row r="1171" spans="1:15" x14ac:dyDescent="0.2">
      <c r="A1171" s="51" t="s">
        <v>3567</v>
      </c>
      <c r="B1171" s="51" t="s">
        <v>3568</v>
      </c>
      <c r="C1171" s="51" t="s">
        <v>4206</v>
      </c>
      <c r="D1171" s="51" t="s">
        <v>4207</v>
      </c>
      <c r="E1171" s="51" t="s">
        <v>4208</v>
      </c>
      <c r="F1171" s="52">
        <v>6.3539980629426092</v>
      </c>
      <c r="G1171" s="52">
        <v>0</v>
      </c>
      <c r="H1171" s="52">
        <v>0</v>
      </c>
      <c r="I1171" s="52">
        <v>0</v>
      </c>
      <c r="J1171" s="51">
        <v>0</v>
      </c>
      <c r="K1171" s="54">
        <v>0</v>
      </c>
      <c r="L1171" s="51">
        <v>0</v>
      </c>
      <c r="M1171" s="54">
        <v>0</v>
      </c>
      <c r="N1171" s="53">
        <f t="shared" si="36"/>
        <v>0</v>
      </c>
      <c r="O1171" s="53">
        <f t="shared" si="37"/>
        <v>0</v>
      </c>
    </row>
    <row r="1172" spans="1:15" x14ac:dyDescent="0.2">
      <c r="A1172" s="51" t="s">
        <v>3567</v>
      </c>
      <c r="B1172" s="51" t="s">
        <v>3568</v>
      </c>
      <c r="C1172" s="51" t="s">
        <v>62</v>
      </c>
      <c r="D1172" s="51" t="s">
        <v>1492</v>
      </c>
      <c r="E1172" s="51" t="s">
        <v>1491</v>
      </c>
      <c r="F1172" s="52">
        <v>6181.4543000000003</v>
      </c>
      <c r="G1172" s="52">
        <v>250</v>
      </c>
      <c r="H1172" s="52">
        <v>6320</v>
      </c>
      <c r="I1172" s="52">
        <v>6570</v>
      </c>
      <c r="J1172" s="51">
        <v>0</v>
      </c>
      <c r="K1172" s="54">
        <v>0</v>
      </c>
      <c r="L1172" s="51">
        <v>0</v>
      </c>
      <c r="M1172" s="54">
        <v>0</v>
      </c>
      <c r="N1172" s="53">
        <f t="shared" si="36"/>
        <v>0</v>
      </c>
      <c r="O1172" s="53">
        <f t="shared" si="37"/>
        <v>0</v>
      </c>
    </row>
    <row r="1173" spans="1:15" x14ac:dyDescent="0.2">
      <c r="A1173" s="51" t="s">
        <v>3567</v>
      </c>
      <c r="B1173" s="51" t="s">
        <v>3568</v>
      </c>
      <c r="C1173" s="51" t="s">
        <v>3636</v>
      </c>
      <c r="D1173" s="51" t="s">
        <v>4203</v>
      </c>
      <c r="E1173" s="51" t="s">
        <v>3985</v>
      </c>
      <c r="F1173" s="52">
        <v>11.910445921499999</v>
      </c>
      <c r="G1173" s="52">
        <v>0</v>
      </c>
      <c r="H1173" s="52">
        <v>0</v>
      </c>
      <c r="I1173" s="52">
        <v>0</v>
      </c>
      <c r="J1173" s="51">
        <v>0</v>
      </c>
      <c r="K1173" s="54">
        <v>0</v>
      </c>
      <c r="L1173" s="51">
        <v>0</v>
      </c>
      <c r="M1173" s="54">
        <v>0</v>
      </c>
      <c r="N1173" s="53">
        <f t="shared" si="36"/>
        <v>0</v>
      </c>
      <c r="O1173" s="53">
        <f t="shared" si="37"/>
        <v>0</v>
      </c>
    </row>
    <row r="1174" spans="1:15" x14ac:dyDescent="0.2">
      <c r="A1174" s="51" t="s">
        <v>3567</v>
      </c>
      <c r="B1174" s="51" t="s">
        <v>3568</v>
      </c>
      <c r="C1174" s="51" t="s">
        <v>80</v>
      </c>
      <c r="D1174" s="51" t="s">
        <v>4198</v>
      </c>
      <c r="E1174" s="51" t="s">
        <v>4199</v>
      </c>
      <c r="F1174" s="52">
        <v>0.40970000000000001</v>
      </c>
      <c r="G1174" s="52">
        <v>0</v>
      </c>
      <c r="H1174" s="52">
        <v>0</v>
      </c>
      <c r="I1174" s="52">
        <v>0</v>
      </c>
      <c r="J1174" s="51">
        <v>0</v>
      </c>
      <c r="K1174" s="54">
        <v>0</v>
      </c>
      <c r="L1174" s="51">
        <v>0</v>
      </c>
      <c r="M1174" s="54">
        <v>0</v>
      </c>
      <c r="N1174" s="53">
        <f t="shared" si="36"/>
        <v>0</v>
      </c>
      <c r="O1174" s="53">
        <f t="shared" si="37"/>
        <v>0</v>
      </c>
    </row>
    <row r="1175" spans="1:15" x14ac:dyDescent="0.2">
      <c r="A1175" s="51" t="s">
        <v>3567</v>
      </c>
      <c r="B1175" s="51" t="s">
        <v>3568</v>
      </c>
      <c r="C1175" s="51" t="s">
        <v>63</v>
      </c>
      <c r="D1175" s="51" t="s">
        <v>725</v>
      </c>
      <c r="E1175" s="51" t="s">
        <v>724</v>
      </c>
      <c r="F1175" s="52">
        <v>12358.225899999999</v>
      </c>
      <c r="G1175" s="52">
        <v>15330</v>
      </c>
      <c r="H1175" s="52">
        <v>27358</v>
      </c>
      <c r="I1175" s="52">
        <v>42688</v>
      </c>
      <c r="J1175" s="51">
        <v>1</v>
      </c>
      <c r="K1175" s="54">
        <v>5000</v>
      </c>
      <c r="L1175" s="51">
        <v>1</v>
      </c>
      <c r="M1175" s="54">
        <v>10000</v>
      </c>
      <c r="N1175" s="53">
        <f t="shared" si="36"/>
        <v>-5000</v>
      </c>
      <c r="O1175" s="53">
        <f t="shared" si="37"/>
        <v>5000</v>
      </c>
    </row>
    <row r="1176" spans="1:15" x14ac:dyDescent="0.2">
      <c r="A1176" s="51" t="s">
        <v>3567</v>
      </c>
      <c r="B1176" s="51" t="s">
        <v>3568</v>
      </c>
      <c r="C1176" s="51" t="s">
        <v>3876</v>
      </c>
      <c r="D1176" s="51" t="s">
        <v>4252</v>
      </c>
      <c r="E1176" s="51" t="s">
        <v>4253</v>
      </c>
      <c r="F1176" s="52">
        <v>16.492021363681051</v>
      </c>
      <c r="G1176" s="52">
        <v>0</v>
      </c>
      <c r="H1176" s="52">
        <v>0</v>
      </c>
      <c r="I1176" s="52">
        <v>0</v>
      </c>
      <c r="J1176" s="51">
        <v>0</v>
      </c>
      <c r="K1176" s="54">
        <v>0</v>
      </c>
      <c r="L1176" s="51">
        <v>0</v>
      </c>
      <c r="M1176" s="54">
        <v>0</v>
      </c>
      <c r="N1176" s="53">
        <f t="shared" si="36"/>
        <v>0</v>
      </c>
      <c r="O1176" s="53">
        <f t="shared" si="37"/>
        <v>0</v>
      </c>
    </row>
    <row r="1177" spans="1:15" x14ac:dyDescent="0.2">
      <c r="A1177" s="51" t="s">
        <v>3567</v>
      </c>
      <c r="B1177" s="51" t="s">
        <v>3568</v>
      </c>
      <c r="C1177" s="51" t="s">
        <v>3627</v>
      </c>
      <c r="D1177" s="51" t="s">
        <v>4154</v>
      </c>
      <c r="E1177" s="51" t="s">
        <v>4155</v>
      </c>
      <c r="F1177" s="52">
        <v>1.964368347908833</v>
      </c>
      <c r="G1177" s="52">
        <v>0</v>
      </c>
      <c r="H1177" s="52">
        <v>0</v>
      </c>
      <c r="I1177" s="52">
        <v>0</v>
      </c>
      <c r="J1177" s="51">
        <v>0</v>
      </c>
      <c r="K1177" s="54">
        <v>0</v>
      </c>
      <c r="L1177" s="51">
        <v>0</v>
      </c>
      <c r="M1177" s="54">
        <v>0</v>
      </c>
      <c r="N1177" s="53">
        <f t="shared" si="36"/>
        <v>0</v>
      </c>
      <c r="O1177" s="53">
        <f t="shared" si="37"/>
        <v>0</v>
      </c>
    </row>
    <row r="1178" spans="1:15" x14ac:dyDescent="0.2">
      <c r="A1178" s="51" t="s">
        <v>3567</v>
      </c>
      <c r="B1178" s="51" t="s">
        <v>3568</v>
      </c>
      <c r="C1178" s="51" t="s">
        <v>78</v>
      </c>
      <c r="D1178" s="51" t="s">
        <v>2380</v>
      </c>
      <c r="E1178" s="51" t="s">
        <v>2379</v>
      </c>
      <c r="F1178" s="52">
        <v>8750.8802431847762</v>
      </c>
      <c r="G1178" s="52">
        <v>19380</v>
      </c>
      <c r="H1178" s="52">
        <v>52180</v>
      </c>
      <c r="I1178" s="52">
        <v>71560</v>
      </c>
      <c r="J1178" s="51">
        <v>0</v>
      </c>
      <c r="K1178" s="54">
        <v>0</v>
      </c>
      <c r="L1178" s="51">
        <v>1</v>
      </c>
      <c r="M1178" s="54">
        <v>20000</v>
      </c>
      <c r="N1178" s="53">
        <f t="shared" si="36"/>
        <v>-20000</v>
      </c>
      <c r="O1178" s="53">
        <f t="shared" si="37"/>
        <v>20000</v>
      </c>
    </row>
    <row r="1179" spans="1:15" x14ac:dyDescent="0.2">
      <c r="A1179" s="51" t="s">
        <v>3567</v>
      </c>
      <c r="B1179" s="51" t="s">
        <v>3568</v>
      </c>
      <c r="C1179" s="51" t="s">
        <v>93</v>
      </c>
      <c r="D1179" s="51" t="s">
        <v>2739</v>
      </c>
      <c r="E1179" s="51" t="s">
        <v>2738</v>
      </c>
      <c r="F1179" s="52">
        <v>22433.947897114482</v>
      </c>
      <c r="G1179" s="52">
        <v>4250</v>
      </c>
      <c r="H1179" s="52">
        <v>12600</v>
      </c>
      <c r="I1179" s="52">
        <v>16850</v>
      </c>
      <c r="J1179" s="51">
        <v>0</v>
      </c>
      <c r="K1179" s="54">
        <v>0</v>
      </c>
      <c r="L1179" s="51">
        <v>1</v>
      </c>
      <c r="M1179" s="54">
        <v>15000</v>
      </c>
      <c r="N1179" s="53">
        <f t="shared" si="36"/>
        <v>-15000</v>
      </c>
      <c r="O1179" s="53">
        <f t="shared" si="37"/>
        <v>15000</v>
      </c>
    </row>
    <row r="1180" spans="1:15" x14ac:dyDescent="0.2">
      <c r="A1180" s="51" t="s">
        <v>3567</v>
      </c>
      <c r="B1180" s="51" t="s">
        <v>3568</v>
      </c>
      <c r="C1180" s="51" t="s">
        <v>3583</v>
      </c>
      <c r="D1180" s="51" t="s">
        <v>4152</v>
      </c>
      <c r="E1180" s="51" t="s">
        <v>4153</v>
      </c>
      <c r="F1180" s="52">
        <v>17.223320000000001</v>
      </c>
      <c r="G1180" s="52">
        <v>0</v>
      </c>
      <c r="H1180" s="52">
        <v>0</v>
      </c>
      <c r="I1180" s="52">
        <v>0</v>
      </c>
      <c r="J1180" s="51">
        <v>0</v>
      </c>
      <c r="K1180" s="54">
        <v>0</v>
      </c>
      <c r="L1180" s="51">
        <v>0</v>
      </c>
      <c r="M1180" s="54">
        <v>0</v>
      </c>
      <c r="N1180" s="53">
        <f t="shared" si="36"/>
        <v>0</v>
      </c>
      <c r="O1180" s="53">
        <f t="shared" si="37"/>
        <v>0</v>
      </c>
    </row>
    <row r="1181" spans="1:15" x14ac:dyDescent="0.2">
      <c r="A1181" s="51" t="s">
        <v>3567</v>
      </c>
      <c r="B1181" s="51" t="s">
        <v>3568</v>
      </c>
      <c r="C1181" s="51" t="s">
        <v>83</v>
      </c>
      <c r="D1181" s="51" t="s">
        <v>2150</v>
      </c>
      <c r="E1181" s="51" t="s">
        <v>2149</v>
      </c>
      <c r="F1181" s="52">
        <v>875.06635891705434</v>
      </c>
      <c r="G1181" s="52">
        <v>6640</v>
      </c>
      <c r="H1181" s="52">
        <v>45820</v>
      </c>
      <c r="I1181" s="52">
        <v>52460</v>
      </c>
      <c r="J1181" s="51">
        <v>1</v>
      </c>
      <c r="K1181" s="54">
        <v>5000</v>
      </c>
      <c r="L1181" s="51">
        <v>2</v>
      </c>
      <c r="M1181" s="54">
        <v>45000</v>
      </c>
      <c r="N1181" s="53">
        <f t="shared" si="36"/>
        <v>-40000</v>
      </c>
      <c r="O1181" s="53">
        <f t="shared" si="37"/>
        <v>40000</v>
      </c>
    </row>
    <row r="1182" spans="1:15" x14ac:dyDescent="0.2">
      <c r="A1182" s="51" t="s">
        <v>3567</v>
      </c>
      <c r="B1182" s="51" t="s">
        <v>3568</v>
      </c>
      <c r="C1182" s="51" t="s">
        <v>53</v>
      </c>
      <c r="D1182" s="51" t="s">
        <v>3392</v>
      </c>
      <c r="E1182" s="51" t="s">
        <v>1363</v>
      </c>
      <c r="F1182" s="52">
        <v>41329.892612000003</v>
      </c>
      <c r="G1182" s="52">
        <v>19770</v>
      </c>
      <c r="H1182" s="52">
        <v>22150</v>
      </c>
      <c r="I1182" s="52">
        <v>41920</v>
      </c>
      <c r="J1182" s="51">
        <v>2</v>
      </c>
      <c r="K1182" s="54">
        <v>25000</v>
      </c>
      <c r="L1182" s="51">
        <v>0</v>
      </c>
      <c r="M1182" s="54">
        <v>0</v>
      </c>
      <c r="N1182" s="53">
        <f t="shared" si="36"/>
        <v>25000</v>
      </c>
      <c r="O1182" s="53">
        <f t="shared" si="37"/>
        <v>-25000</v>
      </c>
    </row>
    <row r="1183" spans="1:15" x14ac:dyDescent="0.2">
      <c r="A1183" s="51" t="s">
        <v>3567</v>
      </c>
      <c r="B1183" s="51" t="s">
        <v>3568</v>
      </c>
      <c r="C1183" s="51" t="s">
        <v>56</v>
      </c>
      <c r="D1183" s="51" t="s">
        <v>1171</v>
      </c>
      <c r="E1183" s="51" t="s">
        <v>1170</v>
      </c>
      <c r="F1183" s="52">
        <v>12439.19251099499</v>
      </c>
      <c r="G1183" s="52">
        <v>2830</v>
      </c>
      <c r="H1183" s="52">
        <v>5800</v>
      </c>
      <c r="I1183" s="52">
        <v>8630</v>
      </c>
      <c r="J1183" s="51">
        <v>0</v>
      </c>
      <c r="K1183" s="54">
        <v>0</v>
      </c>
      <c r="L1183" s="51">
        <v>1</v>
      </c>
      <c r="M1183" s="54">
        <v>7000</v>
      </c>
      <c r="N1183" s="53">
        <f t="shared" si="36"/>
        <v>-7000</v>
      </c>
      <c r="O1183" s="53">
        <f t="shared" si="37"/>
        <v>7000</v>
      </c>
    </row>
    <row r="1184" spans="1:15" x14ac:dyDescent="0.2">
      <c r="A1184" s="51" t="s">
        <v>3567</v>
      </c>
      <c r="B1184" s="51" t="s">
        <v>3568</v>
      </c>
      <c r="C1184" s="51" t="s">
        <v>76</v>
      </c>
      <c r="D1184" s="51" t="s">
        <v>2873</v>
      </c>
      <c r="E1184" s="51" t="s">
        <v>2872</v>
      </c>
      <c r="F1184" s="52">
        <v>6628.6966602377652</v>
      </c>
      <c r="G1184" s="52">
        <v>930</v>
      </c>
      <c r="H1184" s="52">
        <v>1550</v>
      </c>
      <c r="I1184" s="52">
        <v>2480</v>
      </c>
      <c r="J1184" s="51">
        <v>1</v>
      </c>
      <c r="K1184" s="54">
        <v>5000</v>
      </c>
      <c r="L1184" s="51">
        <v>0</v>
      </c>
      <c r="M1184" s="54">
        <v>0</v>
      </c>
      <c r="N1184" s="53">
        <f t="shared" si="36"/>
        <v>5000</v>
      </c>
      <c r="O1184" s="53">
        <f t="shared" si="37"/>
        <v>-5000</v>
      </c>
    </row>
    <row r="1185" spans="1:15" x14ac:dyDescent="0.2">
      <c r="A1185" s="51" t="s">
        <v>3567</v>
      </c>
      <c r="B1185" s="51" t="s">
        <v>3568</v>
      </c>
      <c r="C1185" s="51" t="s">
        <v>85</v>
      </c>
      <c r="D1185" s="51" t="s">
        <v>1433</v>
      </c>
      <c r="E1185" s="51" t="s">
        <v>1432</v>
      </c>
      <c r="F1185" s="52">
        <v>10252.449699999999</v>
      </c>
      <c r="G1185" s="52">
        <v>102</v>
      </c>
      <c r="H1185" s="52">
        <v>8460</v>
      </c>
      <c r="I1185" s="52">
        <v>8562</v>
      </c>
      <c r="J1185" s="51">
        <v>0</v>
      </c>
      <c r="K1185" s="54">
        <v>0</v>
      </c>
      <c r="L1185" s="51">
        <v>1</v>
      </c>
      <c r="M1185" s="54">
        <v>6000</v>
      </c>
      <c r="N1185" s="53">
        <f t="shared" si="36"/>
        <v>-6000</v>
      </c>
      <c r="O1185" s="53">
        <f t="shared" si="37"/>
        <v>6000</v>
      </c>
    </row>
    <row r="1186" spans="1:15" x14ac:dyDescent="0.2">
      <c r="A1186" s="51" t="s">
        <v>3567</v>
      </c>
      <c r="B1186" s="51" t="s">
        <v>3568</v>
      </c>
      <c r="C1186" s="51" t="s">
        <v>61</v>
      </c>
      <c r="D1186" s="51" t="s">
        <v>1850</v>
      </c>
      <c r="E1186" s="51" t="s">
        <v>1849</v>
      </c>
      <c r="F1186" s="52">
        <v>14710.85743004221</v>
      </c>
      <c r="G1186" s="52">
        <v>10130</v>
      </c>
      <c r="H1186" s="52">
        <v>22335</v>
      </c>
      <c r="I1186" s="52">
        <v>32465</v>
      </c>
      <c r="J1186" s="51">
        <v>0</v>
      </c>
      <c r="K1186" s="54">
        <v>0</v>
      </c>
      <c r="L1186" s="51">
        <v>1</v>
      </c>
      <c r="M1186" s="54">
        <v>6000</v>
      </c>
      <c r="N1186" s="53">
        <f t="shared" si="36"/>
        <v>-6000</v>
      </c>
      <c r="O1186" s="53">
        <f t="shared" si="37"/>
        <v>6000</v>
      </c>
    </row>
    <row r="1187" spans="1:15" x14ac:dyDescent="0.2">
      <c r="A1187" s="51" t="s">
        <v>3567</v>
      </c>
      <c r="B1187" s="51" t="s">
        <v>3568</v>
      </c>
      <c r="C1187" s="51" t="s">
        <v>61</v>
      </c>
      <c r="D1187" s="51" t="s">
        <v>2715</v>
      </c>
      <c r="E1187" s="51" t="s">
        <v>2714</v>
      </c>
      <c r="F1187" s="52">
        <v>34.379374803403351</v>
      </c>
      <c r="G1187" s="52">
        <v>3250</v>
      </c>
      <c r="H1187" s="52">
        <v>0</v>
      </c>
      <c r="I1187" s="52">
        <v>3250</v>
      </c>
      <c r="J1187" s="51">
        <v>1</v>
      </c>
      <c r="K1187" s="54">
        <v>5000</v>
      </c>
      <c r="L1187" s="51">
        <v>0</v>
      </c>
      <c r="M1187" s="54">
        <v>0</v>
      </c>
      <c r="N1187" s="53">
        <f t="shared" si="36"/>
        <v>5000</v>
      </c>
      <c r="O1187" s="53">
        <f t="shared" si="37"/>
        <v>-5000</v>
      </c>
    </row>
    <row r="1188" spans="1:15" x14ac:dyDescent="0.2">
      <c r="A1188" s="51" t="s">
        <v>3567</v>
      </c>
      <c r="B1188" s="51" t="s">
        <v>3568</v>
      </c>
      <c r="C1188" s="51" t="s">
        <v>69</v>
      </c>
      <c r="D1188" s="51" t="s">
        <v>1616</v>
      </c>
      <c r="E1188" s="51" t="s">
        <v>1615</v>
      </c>
      <c r="F1188" s="52">
        <v>4262.5842166668517</v>
      </c>
      <c r="G1188" s="52">
        <v>500</v>
      </c>
      <c r="H1188" s="52">
        <v>300</v>
      </c>
      <c r="I1188" s="52">
        <v>800</v>
      </c>
      <c r="J1188" s="51">
        <v>1</v>
      </c>
      <c r="K1188" s="54">
        <v>5000</v>
      </c>
      <c r="L1188" s="51">
        <v>0</v>
      </c>
      <c r="M1188" s="54">
        <v>0</v>
      </c>
      <c r="N1188" s="53">
        <f t="shared" si="36"/>
        <v>5000</v>
      </c>
      <c r="O1188" s="53">
        <f t="shared" si="37"/>
        <v>-5000</v>
      </c>
    </row>
    <row r="1189" spans="1:15" x14ac:dyDescent="0.2">
      <c r="A1189" s="51" t="s">
        <v>3567</v>
      </c>
      <c r="B1189" s="51" t="s">
        <v>3568</v>
      </c>
      <c r="C1189" s="51" t="s">
        <v>66</v>
      </c>
      <c r="D1189" s="51" t="s">
        <v>1577</v>
      </c>
      <c r="E1189" s="51" t="s">
        <v>1576</v>
      </c>
      <c r="F1189" s="52">
        <v>8112.2340000000004</v>
      </c>
      <c r="G1189" s="52">
        <v>0</v>
      </c>
      <c r="H1189" s="52">
        <v>3147</v>
      </c>
      <c r="I1189" s="52">
        <v>3147</v>
      </c>
      <c r="J1189" s="51">
        <v>1</v>
      </c>
      <c r="K1189" s="54">
        <v>5000</v>
      </c>
      <c r="L1189" s="51">
        <v>1</v>
      </c>
      <c r="M1189" s="54">
        <v>15000</v>
      </c>
      <c r="N1189" s="53">
        <f t="shared" si="36"/>
        <v>-10000</v>
      </c>
      <c r="O1189" s="53">
        <f t="shared" si="37"/>
        <v>10000</v>
      </c>
    </row>
    <row r="1190" spans="1:15" x14ac:dyDescent="0.2">
      <c r="A1190" s="51" t="s">
        <v>3567</v>
      </c>
      <c r="B1190" s="51" t="s">
        <v>3568</v>
      </c>
      <c r="C1190" s="51" t="s">
        <v>86</v>
      </c>
      <c r="D1190" s="51" t="s">
        <v>134</v>
      </c>
      <c r="E1190" s="51" t="s">
        <v>133</v>
      </c>
      <c r="F1190" s="52">
        <v>17740.08594790264</v>
      </c>
      <c r="G1190" s="52">
        <v>8010</v>
      </c>
      <c r="H1190" s="52">
        <v>21760</v>
      </c>
      <c r="I1190" s="52">
        <v>29770</v>
      </c>
      <c r="J1190" s="51">
        <v>0</v>
      </c>
      <c r="K1190" s="54">
        <v>0</v>
      </c>
      <c r="L1190" s="51">
        <v>1</v>
      </c>
      <c r="M1190" s="54">
        <v>15000</v>
      </c>
      <c r="N1190" s="53">
        <f t="shared" si="36"/>
        <v>-15000</v>
      </c>
      <c r="O1190" s="53">
        <f t="shared" si="37"/>
        <v>15000</v>
      </c>
    </row>
    <row r="1191" spans="1:15" x14ac:dyDescent="0.2">
      <c r="A1191" s="51" t="s">
        <v>3567</v>
      </c>
      <c r="B1191" s="51" t="s">
        <v>3568</v>
      </c>
      <c r="C1191" s="51" t="s">
        <v>65</v>
      </c>
      <c r="D1191" s="51" t="s">
        <v>1326</v>
      </c>
      <c r="E1191" s="51" t="s">
        <v>1325</v>
      </c>
      <c r="F1191" s="52">
        <v>4008.4140000000002</v>
      </c>
      <c r="G1191" s="52">
        <v>1000</v>
      </c>
      <c r="H1191" s="52">
        <v>0</v>
      </c>
      <c r="I1191" s="52">
        <v>1000</v>
      </c>
      <c r="J1191" s="51">
        <v>1</v>
      </c>
      <c r="K1191" s="54">
        <v>5000</v>
      </c>
      <c r="L1191" s="51">
        <v>0</v>
      </c>
      <c r="M1191" s="54">
        <v>0</v>
      </c>
      <c r="N1191" s="53">
        <f t="shared" si="36"/>
        <v>5000</v>
      </c>
      <c r="O1191" s="53">
        <f t="shared" si="37"/>
        <v>-5000</v>
      </c>
    </row>
    <row r="1192" spans="1:15" x14ac:dyDescent="0.2">
      <c r="A1192" s="51" t="s">
        <v>3567</v>
      </c>
      <c r="B1192" s="51" t="s">
        <v>3568</v>
      </c>
      <c r="C1192" s="51" t="s">
        <v>3619</v>
      </c>
      <c r="D1192" s="51" t="s">
        <v>4204</v>
      </c>
      <c r="E1192" s="51" t="s">
        <v>4205</v>
      </c>
      <c r="F1192" s="52">
        <v>25.516252551016741</v>
      </c>
      <c r="G1192" s="52">
        <v>0</v>
      </c>
      <c r="H1192" s="52">
        <v>0</v>
      </c>
      <c r="I1192" s="52">
        <v>0</v>
      </c>
      <c r="J1192" s="51">
        <v>0</v>
      </c>
      <c r="K1192" s="54">
        <v>0</v>
      </c>
      <c r="L1192" s="51">
        <v>0</v>
      </c>
      <c r="M1192" s="54">
        <v>0</v>
      </c>
      <c r="N1192" s="53">
        <f t="shared" si="36"/>
        <v>0</v>
      </c>
      <c r="O1192" s="53">
        <f t="shared" si="37"/>
        <v>0</v>
      </c>
    </row>
    <row r="1193" spans="1:15" x14ac:dyDescent="0.2">
      <c r="A1193" s="51" t="s">
        <v>3567</v>
      </c>
      <c r="B1193" s="51" t="s">
        <v>3568</v>
      </c>
      <c r="C1193" s="51" t="s">
        <v>80</v>
      </c>
      <c r="D1193" s="51" t="s">
        <v>2779</v>
      </c>
      <c r="E1193" s="51" t="s">
        <v>2778</v>
      </c>
      <c r="F1193" s="52">
        <v>10371.66</v>
      </c>
      <c r="G1193" s="52">
        <v>3800</v>
      </c>
      <c r="H1193" s="52">
        <v>2390</v>
      </c>
      <c r="I1193" s="52">
        <v>6190</v>
      </c>
      <c r="J1193" s="51">
        <v>0</v>
      </c>
      <c r="K1193" s="54">
        <v>0</v>
      </c>
      <c r="L1193" s="51">
        <v>1</v>
      </c>
      <c r="M1193" s="54">
        <v>30000</v>
      </c>
      <c r="N1193" s="53">
        <f t="shared" si="36"/>
        <v>-30000</v>
      </c>
      <c r="O1193" s="53">
        <f t="shared" si="37"/>
        <v>30000</v>
      </c>
    </row>
    <row r="1194" spans="1:15" x14ac:dyDescent="0.2">
      <c r="A1194" s="51" t="s">
        <v>3567</v>
      </c>
      <c r="B1194" s="51" t="s">
        <v>3568</v>
      </c>
      <c r="C1194" s="51" t="s">
        <v>53</v>
      </c>
      <c r="D1194" s="51" t="s">
        <v>637</v>
      </c>
      <c r="E1194" s="51" t="s">
        <v>636</v>
      </c>
      <c r="F1194" s="52">
        <v>1825.5770577627411</v>
      </c>
      <c r="G1194" s="52">
        <v>6180</v>
      </c>
      <c r="H1194" s="52">
        <v>1000</v>
      </c>
      <c r="I1194" s="52">
        <v>7180</v>
      </c>
      <c r="J1194" s="51">
        <v>1</v>
      </c>
      <c r="K1194" s="54">
        <v>5000</v>
      </c>
      <c r="L1194" s="51">
        <v>0</v>
      </c>
      <c r="M1194" s="54">
        <v>0</v>
      </c>
      <c r="N1194" s="53">
        <f t="shared" si="36"/>
        <v>5000</v>
      </c>
      <c r="O1194" s="53">
        <f t="shared" si="37"/>
        <v>-5000</v>
      </c>
    </row>
    <row r="1195" spans="1:15" x14ac:dyDescent="0.2">
      <c r="A1195" s="51" t="s">
        <v>3567</v>
      </c>
      <c r="B1195" s="51" t="s">
        <v>3568</v>
      </c>
      <c r="C1195" s="51" t="s">
        <v>58</v>
      </c>
      <c r="D1195" s="51" t="s">
        <v>2144</v>
      </c>
      <c r="E1195" s="51" t="s">
        <v>2143</v>
      </c>
      <c r="F1195" s="52">
        <v>3543.074550081486</v>
      </c>
      <c r="G1195" s="52">
        <v>4920</v>
      </c>
      <c r="H1195" s="52">
        <v>3170</v>
      </c>
      <c r="I1195" s="52">
        <v>8090</v>
      </c>
      <c r="J1195" s="51">
        <v>1</v>
      </c>
      <c r="K1195" s="54">
        <v>5000</v>
      </c>
      <c r="L1195" s="51">
        <v>0</v>
      </c>
      <c r="M1195" s="54">
        <v>0</v>
      </c>
      <c r="N1195" s="53">
        <f t="shared" si="36"/>
        <v>5000</v>
      </c>
      <c r="O1195" s="53">
        <f t="shared" si="37"/>
        <v>-5000</v>
      </c>
    </row>
    <row r="1196" spans="1:15" x14ac:dyDescent="0.2">
      <c r="A1196" s="51" t="s">
        <v>3567</v>
      </c>
      <c r="B1196" s="51" t="s">
        <v>3568</v>
      </c>
      <c r="C1196" s="51" t="s">
        <v>77</v>
      </c>
      <c r="D1196" s="51" t="s">
        <v>1310</v>
      </c>
      <c r="E1196" s="51" t="s">
        <v>1309</v>
      </c>
      <c r="F1196" s="52">
        <v>12698.063147999999</v>
      </c>
      <c r="G1196" s="52">
        <v>5350</v>
      </c>
      <c r="H1196" s="52">
        <v>18880</v>
      </c>
      <c r="I1196" s="52">
        <v>24230</v>
      </c>
      <c r="J1196" s="51">
        <v>0</v>
      </c>
      <c r="K1196" s="54">
        <v>0</v>
      </c>
      <c r="L1196" s="51">
        <v>2</v>
      </c>
      <c r="M1196" s="54">
        <v>33500</v>
      </c>
      <c r="N1196" s="53">
        <f t="shared" si="36"/>
        <v>-33500</v>
      </c>
      <c r="O1196" s="53">
        <f t="shared" si="37"/>
        <v>33500</v>
      </c>
    </row>
    <row r="1197" spans="1:15" x14ac:dyDescent="0.2">
      <c r="A1197" s="51" t="s">
        <v>3567</v>
      </c>
      <c r="B1197" s="51" t="s">
        <v>3568</v>
      </c>
      <c r="C1197" s="51" t="s">
        <v>60</v>
      </c>
      <c r="D1197" s="51" t="s">
        <v>756</v>
      </c>
      <c r="E1197" s="51" t="s">
        <v>755</v>
      </c>
      <c r="F1197" s="52">
        <v>793.92469997390003</v>
      </c>
      <c r="G1197" s="52">
        <v>150</v>
      </c>
      <c r="H1197" s="52">
        <v>1695</v>
      </c>
      <c r="I1197" s="52">
        <v>1845</v>
      </c>
      <c r="J1197" s="51">
        <v>0</v>
      </c>
      <c r="K1197" s="54">
        <v>0</v>
      </c>
      <c r="L1197" s="51">
        <v>1</v>
      </c>
      <c r="M1197" s="54">
        <v>5000</v>
      </c>
      <c r="N1197" s="53">
        <f t="shared" si="36"/>
        <v>-5000</v>
      </c>
      <c r="O1197" s="53">
        <f t="shared" si="37"/>
        <v>5000</v>
      </c>
    </row>
    <row r="1198" spans="1:15" x14ac:dyDescent="0.2">
      <c r="A1198" s="51" t="s">
        <v>3567</v>
      </c>
      <c r="B1198" s="51" t="s">
        <v>3568</v>
      </c>
      <c r="C1198" s="51" t="s">
        <v>53</v>
      </c>
      <c r="D1198" s="51" t="s">
        <v>3292</v>
      </c>
      <c r="E1198" s="51" t="s">
        <v>3291</v>
      </c>
      <c r="F1198" s="52">
        <v>16235.1631390561</v>
      </c>
      <c r="G1198" s="52">
        <v>9500</v>
      </c>
      <c r="H1198" s="52">
        <v>25170</v>
      </c>
      <c r="I1198" s="52">
        <v>34670</v>
      </c>
      <c r="J1198" s="51">
        <v>0</v>
      </c>
      <c r="K1198" s="54">
        <v>0</v>
      </c>
      <c r="L1198" s="51">
        <v>1</v>
      </c>
      <c r="M1198" s="54">
        <v>20000</v>
      </c>
      <c r="N1198" s="53">
        <f t="shared" si="36"/>
        <v>-20000</v>
      </c>
      <c r="O1198" s="53">
        <f t="shared" si="37"/>
        <v>20000</v>
      </c>
    </row>
    <row r="1199" spans="1:15" x14ac:dyDescent="0.2">
      <c r="A1199" s="51" t="s">
        <v>3567</v>
      </c>
      <c r="B1199" s="51" t="s">
        <v>3568</v>
      </c>
      <c r="C1199" s="51" t="s">
        <v>3647</v>
      </c>
      <c r="D1199" s="51" t="s">
        <v>4211</v>
      </c>
      <c r="E1199" s="51" t="s">
        <v>4212</v>
      </c>
      <c r="F1199" s="52">
        <v>1.7541534153133</v>
      </c>
      <c r="G1199" s="52">
        <v>0</v>
      </c>
      <c r="H1199" s="52">
        <v>0</v>
      </c>
      <c r="I1199" s="52">
        <v>0</v>
      </c>
      <c r="J1199" s="51">
        <v>0</v>
      </c>
      <c r="K1199" s="54">
        <v>0</v>
      </c>
      <c r="L1199" s="51">
        <v>0</v>
      </c>
      <c r="M1199" s="54">
        <v>0</v>
      </c>
      <c r="N1199" s="53">
        <f t="shared" si="36"/>
        <v>0</v>
      </c>
      <c r="O1199" s="53">
        <f t="shared" si="37"/>
        <v>0</v>
      </c>
    </row>
    <row r="1200" spans="1:15" x14ac:dyDescent="0.2">
      <c r="A1200" s="51" t="s">
        <v>3567</v>
      </c>
      <c r="B1200" s="51" t="s">
        <v>3568</v>
      </c>
      <c r="C1200" s="51" t="s">
        <v>81</v>
      </c>
      <c r="D1200" s="51" t="s">
        <v>1590</v>
      </c>
      <c r="E1200" s="51" t="s">
        <v>1589</v>
      </c>
      <c r="F1200" s="52">
        <v>18604.641251979781</v>
      </c>
      <c r="G1200" s="52">
        <v>11700</v>
      </c>
      <c r="H1200" s="52">
        <v>31250</v>
      </c>
      <c r="I1200" s="52">
        <v>42950</v>
      </c>
      <c r="J1200" s="51">
        <v>0</v>
      </c>
      <c r="K1200" s="54">
        <v>0</v>
      </c>
      <c r="L1200" s="51">
        <v>1</v>
      </c>
      <c r="M1200" s="54">
        <v>15000</v>
      </c>
      <c r="N1200" s="53">
        <f t="shared" si="36"/>
        <v>-15000</v>
      </c>
      <c r="O1200" s="53">
        <f t="shared" si="37"/>
        <v>15000</v>
      </c>
    </row>
    <row r="1201" spans="1:15" x14ac:dyDescent="0.2">
      <c r="A1201" s="51" t="s">
        <v>3567</v>
      </c>
      <c r="B1201" s="51" t="s">
        <v>3568</v>
      </c>
      <c r="C1201" s="51" t="s">
        <v>57</v>
      </c>
      <c r="D1201" s="51" t="s">
        <v>4209</v>
      </c>
      <c r="E1201" s="51" t="s">
        <v>4210</v>
      </c>
      <c r="F1201" s="52">
        <v>2.7665000000000002</v>
      </c>
      <c r="G1201" s="52">
        <v>0</v>
      </c>
      <c r="H1201" s="52">
        <v>0</v>
      </c>
      <c r="I1201" s="52">
        <v>0</v>
      </c>
      <c r="J1201" s="51">
        <v>0</v>
      </c>
      <c r="K1201" s="54">
        <v>0</v>
      </c>
      <c r="L1201" s="51">
        <v>0</v>
      </c>
      <c r="M1201" s="54">
        <v>0</v>
      </c>
      <c r="N1201" s="53">
        <f t="shared" si="36"/>
        <v>0</v>
      </c>
      <c r="O1201" s="53">
        <f t="shared" si="37"/>
        <v>0</v>
      </c>
    </row>
    <row r="1202" spans="1:15" x14ac:dyDescent="0.2">
      <c r="A1202" s="51" t="s">
        <v>3567</v>
      </c>
      <c r="B1202" s="51" t="s">
        <v>3568</v>
      </c>
      <c r="C1202" s="51" t="s">
        <v>54</v>
      </c>
      <c r="D1202" s="51" t="s">
        <v>4213</v>
      </c>
      <c r="E1202" s="51" t="s">
        <v>4214</v>
      </c>
      <c r="F1202" s="52">
        <v>7.3571487136810054</v>
      </c>
      <c r="G1202" s="52">
        <v>0</v>
      </c>
      <c r="H1202" s="52">
        <v>0</v>
      </c>
      <c r="I1202" s="52">
        <v>0</v>
      </c>
      <c r="J1202" s="51">
        <v>0</v>
      </c>
      <c r="K1202" s="54">
        <v>0</v>
      </c>
      <c r="L1202" s="51">
        <v>0</v>
      </c>
      <c r="M1202" s="54">
        <v>0</v>
      </c>
      <c r="N1202" s="53">
        <f t="shared" si="36"/>
        <v>0</v>
      </c>
      <c r="O1202" s="53">
        <f t="shared" si="37"/>
        <v>0</v>
      </c>
    </row>
    <row r="1203" spans="1:15" x14ac:dyDescent="0.2">
      <c r="A1203" s="51" t="s">
        <v>3567</v>
      </c>
      <c r="B1203" s="51" t="s">
        <v>3568</v>
      </c>
      <c r="C1203" s="51" t="s">
        <v>68</v>
      </c>
      <c r="D1203" s="51" t="s">
        <v>2651</v>
      </c>
      <c r="E1203" s="51" t="s">
        <v>2650</v>
      </c>
      <c r="F1203" s="52">
        <v>191.95400000000001</v>
      </c>
      <c r="G1203" s="52">
        <v>500</v>
      </c>
      <c r="H1203" s="52">
        <v>1800</v>
      </c>
      <c r="I1203" s="52">
        <v>2300</v>
      </c>
      <c r="J1203" s="51">
        <v>0</v>
      </c>
      <c r="K1203" s="54">
        <v>0</v>
      </c>
      <c r="L1203" s="51">
        <v>0</v>
      </c>
      <c r="M1203" s="54">
        <v>0</v>
      </c>
      <c r="N1203" s="53">
        <f t="shared" si="36"/>
        <v>0</v>
      </c>
      <c r="O1203" s="53">
        <f t="shared" si="37"/>
        <v>0</v>
      </c>
    </row>
    <row r="1204" spans="1:15" x14ac:dyDescent="0.2">
      <c r="A1204" s="51" t="s">
        <v>3567</v>
      </c>
      <c r="B1204" s="51" t="s">
        <v>3568</v>
      </c>
      <c r="C1204" s="51" t="s">
        <v>84</v>
      </c>
      <c r="D1204" s="51" t="s">
        <v>261</v>
      </c>
      <c r="E1204" s="51" t="s">
        <v>260</v>
      </c>
      <c r="F1204" s="52">
        <v>0.84252473400000005</v>
      </c>
      <c r="G1204" s="52">
        <v>0</v>
      </c>
      <c r="H1204" s="52">
        <v>0</v>
      </c>
      <c r="I1204" s="52">
        <v>0</v>
      </c>
      <c r="J1204" s="51">
        <v>0</v>
      </c>
      <c r="K1204" s="54">
        <v>0</v>
      </c>
      <c r="L1204" s="51">
        <v>0</v>
      </c>
      <c r="M1204" s="54">
        <v>0</v>
      </c>
      <c r="N1204" s="53">
        <f t="shared" si="36"/>
        <v>0</v>
      </c>
      <c r="O1204" s="53">
        <f t="shared" si="37"/>
        <v>0</v>
      </c>
    </row>
    <row r="1205" spans="1:15" x14ac:dyDescent="0.2">
      <c r="A1205" s="51" t="s">
        <v>3567</v>
      </c>
      <c r="B1205" s="51" t="s">
        <v>3568</v>
      </c>
      <c r="C1205" s="51" t="s">
        <v>70</v>
      </c>
      <c r="D1205" s="51" t="s">
        <v>3214</v>
      </c>
      <c r="E1205" s="51" t="s">
        <v>3213</v>
      </c>
      <c r="F1205" s="52">
        <v>125.7749</v>
      </c>
      <c r="G1205" s="52">
        <v>16500</v>
      </c>
      <c r="H1205" s="52">
        <v>0</v>
      </c>
      <c r="I1205" s="52">
        <v>16500</v>
      </c>
      <c r="J1205" s="51">
        <v>1</v>
      </c>
      <c r="K1205" s="54">
        <v>13000</v>
      </c>
      <c r="L1205" s="51">
        <v>0</v>
      </c>
      <c r="M1205" s="54">
        <v>0</v>
      </c>
      <c r="N1205" s="53">
        <f t="shared" si="36"/>
        <v>13000</v>
      </c>
      <c r="O1205" s="53">
        <f t="shared" si="37"/>
        <v>-13000</v>
      </c>
    </row>
    <row r="1206" spans="1:15" x14ac:dyDescent="0.2">
      <c r="A1206" s="51" t="s">
        <v>3567</v>
      </c>
      <c r="B1206" s="51" t="s">
        <v>3568</v>
      </c>
      <c r="C1206" s="51" t="s">
        <v>3619</v>
      </c>
      <c r="D1206" s="51" t="s">
        <v>4225</v>
      </c>
      <c r="E1206" s="51" t="s">
        <v>4226</v>
      </c>
      <c r="F1206" s="52">
        <v>286.63099999999997</v>
      </c>
      <c r="G1206" s="52">
        <v>0</v>
      </c>
      <c r="H1206" s="52">
        <v>0</v>
      </c>
      <c r="I1206" s="52">
        <v>0</v>
      </c>
      <c r="J1206" s="51">
        <v>0</v>
      </c>
      <c r="K1206" s="54">
        <v>0</v>
      </c>
      <c r="L1206" s="51">
        <v>0</v>
      </c>
      <c r="M1206" s="54">
        <v>0</v>
      </c>
      <c r="N1206" s="53">
        <f t="shared" si="36"/>
        <v>0</v>
      </c>
      <c r="O1206" s="53">
        <f t="shared" si="37"/>
        <v>0</v>
      </c>
    </row>
    <row r="1207" spans="1:15" x14ac:dyDescent="0.2">
      <c r="A1207" s="51" t="s">
        <v>3567</v>
      </c>
      <c r="B1207" s="51" t="s">
        <v>3568</v>
      </c>
      <c r="C1207" s="51" t="s">
        <v>79</v>
      </c>
      <c r="D1207" s="51" t="s">
        <v>3261</v>
      </c>
      <c r="E1207" s="51" t="s">
        <v>3260</v>
      </c>
      <c r="F1207" s="52">
        <v>4662.2028</v>
      </c>
      <c r="G1207" s="52">
        <v>7165</v>
      </c>
      <c r="H1207" s="52">
        <v>6300</v>
      </c>
      <c r="I1207" s="52">
        <v>13465</v>
      </c>
      <c r="J1207" s="51">
        <v>1</v>
      </c>
      <c r="K1207" s="54">
        <v>5000</v>
      </c>
      <c r="L1207" s="51">
        <v>0</v>
      </c>
      <c r="M1207" s="54">
        <v>0</v>
      </c>
      <c r="N1207" s="53">
        <f t="shared" si="36"/>
        <v>5000</v>
      </c>
      <c r="O1207" s="53">
        <f t="shared" si="37"/>
        <v>-5000</v>
      </c>
    </row>
    <row r="1208" spans="1:15" x14ac:dyDescent="0.2">
      <c r="A1208" s="51" t="s">
        <v>3567</v>
      </c>
      <c r="B1208" s="51" t="s">
        <v>3568</v>
      </c>
      <c r="C1208" s="51" t="s">
        <v>55</v>
      </c>
      <c r="D1208" s="51" t="s">
        <v>4217</v>
      </c>
      <c r="E1208" s="51" t="s">
        <v>4218</v>
      </c>
      <c r="F1208" s="52">
        <v>2.614473067661359</v>
      </c>
      <c r="G1208" s="52">
        <v>0</v>
      </c>
      <c r="H1208" s="52">
        <v>0</v>
      </c>
      <c r="I1208" s="52">
        <v>0</v>
      </c>
      <c r="J1208" s="51">
        <v>0</v>
      </c>
      <c r="K1208" s="54">
        <v>0</v>
      </c>
      <c r="L1208" s="51">
        <v>0</v>
      </c>
      <c r="M1208" s="54">
        <v>0</v>
      </c>
      <c r="N1208" s="53">
        <f t="shared" si="36"/>
        <v>0</v>
      </c>
      <c r="O1208" s="53">
        <f t="shared" si="37"/>
        <v>0</v>
      </c>
    </row>
    <row r="1209" spans="1:15" x14ac:dyDescent="0.2">
      <c r="A1209" s="51" t="s">
        <v>3567</v>
      </c>
      <c r="B1209" s="51" t="s">
        <v>3568</v>
      </c>
      <c r="C1209" s="51" t="s">
        <v>60</v>
      </c>
      <c r="D1209" s="51" t="s">
        <v>1737</v>
      </c>
      <c r="E1209" s="51" t="s">
        <v>1736</v>
      </c>
      <c r="F1209" s="52">
        <v>1222.8434</v>
      </c>
      <c r="G1209" s="52">
        <v>500</v>
      </c>
      <c r="H1209" s="52">
        <v>0</v>
      </c>
      <c r="I1209" s="52">
        <v>500</v>
      </c>
      <c r="J1209" s="51">
        <v>0</v>
      </c>
      <c r="K1209" s="54">
        <v>0</v>
      </c>
      <c r="L1209" s="51">
        <v>0</v>
      </c>
      <c r="M1209" s="54">
        <v>0</v>
      </c>
      <c r="N1209" s="53">
        <f t="shared" si="36"/>
        <v>0</v>
      </c>
      <c r="O1209" s="53">
        <f t="shared" si="37"/>
        <v>0</v>
      </c>
    </row>
    <row r="1210" spans="1:15" x14ac:dyDescent="0.2">
      <c r="A1210" s="51" t="s">
        <v>3567</v>
      </c>
      <c r="B1210" s="51" t="s">
        <v>3568</v>
      </c>
      <c r="C1210" s="51" t="s">
        <v>75</v>
      </c>
      <c r="D1210" s="51" t="s">
        <v>4223</v>
      </c>
      <c r="E1210" s="51" t="s">
        <v>4224</v>
      </c>
      <c r="F1210" s="52">
        <v>1.9083749999999999</v>
      </c>
      <c r="G1210" s="52">
        <v>0</v>
      </c>
      <c r="H1210" s="52">
        <v>0</v>
      </c>
      <c r="I1210" s="52">
        <v>0</v>
      </c>
      <c r="J1210" s="51">
        <v>0</v>
      </c>
      <c r="K1210" s="54">
        <v>0</v>
      </c>
      <c r="L1210" s="51">
        <v>0</v>
      </c>
      <c r="M1210" s="54">
        <v>0</v>
      </c>
      <c r="N1210" s="53">
        <f t="shared" si="36"/>
        <v>0</v>
      </c>
      <c r="O1210" s="53">
        <f t="shared" si="37"/>
        <v>0</v>
      </c>
    </row>
    <row r="1211" spans="1:15" x14ac:dyDescent="0.2">
      <c r="A1211" s="51" t="s">
        <v>3567</v>
      </c>
      <c r="B1211" s="51" t="s">
        <v>3568</v>
      </c>
      <c r="C1211" s="51" t="s">
        <v>73</v>
      </c>
      <c r="D1211" s="51" t="s">
        <v>1280</v>
      </c>
      <c r="E1211" s="51" t="s">
        <v>1279</v>
      </c>
      <c r="F1211" s="52">
        <v>23615.046108574988</v>
      </c>
      <c r="G1211" s="52">
        <v>7180</v>
      </c>
      <c r="H1211" s="52">
        <v>6700</v>
      </c>
      <c r="I1211" s="52">
        <v>13880</v>
      </c>
      <c r="J1211" s="51">
        <v>0</v>
      </c>
      <c r="K1211" s="54">
        <v>0</v>
      </c>
      <c r="L1211" s="51">
        <v>1</v>
      </c>
      <c r="M1211" s="54">
        <v>20000</v>
      </c>
      <c r="N1211" s="53">
        <f t="shared" si="36"/>
        <v>-20000</v>
      </c>
      <c r="O1211" s="53">
        <f t="shared" si="37"/>
        <v>20000</v>
      </c>
    </row>
    <row r="1212" spans="1:15" x14ac:dyDescent="0.2">
      <c r="A1212" s="51" t="s">
        <v>3567</v>
      </c>
      <c r="B1212" s="51" t="s">
        <v>3568</v>
      </c>
      <c r="C1212" s="51" t="s">
        <v>59</v>
      </c>
      <c r="D1212" s="51" t="s">
        <v>257</v>
      </c>
      <c r="E1212" s="51" t="s">
        <v>256</v>
      </c>
      <c r="F1212" s="52">
        <v>47.270846216469401</v>
      </c>
      <c r="G1212" s="52">
        <v>0</v>
      </c>
      <c r="H1212" s="52">
        <v>0</v>
      </c>
      <c r="I1212" s="52">
        <v>0</v>
      </c>
      <c r="J1212" s="51">
        <v>0</v>
      </c>
      <c r="K1212" s="54">
        <v>0</v>
      </c>
      <c r="L1212" s="51">
        <v>0</v>
      </c>
      <c r="M1212" s="54">
        <v>0</v>
      </c>
      <c r="N1212" s="53">
        <f t="shared" si="36"/>
        <v>0</v>
      </c>
      <c r="O1212" s="53">
        <f t="shared" si="37"/>
        <v>0</v>
      </c>
    </row>
    <row r="1213" spans="1:15" x14ac:dyDescent="0.2">
      <c r="A1213" s="51" t="s">
        <v>3567</v>
      </c>
      <c r="B1213" s="51" t="s">
        <v>3568</v>
      </c>
      <c r="C1213" s="51" t="s">
        <v>65</v>
      </c>
      <c r="D1213" s="51" t="s">
        <v>3184</v>
      </c>
      <c r="E1213" s="51" t="s">
        <v>3183</v>
      </c>
      <c r="F1213" s="52">
        <v>3474.454092566134</v>
      </c>
      <c r="G1213" s="52">
        <v>1000</v>
      </c>
      <c r="H1213" s="52">
        <v>5000</v>
      </c>
      <c r="I1213" s="52">
        <v>6000</v>
      </c>
      <c r="J1213" s="51">
        <v>1</v>
      </c>
      <c r="K1213" s="54">
        <v>5000</v>
      </c>
      <c r="L1213" s="51">
        <v>1</v>
      </c>
      <c r="M1213" s="54">
        <v>12000</v>
      </c>
      <c r="N1213" s="53">
        <f t="shared" si="36"/>
        <v>-7000</v>
      </c>
      <c r="O1213" s="53">
        <f t="shared" si="37"/>
        <v>7000</v>
      </c>
    </row>
    <row r="1214" spans="1:15" x14ac:dyDescent="0.2">
      <c r="A1214" s="51" t="s">
        <v>3567</v>
      </c>
      <c r="B1214" s="51" t="s">
        <v>3568</v>
      </c>
      <c r="C1214" s="51" t="s">
        <v>3571</v>
      </c>
      <c r="D1214" s="51" t="s">
        <v>4227</v>
      </c>
      <c r="E1214" s="51" t="s">
        <v>4228</v>
      </c>
      <c r="F1214" s="52">
        <v>5.5687981661292456</v>
      </c>
      <c r="G1214" s="52">
        <v>0</v>
      </c>
      <c r="H1214" s="52">
        <v>0</v>
      </c>
      <c r="I1214" s="52">
        <v>0</v>
      </c>
      <c r="J1214" s="51">
        <v>0</v>
      </c>
      <c r="K1214" s="54">
        <v>0</v>
      </c>
      <c r="L1214" s="51">
        <v>0</v>
      </c>
      <c r="M1214" s="54">
        <v>0</v>
      </c>
      <c r="N1214" s="53">
        <f t="shared" si="36"/>
        <v>0</v>
      </c>
      <c r="O1214" s="53">
        <f t="shared" si="37"/>
        <v>0</v>
      </c>
    </row>
    <row r="1215" spans="1:15" x14ac:dyDescent="0.2">
      <c r="A1215" s="51" t="s">
        <v>3567</v>
      </c>
      <c r="B1215" s="51" t="s">
        <v>3568</v>
      </c>
      <c r="C1215" s="51" t="s">
        <v>70</v>
      </c>
      <c r="D1215" s="51" t="s">
        <v>1306</v>
      </c>
      <c r="E1215" s="51" t="s">
        <v>1305</v>
      </c>
      <c r="F1215" s="52">
        <v>5543.1127555963867</v>
      </c>
      <c r="G1215" s="52">
        <v>1600</v>
      </c>
      <c r="H1215" s="52">
        <v>0</v>
      </c>
      <c r="I1215" s="52">
        <v>1600</v>
      </c>
      <c r="J1215" s="51">
        <v>1</v>
      </c>
      <c r="K1215" s="54">
        <v>5000</v>
      </c>
      <c r="L1215" s="51">
        <v>0</v>
      </c>
      <c r="M1215" s="54">
        <v>0</v>
      </c>
      <c r="N1215" s="53">
        <f t="shared" si="36"/>
        <v>5000</v>
      </c>
      <c r="O1215" s="53">
        <f t="shared" si="37"/>
        <v>-5000</v>
      </c>
    </row>
    <row r="1216" spans="1:15" x14ac:dyDescent="0.2">
      <c r="A1216" s="51" t="s">
        <v>3567</v>
      </c>
      <c r="B1216" s="51" t="s">
        <v>3568</v>
      </c>
      <c r="C1216" s="51" t="s">
        <v>73</v>
      </c>
      <c r="D1216" s="51" t="s">
        <v>2698</v>
      </c>
      <c r="E1216" s="51" t="s">
        <v>2697</v>
      </c>
      <c r="F1216" s="52">
        <v>1662.2474999999999</v>
      </c>
      <c r="G1216" s="52">
        <v>500</v>
      </c>
      <c r="H1216" s="52">
        <v>0</v>
      </c>
      <c r="I1216" s="52">
        <v>500</v>
      </c>
      <c r="J1216" s="51">
        <v>0</v>
      </c>
      <c r="K1216" s="54">
        <v>0</v>
      </c>
      <c r="L1216" s="51">
        <v>1</v>
      </c>
      <c r="M1216" s="54">
        <v>7000</v>
      </c>
      <c r="N1216" s="53">
        <f t="shared" si="36"/>
        <v>-7000</v>
      </c>
      <c r="O1216" s="53">
        <f t="shared" si="37"/>
        <v>7000</v>
      </c>
    </row>
    <row r="1217" spans="1:15" x14ac:dyDescent="0.2">
      <c r="A1217" s="51" t="s">
        <v>3567</v>
      </c>
      <c r="B1217" s="51" t="s">
        <v>3568</v>
      </c>
      <c r="C1217" s="51" t="s">
        <v>56</v>
      </c>
      <c r="D1217" s="51" t="s">
        <v>563</v>
      </c>
      <c r="E1217" s="51" t="s">
        <v>562</v>
      </c>
      <c r="F1217" s="52">
        <v>5.3171999999999997</v>
      </c>
      <c r="G1217" s="52">
        <v>0</v>
      </c>
      <c r="H1217" s="52">
        <v>0</v>
      </c>
      <c r="I1217" s="52">
        <v>0</v>
      </c>
      <c r="J1217" s="51">
        <v>0</v>
      </c>
      <c r="K1217" s="54">
        <v>0</v>
      </c>
      <c r="L1217" s="51">
        <v>0</v>
      </c>
      <c r="M1217" s="54">
        <v>0</v>
      </c>
      <c r="N1217" s="53">
        <f t="shared" si="36"/>
        <v>0</v>
      </c>
      <c r="O1217" s="53">
        <f t="shared" si="37"/>
        <v>0</v>
      </c>
    </row>
    <row r="1218" spans="1:15" x14ac:dyDescent="0.2">
      <c r="A1218" s="51" t="s">
        <v>3567</v>
      </c>
      <c r="B1218" s="51" t="s">
        <v>3568</v>
      </c>
      <c r="C1218" s="51" t="s">
        <v>70</v>
      </c>
      <c r="D1218" s="51" t="s">
        <v>2066</v>
      </c>
      <c r="E1218" s="51" t="s">
        <v>2065</v>
      </c>
      <c r="F1218" s="52">
        <v>2071.4843500000002</v>
      </c>
      <c r="G1218" s="52">
        <v>5000</v>
      </c>
      <c r="H1218" s="52">
        <v>0</v>
      </c>
      <c r="I1218" s="52">
        <v>5000</v>
      </c>
      <c r="J1218" s="51">
        <v>1</v>
      </c>
      <c r="K1218" s="54">
        <v>5000</v>
      </c>
      <c r="L1218" s="51">
        <v>0</v>
      </c>
      <c r="M1218" s="54">
        <v>0</v>
      </c>
      <c r="N1218" s="53">
        <f t="shared" si="36"/>
        <v>5000</v>
      </c>
      <c r="O1218" s="53">
        <f t="shared" si="37"/>
        <v>-5000</v>
      </c>
    </row>
    <row r="1219" spans="1:15" x14ac:dyDescent="0.2">
      <c r="A1219" s="51" t="s">
        <v>3567</v>
      </c>
      <c r="B1219" s="51" t="s">
        <v>3568</v>
      </c>
      <c r="C1219" s="51" t="s">
        <v>86</v>
      </c>
      <c r="D1219" s="51" t="s">
        <v>3322</v>
      </c>
      <c r="E1219" s="51" t="s">
        <v>3321</v>
      </c>
      <c r="F1219" s="52">
        <v>11284.22577042282</v>
      </c>
      <c r="G1219" s="52">
        <v>29413</v>
      </c>
      <c r="H1219" s="52">
        <v>35735</v>
      </c>
      <c r="I1219" s="52">
        <v>65148</v>
      </c>
      <c r="J1219" s="51">
        <v>1</v>
      </c>
      <c r="K1219" s="54">
        <v>10000</v>
      </c>
      <c r="L1219" s="51">
        <v>2</v>
      </c>
      <c r="M1219" s="54">
        <v>15000</v>
      </c>
      <c r="N1219" s="53">
        <f t="shared" ref="N1219:N1282" si="38">K1219-M1219</f>
        <v>-5000</v>
      </c>
      <c r="O1219" s="53">
        <f t="shared" ref="O1219:O1282" si="39">M1219-K1219</f>
        <v>5000</v>
      </c>
    </row>
    <row r="1220" spans="1:15" x14ac:dyDescent="0.2">
      <c r="A1220" s="51" t="s">
        <v>3567</v>
      </c>
      <c r="B1220" s="51" t="s">
        <v>3568</v>
      </c>
      <c r="C1220" s="51" t="s">
        <v>87</v>
      </c>
      <c r="D1220" s="51" t="s">
        <v>2927</v>
      </c>
      <c r="E1220" s="51" t="s">
        <v>2926</v>
      </c>
      <c r="F1220" s="52">
        <v>13821.63103533637</v>
      </c>
      <c r="G1220" s="52">
        <v>4500</v>
      </c>
      <c r="H1220" s="52">
        <v>71135</v>
      </c>
      <c r="I1220" s="52">
        <v>75635</v>
      </c>
      <c r="J1220" s="51">
        <v>0</v>
      </c>
      <c r="K1220" s="54">
        <v>0</v>
      </c>
      <c r="L1220" s="51">
        <v>2</v>
      </c>
      <c r="M1220" s="54">
        <v>110000</v>
      </c>
      <c r="N1220" s="53">
        <f t="shared" si="38"/>
        <v>-110000</v>
      </c>
      <c r="O1220" s="53">
        <f t="shared" si="39"/>
        <v>110000</v>
      </c>
    </row>
    <row r="1221" spans="1:15" x14ac:dyDescent="0.2">
      <c r="A1221" s="51" t="s">
        <v>3567</v>
      </c>
      <c r="B1221" s="51" t="s">
        <v>3568</v>
      </c>
      <c r="C1221" s="51" t="s">
        <v>76</v>
      </c>
      <c r="D1221" s="51" t="s">
        <v>2881</v>
      </c>
      <c r="E1221" s="51" t="s">
        <v>2880</v>
      </c>
      <c r="F1221" s="52">
        <v>16779.326693211329</v>
      </c>
      <c r="G1221" s="52">
        <v>2520</v>
      </c>
      <c r="H1221" s="52">
        <v>49670</v>
      </c>
      <c r="I1221" s="52">
        <v>52190</v>
      </c>
      <c r="J1221" s="51">
        <v>0</v>
      </c>
      <c r="K1221" s="54">
        <v>0</v>
      </c>
      <c r="L1221" s="51">
        <v>3</v>
      </c>
      <c r="M1221" s="54">
        <v>60000</v>
      </c>
      <c r="N1221" s="53">
        <f t="shared" si="38"/>
        <v>-60000</v>
      </c>
      <c r="O1221" s="53">
        <f t="shared" si="39"/>
        <v>60000</v>
      </c>
    </row>
    <row r="1222" spans="1:15" x14ac:dyDescent="0.2">
      <c r="A1222" s="51" t="s">
        <v>3567</v>
      </c>
      <c r="B1222" s="51" t="s">
        <v>3568</v>
      </c>
      <c r="C1222" s="51" t="s">
        <v>80</v>
      </c>
      <c r="D1222" s="51" t="s">
        <v>4192</v>
      </c>
      <c r="E1222" s="51" t="s">
        <v>4193</v>
      </c>
      <c r="F1222" s="52">
        <v>1.2318499999999999</v>
      </c>
      <c r="G1222" s="52">
        <v>0</v>
      </c>
      <c r="H1222" s="52">
        <v>0</v>
      </c>
      <c r="I1222" s="52">
        <v>0</v>
      </c>
      <c r="J1222" s="51">
        <v>0</v>
      </c>
      <c r="K1222" s="54">
        <v>0</v>
      </c>
      <c r="L1222" s="51">
        <v>0</v>
      </c>
      <c r="M1222" s="54">
        <v>0</v>
      </c>
      <c r="N1222" s="53">
        <f t="shared" si="38"/>
        <v>0</v>
      </c>
      <c r="O1222" s="53">
        <f t="shared" si="39"/>
        <v>0</v>
      </c>
    </row>
    <row r="1223" spans="1:15" x14ac:dyDescent="0.2">
      <c r="A1223" s="51" t="s">
        <v>3567</v>
      </c>
      <c r="B1223" s="51" t="s">
        <v>3568</v>
      </c>
      <c r="C1223" s="51" t="s">
        <v>73</v>
      </c>
      <c r="D1223" s="51" t="s">
        <v>311</v>
      </c>
      <c r="E1223" s="51" t="s">
        <v>310</v>
      </c>
      <c r="F1223" s="52">
        <v>6622.6738999999998</v>
      </c>
      <c r="G1223" s="52">
        <v>1350</v>
      </c>
      <c r="H1223" s="52">
        <v>1000</v>
      </c>
      <c r="I1223" s="52">
        <v>2350</v>
      </c>
      <c r="J1223" s="51">
        <v>1</v>
      </c>
      <c r="K1223" s="54">
        <v>5000</v>
      </c>
      <c r="L1223" s="51">
        <v>0</v>
      </c>
      <c r="M1223" s="54">
        <v>0</v>
      </c>
      <c r="N1223" s="53">
        <f t="shared" si="38"/>
        <v>5000</v>
      </c>
      <c r="O1223" s="53">
        <f t="shared" si="39"/>
        <v>-5000</v>
      </c>
    </row>
    <row r="1224" spans="1:15" x14ac:dyDescent="0.2">
      <c r="A1224" s="51" t="s">
        <v>3567</v>
      </c>
      <c r="B1224" s="51" t="s">
        <v>3568</v>
      </c>
      <c r="C1224" s="51" t="s">
        <v>72</v>
      </c>
      <c r="D1224" s="51" t="s">
        <v>452</v>
      </c>
      <c r="E1224" s="51" t="s">
        <v>451</v>
      </c>
      <c r="F1224" s="52">
        <v>2141.6059</v>
      </c>
      <c r="G1224" s="52">
        <v>0</v>
      </c>
      <c r="H1224" s="52">
        <v>5350</v>
      </c>
      <c r="I1224" s="52">
        <v>5350</v>
      </c>
      <c r="J1224" s="51">
        <v>1</v>
      </c>
      <c r="K1224" s="54">
        <v>5000</v>
      </c>
      <c r="L1224" s="51">
        <v>1</v>
      </c>
      <c r="M1224" s="54">
        <v>13000</v>
      </c>
      <c r="N1224" s="53">
        <f t="shared" si="38"/>
        <v>-8000</v>
      </c>
      <c r="O1224" s="53">
        <f t="shared" si="39"/>
        <v>8000</v>
      </c>
    </row>
    <row r="1225" spans="1:15" x14ac:dyDescent="0.2">
      <c r="A1225" s="51" t="s">
        <v>3567</v>
      </c>
      <c r="B1225" s="51" t="s">
        <v>3568</v>
      </c>
      <c r="C1225" s="51" t="s">
        <v>77</v>
      </c>
      <c r="D1225" s="51" t="s">
        <v>2255</v>
      </c>
      <c r="E1225" s="51" t="s">
        <v>2254</v>
      </c>
      <c r="F1225" s="52">
        <v>23484.90748455685</v>
      </c>
      <c r="G1225" s="52">
        <v>805</v>
      </c>
      <c r="H1225" s="52">
        <v>1535</v>
      </c>
      <c r="I1225" s="52">
        <v>2340</v>
      </c>
      <c r="J1225" s="51">
        <v>1</v>
      </c>
      <c r="K1225" s="54">
        <v>5000</v>
      </c>
      <c r="L1225" s="51">
        <v>0</v>
      </c>
      <c r="M1225" s="54">
        <v>0</v>
      </c>
      <c r="N1225" s="53">
        <f t="shared" si="38"/>
        <v>5000</v>
      </c>
      <c r="O1225" s="53">
        <f t="shared" si="39"/>
        <v>-5000</v>
      </c>
    </row>
    <row r="1226" spans="1:15" x14ac:dyDescent="0.2">
      <c r="A1226" s="51" t="s">
        <v>3567</v>
      </c>
      <c r="B1226" s="51" t="s">
        <v>3568</v>
      </c>
      <c r="C1226" s="51" t="s">
        <v>68</v>
      </c>
      <c r="D1226" s="51" t="s">
        <v>2572</v>
      </c>
      <c r="E1226" s="51" t="s">
        <v>2571</v>
      </c>
      <c r="F1226" s="52">
        <v>3028.5204007209659</v>
      </c>
      <c r="G1226" s="52">
        <v>3678</v>
      </c>
      <c r="H1226" s="52">
        <v>1610</v>
      </c>
      <c r="I1226" s="52">
        <v>5288</v>
      </c>
      <c r="J1226" s="51">
        <v>1</v>
      </c>
      <c r="K1226" s="54">
        <v>5000</v>
      </c>
      <c r="L1226" s="51">
        <v>0</v>
      </c>
      <c r="M1226" s="54">
        <v>0</v>
      </c>
      <c r="N1226" s="53">
        <f t="shared" si="38"/>
        <v>5000</v>
      </c>
      <c r="O1226" s="53">
        <f t="shared" si="39"/>
        <v>-5000</v>
      </c>
    </row>
    <row r="1227" spans="1:15" x14ac:dyDescent="0.2">
      <c r="A1227" s="51" t="s">
        <v>3567</v>
      </c>
      <c r="B1227" s="51" t="s">
        <v>3568</v>
      </c>
      <c r="C1227" s="51" t="s">
        <v>93</v>
      </c>
      <c r="D1227" s="51" t="s">
        <v>1486</v>
      </c>
      <c r="E1227" s="51" t="s">
        <v>1485</v>
      </c>
      <c r="F1227" s="52">
        <v>250.37697094723231</v>
      </c>
      <c r="G1227" s="52">
        <v>7590</v>
      </c>
      <c r="H1227" s="52">
        <v>28490</v>
      </c>
      <c r="I1227" s="52">
        <v>36080</v>
      </c>
      <c r="J1227" s="51">
        <v>1</v>
      </c>
      <c r="K1227" s="54">
        <v>10000</v>
      </c>
      <c r="L1227" s="51">
        <v>1</v>
      </c>
      <c r="M1227" s="54">
        <v>30000</v>
      </c>
      <c r="N1227" s="53">
        <f t="shared" si="38"/>
        <v>-20000</v>
      </c>
      <c r="O1227" s="53">
        <f t="shared" si="39"/>
        <v>20000</v>
      </c>
    </row>
    <row r="1228" spans="1:15" x14ac:dyDescent="0.2">
      <c r="A1228" s="51" t="s">
        <v>3567</v>
      </c>
      <c r="B1228" s="51" t="s">
        <v>3568</v>
      </c>
      <c r="C1228" s="51" t="s">
        <v>52</v>
      </c>
      <c r="D1228" s="51" t="s">
        <v>130</v>
      </c>
      <c r="E1228" s="51" t="s">
        <v>129</v>
      </c>
      <c r="F1228" s="52">
        <v>5646.5908513629829</v>
      </c>
      <c r="G1228" s="52">
        <v>20000</v>
      </c>
      <c r="H1228" s="52">
        <v>1600</v>
      </c>
      <c r="I1228" s="52">
        <v>21600</v>
      </c>
      <c r="J1228" s="51">
        <v>1</v>
      </c>
      <c r="K1228" s="54">
        <v>20000</v>
      </c>
      <c r="L1228" s="51">
        <v>0</v>
      </c>
      <c r="M1228" s="54">
        <v>0</v>
      </c>
      <c r="N1228" s="53">
        <f t="shared" si="38"/>
        <v>20000</v>
      </c>
      <c r="O1228" s="53">
        <f t="shared" si="39"/>
        <v>-20000</v>
      </c>
    </row>
    <row r="1229" spans="1:15" x14ac:dyDescent="0.2">
      <c r="A1229" s="51" t="s">
        <v>3567</v>
      </c>
      <c r="B1229" s="51" t="s">
        <v>3568</v>
      </c>
      <c r="C1229" s="51" t="s">
        <v>64</v>
      </c>
      <c r="D1229" s="51" t="s">
        <v>4231</v>
      </c>
      <c r="E1229" s="51" t="s">
        <v>4232</v>
      </c>
      <c r="F1229" s="52">
        <v>0</v>
      </c>
      <c r="G1229" s="52">
        <v>0</v>
      </c>
      <c r="H1229" s="52">
        <v>0</v>
      </c>
      <c r="I1229" s="52">
        <v>0</v>
      </c>
      <c r="J1229" s="51">
        <v>0</v>
      </c>
      <c r="K1229" s="54">
        <v>0</v>
      </c>
      <c r="L1229" s="51">
        <v>0</v>
      </c>
      <c r="M1229" s="54">
        <v>0</v>
      </c>
      <c r="N1229" s="53">
        <f t="shared" si="38"/>
        <v>0</v>
      </c>
      <c r="O1229" s="53">
        <f t="shared" si="39"/>
        <v>0</v>
      </c>
    </row>
    <row r="1230" spans="1:15" x14ac:dyDescent="0.2">
      <c r="A1230" s="51" t="s">
        <v>3567</v>
      </c>
      <c r="B1230" s="51" t="s">
        <v>3568</v>
      </c>
      <c r="C1230" s="51" t="s">
        <v>81</v>
      </c>
      <c r="D1230" s="51" t="s">
        <v>642</v>
      </c>
      <c r="E1230" s="51" t="s">
        <v>641</v>
      </c>
      <c r="F1230" s="52">
        <v>14586.1955</v>
      </c>
      <c r="G1230" s="52">
        <v>0</v>
      </c>
      <c r="H1230" s="52">
        <v>0</v>
      </c>
      <c r="I1230" s="52">
        <v>0</v>
      </c>
      <c r="J1230" s="51">
        <v>0</v>
      </c>
      <c r="K1230" s="54">
        <v>0</v>
      </c>
      <c r="L1230" s="51">
        <v>0</v>
      </c>
      <c r="M1230" s="54">
        <v>0</v>
      </c>
      <c r="N1230" s="53">
        <f t="shared" si="38"/>
        <v>0</v>
      </c>
      <c r="O1230" s="53">
        <f t="shared" si="39"/>
        <v>0</v>
      </c>
    </row>
    <row r="1231" spans="1:15" x14ac:dyDescent="0.2">
      <c r="A1231" s="51" t="s">
        <v>3567</v>
      </c>
      <c r="B1231" s="51" t="s">
        <v>3568</v>
      </c>
      <c r="C1231" s="51" t="s">
        <v>86</v>
      </c>
      <c r="D1231" s="51" t="s">
        <v>2970</v>
      </c>
      <c r="E1231" s="51" t="s">
        <v>2969</v>
      </c>
      <c r="F1231" s="52">
        <v>226.52729538604811</v>
      </c>
      <c r="G1231" s="52">
        <v>2000</v>
      </c>
      <c r="H1231" s="52">
        <v>1500</v>
      </c>
      <c r="I1231" s="52">
        <v>3500</v>
      </c>
      <c r="J1231" s="51">
        <v>0</v>
      </c>
      <c r="K1231" s="54">
        <v>0</v>
      </c>
      <c r="L1231" s="51">
        <v>1</v>
      </c>
      <c r="M1231" s="54">
        <v>12000</v>
      </c>
      <c r="N1231" s="53">
        <f t="shared" si="38"/>
        <v>-12000</v>
      </c>
      <c r="O1231" s="53">
        <f t="shared" si="39"/>
        <v>12000</v>
      </c>
    </row>
    <row r="1232" spans="1:15" x14ac:dyDescent="0.2">
      <c r="A1232" s="51" t="s">
        <v>3567</v>
      </c>
      <c r="B1232" s="51" t="s">
        <v>3568</v>
      </c>
      <c r="C1232" s="51" t="s">
        <v>84</v>
      </c>
      <c r="D1232" s="51" t="s">
        <v>2461</v>
      </c>
      <c r="E1232" s="51" t="s">
        <v>903</v>
      </c>
      <c r="F1232" s="52">
        <v>69532.245899450907</v>
      </c>
      <c r="G1232" s="52">
        <v>25601</v>
      </c>
      <c r="H1232" s="52">
        <v>36080</v>
      </c>
      <c r="I1232" s="52">
        <v>61681</v>
      </c>
      <c r="J1232" s="51">
        <v>2</v>
      </c>
      <c r="K1232" s="54">
        <v>10000</v>
      </c>
      <c r="L1232" s="51">
        <v>0</v>
      </c>
      <c r="M1232" s="54">
        <v>0</v>
      </c>
      <c r="N1232" s="53">
        <f t="shared" si="38"/>
        <v>10000</v>
      </c>
      <c r="O1232" s="53">
        <f t="shared" si="39"/>
        <v>-10000</v>
      </c>
    </row>
    <row r="1233" spans="1:15" x14ac:dyDescent="0.2">
      <c r="A1233" s="51" t="s">
        <v>3567</v>
      </c>
      <c r="B1233" s="51" t="s">
        <v>3568</v>
      </c>
      <c r="C1233" s="51" t="s">
        <v>64</v>
      </c>
      <c r="D1233" s="51" t="s">
        <v>1877</v>
      </c>
      <c r="E1233" s="51" t="s">
        <v>1876</v>
      </c>
      <c r="F1233" s="52">
        <v>38511.038099999998</v>
      </c>
      <c r="G1233" s="52">
        <v>410</v>
      </c>
      <c r="H1233" s="52">
        <v>800</v>
      </c>
      <c r="I1233" s="52">
        <v>1210</v>
      </c>
      <c r="J1233" s="51">
        <v>1</v>
      </c>
      <c r="K1233" s="54">
        <v>6000</v>
      </c>
      <c r="L1233" s="51">
        <v>0</v>
      </c>
      <c r="M1233" s="54">
        <v>0</v>
      </c>
      <c r="N1233" s="53">
        <f t="shared" si="38"/>
        <v>6000</v>
      </c>
      <c r="O1233" s="53">
        <f t="shared" si="39"/>
        <v>-6000</v>
      </c>
    </row>
    <row r="1234" spans="1:15" x14ac:dyDescent="0.2">
      <c r="A1234" s="51" t="s">
        <v>3567</v>
      </c>
      <c r="B1234" s="51" t="s">
        <v>3568</v>
      </c>
      <c r="C1234" s="51" t="s">
        <v>4149</v>
      </c>
      <c r="D1234" s="51" t="s">
        <v>4219</v>
      </c>
      <c r="E1234" s="51" t="s">
        <v>4220</v>
      </c>
      <c r="F1234" s="52">
        <v>8.6029924055352609</v>
      </c>
      <c r="G1234" s="52">
        <v>0</v>
      </c>
      <c r="H1234" s="52">
        <v>0</v>
      </c>
      <c r="I1234" s="52">
        <v>0</v>
      </c>
      <c r="J1234" s="51">
        <v>0</v>
      </c>
      <c r="K1234" s="54">
        <v>0</v>
      </c>
      <c r="L1234" s="51">
        <v>0</v>
      </c>
      <c r="M1234" s="54">
        <v>0</v>
      </c>
      <c r="N1234" s="53">
        <f t="shared" si="38"/>
        <v>0</v>
      </c>
      <c r="O1234" s="53">
        <f t="shared" si="39"/>
        <v>0</v>
      </c>
    </row>
    <row r="1235" spans="1:15" x14ac:dyDescent="0.2">
      <c r="A1235" s="51" t="s">
        <v>3567</v>
      </c>
      <c r="B1235" s="51" t="s">
        <v>3568</v>
      </c>
      <c r="C1235" s="51" t="s">
        <v>64</v>
      </c>
      <c r="D1235" s="51" t="s">
        <v>2054</v>
      </c>
      <c r="E1235" s="51" t="s">
        <v>2053</v>
      </c>
      <c r="F1235" s="52">
        <v>21007.507676908699</v>
      </c>
      <c r="G1235" s="52">
        <v>0</v>
      </c>
      <c r="H1235" s="52">
        <v>500</v>
      </c>
      <c r="I1235" s="52">
        <v>500</v>
      </c>
      <c r="J1235" s="51">
        <v>0</v>
      </c>
      <c r="K1235" s="54">
        <v>0</v>
      </c>
      <c r="L1235" s="51">
        <v>1</v>
      </c>
      <c r="M1235" s="54">
        <v>5000</v>
      </c>
      <c r="N1235" s="53">
        <f t="shared" si="38"/>
        <v>-5000</v>
      </c>
      <c r="O1235" s="53">
        <f t="shared" si="39"/>
        <v>5000</v>
      </c>
    </row>
    <row r="1236" spans="1:15" x14ac:dyDescent="0.2">
      <c r="A1236" s="51" t="s">
        <v>3567</v>
      </c>
      <c r="B1236" s="51" t="s">
        <v>3568</v>
      </c>
      <c r="C1236" s="51" t="s">
        <v>93</v>
      </c>
      <c r="D1236" s="51" t="s">
        <v>2507</v>
      </c>
      <c r="E1236" s="51" t="s">
        <v>2506</v>
      </c>
      <c r="F1236" s="52">
        <v>9261.1822000009997</v>
      </c>
      <c r="G1236" s="52">
        <v>1900</v>
      </c>
      <c r="H1236" s="52">
        <v>4440</v>
      </c>
      <c r="I1236" s="52">
        <v>6340</v>
      </c>
      <c r="J1236" s="51">
        <v>1</v>
      </c>
      <c r="K1236" s="54">
        <v>5000</v>
      </c>
      <c r="L1236" s="51">
        <v>0</v>
      </c>
      <c r="M1236" s="54">
        <v>0</v>
      </c>
      <c r="N1236" s="53">
        <f t="shared" si="38"/>
        <v>5000</v>
      </c>
      <c r="O1236" s="53">
        <f t="shared" si="39"/>
        <v>-5000</v>
      </c>
    </row>
    <row r="1237" spans="1:15" x14ac:dyDescent="0.2">
      <c r="A1237" s="51" t="s">
        <v>3567</v>
      </c>
      <c r="B1237" s="51" t="s">
        <v>3568</v>
      </c>
      <c r="C1237" s="51" t="s">
        <v>53</v>
      </c>
      <c r="D1237" s="51" t="s">
        <v>1961</v>
      </c>
      <c r="E1237" s="51" t="s">
        <v>1921</v>
      </c>
      <c r="F1237" s="52">
        <v>3403.87486312385</v>
      </c>
      <c r="G1237" s="52">
        <v>6490</v>
      </c>
      <c r="H1237" s="52">
        <v>300</v>
      </c>
      <c r="I1237" s="52">
        <v>6790</v>
      </c>
      <c r="J1237" s="51">
        <v>1</v>
      </c>
      <c r="K1237" s="54">
        <v>5000</v>
      </c>
      <c r="L1237" s="51">
        <v>0</v>
      </c>
      <c r="M1237" s="54">
        <v>0</v>
      </c>
      <c r="N1237" s="53">
        <f t="shared" si="38"/>
        <v>5000</v>
      </c>
      <c r="O1237" s="53">
        <f t="shared" si="39"/>
        <v>-5000</v>
      </c>
    </row>
    <row r="1238" spans="1:15" x14ac:dyDescent="0.2">
      <c r="A1238" s="51" t="s">
        <v>3567</v>
      </c>
      <c r="B1238" s="51" t="s">
        <v>3568</v>
      </c>
      <c r="C1238" s="51" t="s">
        <v>57</v>
      </c>
      <c r="D1238" s="51" t="s">
        <v>2338</v>
      </c>
      <c r="E1238" s="51" t="s">
        <v>2337</v>
      </c>
      <c r="F1238" s="52">
        <v>37.616308244859319</v>
      </c>
      <c r="G1238" s="52">
        <v>1205</v>
      </c>
      <c r="H1238" s="52">
        <v>6604</v>
      </c>
      <c r="I1238" s="52">
        <v>7809</v>
      </c>
      <c r="J1238" s="51">
        <v>0</v>
      </c>
      <c r="K1238" s="54">
        <v>0</v>
      </c>
      <c r="L1238" s="51">
        <v>2</v>
      </c>
      <c r="M1238" s="54">
        <v>7000</v>
      </c>
      <c r="N1238" s="53">
        <f t="shared" si="38"/>
        <v>-7000</v>
      </c>
      <c r="O1238" s="53">
        <f t="shared" si="39"/>
        <v>7000</v>
      </c>
    </row>
    <row r="1239" spans="1:15" x14ac:dyDescent="0.2">
      <c r="A1239" s="51" t="s">
        <v>3567</v>
      </c>
      <c r="B1239" s="51" t="s">
        <v>3568</v>
      </c>
      <c r="C1239" s="51" t="s">
        <v>63</v>
      </c>
      <c r="D1239" s="51" t="s">
        <v>1513</v>
      </c>
      <c r="E1239" s="51" t="s">
        <v>1512</v>
      </c>
      <c r="F1239" s="52">
        <v>1247.4147</v>
      </c>
      <c r="G1239" s="52">
        <v>0</v>
      </c>
      <c r="H1239" s="52">
        <v>30000</v>
      </c>
      <c r="I1239" s="52">
        <v>30000</v>
      </c>
      <c r="J1239" s="51">
        <v>0</v>
      </c>
      <c r="K1239" s="54">
        <v>0</v>
      </c>
      <c r="L1239" s="51">
        <v>2</v>
      </c>
      <c r="M1239" s="54">
        <v>43000</v>
      </c>
      <c r="N1239" s="53">
        <f t="shared" si="38"/>
        <v>-43000</v>
      </c>
      <c r="O1239" s="53">
        <f t="shared" si="39"/>
        <v>43000</v>
      </c>
    </row>
    <row r="1240" spans="1:15" x14ac:dyDescent="0.2">
      <c r="A1240" s="51" t="s">
        <v>3567</v>
      </c>
      <c r="B1240" s="51" t="s">
        <v>3568</v>
      </c>
      <c r="C1240" s="51" t="s">
        <v>93</v>
      </c>
      <c r="D1240" s="51" t="s">
        <v>503</v>
      </c>
      <c r="E1240" s="51" t="s">
        <v>502</v>
      </c>
      <c r="F1240" s="52">
        <v>2329.029614417982</v>
      </c>
      <c r="G1240" s="52">
        <v>27755</v>
      </c>
      <c r="H1240" s="52">
        <v>17520</v>
      </c>
      <c r="I1240" s="52">
        <v>45275</v>
      </c>
      <c r="J1240" s="51">
        <v>2</v>
      </c>
      <c r="K1240" s="54">
        <v>10000</v>
      </c>
      <c r="L1240" s="51">
        <v>1</v>
      </c>
      <c r="M1240" s="54">
        <v>5000</v>
      </c>
      <c r="N1240" s="53">
        <f t="shared" si="38"/>
        <v>5000</v>
      </c>
      <c r="O1240" s="53">
        <f t="shared" si="39"/>
        <v>-5000</v>
      </c>
    </row>
    <row r="1241" spans="1:15" x14ac:dyDescent="0.2">
      <c r="A1241" s="51" t="s">
        <v>3567</v>
      </c>
      <c r="B1241" s="51" t="s">
        <v>3568</v>
      </c>
      <c r="C1241" s="51" t="s">
        <v>58</v>
      </c>
      <c r="D1241" s="51" t="s">
        <v>1828</v>
      </c>
      <c r="E1241" s="51" t="s">
        <v>1827</v>
      </c>
      <c r="F1241" s="52">
        <v>52.849714619374403</v>
      </c>
      <c r="G1241" s="52">
        <v>25070</v>
      </c>
      <c r="H1241" s="52">
        <v>0</v>
      </c>
      <c r="I1241" s="52">
        <v>25070</v>
      </c>
      <c r="J1241" s="51">
        <v>1</v>
      </c>
      <c r="K1241" s="54">
        <v>25000</v>
      </c>
      <c r="L1241" s="51">
        <v>0</v>
      </c>
      <c r="M1241" s="54">
        <v>0</v>
      </c>
      <c r="N1241" s="53">
        <f t="shared" si="38"/>
        <v>25000</v>
      </c>
      <c r="O1241" s="53">
        <f t="shared" si="39"/>
        <v>-25000</v>
      </c>
    </row>
    <row r="1242" spans="1:15" x14ac:dyDescent="0.2">
      <c r="A1242" s="51" t="s">
        <v>3567</v>
      </c>
      <c r="B1242" s="51" t="s">
        <v>3568</v>
      </c>
      <c r="C1242" s="51" t="s">
        <v>3718</v>
      </c>
      <c r="D1242" s="51" t="s">
        <v>4262</v>
      </c>
      <c r="E1242" s="51" t="s">
        <v>4263</v>
      </c>
      <c r="F1242" s="52">
        <v>24.692687994047361</v>
      </c>
      <c r="G1242" s="52">
        <v>0</v>
      </c>
      <c r="H1242" s="52">
        <v>0</v>
      </c>
      <c r="I1242" s="52">
        <v>0</v>
      </c>
      <c r="J1242" s="51">
        <v>0</v>
      </c>
      <c r="K1242" s="54">
        <v>0</v>
      </c>
      <c r="L1242" s="51">
        <v>0</v>
      </c>
      <c r="M1242" s="54">
        <v>0</v>
      </c>
      <c r="N1242" s="53">
        <f t="shared" si="38"/>
        <v>0</v>
      </c>
      <c r="O1242" s="53">
        <f t="shared" si="39"/>
        <v>0</v>
      </c>
    </row>
    <row r="1243" spans="1:15" x14ac:dyDescent="0.2">
      <c r="A1243" s="51" t="s">
        <v>3567</v>
      </c>
      <c r="B1243" s="51" t="s">
        <v>3568</v>
      </c>
      <c r="C1243" s="51" t="s">
        <v>81</v>
      </c>
      <c r="D1243" s="51" t="s">
        <v>2092</v>
      </c>
      <c r="E1243" s="51" t="s">
        <v>2091</v>
      </c>
      <c r="F1243" s="52">
        <v>179986.574976</v>
      </c>
      <c r="G1243" s="52">
        <v>19700</v>
      </c>
      <c r="H1243" s="52">
        <v>11781</v>
      </c>
      <c r="I1243" s="52">
        <v>31481</v>
      </c>
      <c r="J1243" s="51">
        <v>0</v>
      </c>
      <c r="K1243" s="54">
        <v>0</v>
      </c>
      <c r="L1243" s="51">
        <v>0</v>
      </c>
      <c r="M1243" s="54">
        <v>0</v>
      </c>
      <c r="N1243" s="53">
        <f t="shared" si="38"/>
        <v>0</v>
      </c>
      <c r="O1243" s="53">
        <f t="shared" si="39"/>
        <v>0</v>
      </c>
    </row>
    <row r="1244" spans="1:15" x14ac:dyDescent="0.2">
      <c r="A1244" s="51" t="s">
        <v>3567</v>
      </c>
      <c r="B1244" s="51" t="s">
        <v>3568</v>
      </c>
      <c r="C1244" s="51" t="s">
        <v>82</v>
      </c>
      <c r="D1244" s="51" t="s">
        <v>2591</v>
      </c>
      <c r="E1244" s="51" t="s">
        <v>2590</v>
      </c>
      <c r="F1244" s="52">
        <v>96.492007999999998</v>
      </c>
      <c r="G1244" s="52">
        <v>0</v>
      </c>
      <c r="H1244" s="52">
        <v>0</v>
      </c>
      <c r="I1244" s="52">
        <v>0</v>
      </c>
      <c r="J1244" s="51">
        <v>0</v>
      </c>
      <c r="K1244" s="54">
        <v>0</v>
      </c>
      <c r="L1244" s="51">
        <v>0</v>
      </c>
      <c r="M1244" s="54">
        <v>0</v>
      </c>
      <c r="N1244" s="53">
        <f t="shared" si="38"/>
        <v>0</v>
      </c>
      <c r="O1244" s="53">
        <f t="shared" si="39"/>
        <v>0</v>
      </c>
    </row>
    <row r="1245" spans="1:15" x14ac:dyDescent="0.2">
      <c r="A1245" s="51" t="s">
        <v>3567</v>
      </c>
      <c r="B1245" s="51" t="s">
        <v>3568</v>
      </c>
      <c r="C1245" s="51" t="s">
        <v>82</v>
      </c>
      <c r="D1245" s="51" t="s">
        <v>1575</v>
      </c>
      <c r="E1245" s="51" t="s">
        <v>1574</v>
      </c>
      <c r="F1245" s="52">
        <v>99.204400000000007</v>
      </c>
      <c r="G1245" s="52">
        <v>16384</v>
      </c>
      <c r="H1245" s="52">
        <v>1400</v>
      </c>
      <c r="I1245" s="52">
        <v>17784</v>
      </c>
      <c r="J1245" s="51">
        <v>2</v>
      </c>
      <c r="K1245" s="54">
        <v>15000</v>
      </c>
      <c r="L1245" s="51">
        <v>0</v>
      </c>
      <c r="M1245" s="54">
        <v>0</v>
      </c>
      <c r="N1245" s="53">
        <f t="shared" si="38"/>
        <v>15000</v>
      </c>
      <c r="O1245" s="53">
        <f t="shared" si="39"/>
        <v>-15000</v>
      </c>
    </row>
    <row r="1246" spans="1:15" x14ac:dyDescent="0.2">
      <c r="A1246" s="51" t="s">
        <v>3567</v>
      </c>
      <c r="B1246" s="51" t="s">
        <v>3568</v>
      </c>
      <c r="C1246" s="51" t="s">
        <v>77</v>
      </c>
      <c r="D1246" s="51" t="s">
        <v>2408</v>
      </c>
      <c r="E1246" s="51" t="s">
        <v>2407</v>
      </c>
      <c r="F1246" s="52">
        <v>42948.06193805136</v>
      </c>
      <c r="G1246" s="52">
        <v>2410</v>
      </c>
      <c r="H1246" s="52">
        <v>10900</v>
      </c>
      <c r="I1246" s="52">
        <v>13310</v>
      </c>
      <c r="J1246" s="51">
        <v>0</v>
      </c>
      <c r="K1246" s="54">
        <v>0</v>
      </c>
      <c r="L1246" s="51">
        <v>1</v>
      </c>
      <c r="M1246" s="54">
        <v>55000</v>
      </c>
      <c r="N1246" s="53">
        <f t="shared" si="38"/>
        <v>-55000</v>
      </c>
      <c r="O1246" s="53">
        <f t="shared" si="39"/>
        <v>55000</v>
      </c>
    </row>
    <row r="1247" spans="1:15" x14ac:dyDescent="0.2">
      <c r="A1247" s="51" t="s">
        <v>3567</v>
      </c>
      <c r="B1247" s="51" t="s">
        <v>3568</v>
      </c>
      <c r="C1247" s="51" t="s">
        <v>55</v>
      </c>
      <c r="D1247" s="51" t="s">
        <v>172</v>
      </c>
      <c r="E1247" s="51" t="s">
        <v>171</v>
      </c>
      <c r="F1247" s="52">
        <v>40058.929400000001</v>
      </c>
      <c r="G1247" s="52">
        <v>10970</v>
      </c>
      <c r="H1247" s="52">
        <v>740</v>
      </c>
      <c r="I1247" s="52">
        <v>11710</v>
      </c>
      <c r="J1247" s="51">
        <v>1</v>
      </c>
      <c r="K1247" s="54">
        <v>5000</v>
      </c>
      <c r="L1247" s="51">
        <v>0</v>
      </c>
      <c r="M1247" s="54">
        <v>0</v>
      </c>
      <c r="N1247" s="53">
        <f t="shared" si="38"/>
        <v>5000</v>
      </c>
      <c r="O1247" s="53">
        <f t="shared" si="39"/>
        <v>-5000</v>
      </c>
    </row>
    <row r="1248" spans="1:15" x14ac:dyDescent="0.2">
      <c r="A1248" s="51" t="s">
        <v>3567</v>
      </c>
      <c r="B1248" s="51" t="s">
        <v>3568</v>
      </c>
      <c r="C1248" s="51" t="s">
        <v>3630</v>
      </c>
      <c r="D1248" s="51" t="s">
        <v>4241</v>
      </c>
      <c r="E1248" s="51" t="s">
        <v>4242</v>
      </c>
      <c r="F1248" s="52">
        <v>425.09835426119997</v>
      </c>
      <c r="G1248" s="52">
        <v>0</v>
      </c>
      <c r="H1248" s="52">
        <v>0</v>
      </c>
      <c r="I1248" s="52">
        <v>0</v>
      </c>
      <c r="J1248" s="51">
        <v>0</v>
      </c>
      <c r="K1248" s="54">
        <v>0</v>
      </c>
      <c r="L1248" s="51">
        <v>0</v>
      </c>
      <c r="M1248" s="54">
        <v>0</v>
      </c>
      <c r="N1248" s="53">
        <f t="shared" si="38"/>
        <v>0</v>
      </c>
      <c r="O1248" s="53">
        <f t="shared" si="39"/>
        <v>0</v>
      </c>
    </row>
    <row r="1249" spans="1:15" x14ac:dyDescent="0.2">
      <c r="A1249" s="51" t="s">
        <v>3567</v>
      </c>
      <c r="B1249" s="51" t="s">
        <v>3568</v>
      </c>
      <c r="C1249" s="51" t="s">
        <v>57</v>
      </c>
      <c r="D1249" s="51" t="s">
        <v>3111</v>
      </c>
      <c r="E1249" s="51" t="s">
        <v>1124</v>
      </c>
      <c r="F1249" s="52">
        <v>0.84545000000000003</v>
      </c>
      <c r="G1249" s="52">
        <v>0</v>
      </c>
      <c r="H1249" s="52">
        <v>0</v>
      </c>
      <c r="I1249" s="52">
        <v>0</v>
      </c>
      <c r="J1249" s="51">
        <v>0</v>
      </c>
      <c r="K1249" s="54">
        <v>0</v>
      </c>
      <c r="L1249" s="51">
        <v>0</v>
      </c>
      <c r="M1249" s="54">
        <v>0</v>
      </c>
      <c r="N1249" s="53">
        <f t="shared" si="38"/>
        <v>0</v>
      </c>
      <c r="O1249" s="53">
        <f t="shared" si="39"/>
        <v>0</v>
      </c>
    </row>
    <row r="1250" spans="1:15" x14ac:dyDescent="0.2">
      <c r="A1250" s="51" t="s">
        <v>3567</v>
      </c>
      <c r="B1250" s="51" t="s">
        <v>3568</v>
      </c>
      <c r="C1250" s="51" t="s">
        <v>3647</v>
      </c>
      <c r="D1250" s="51" t="s">
        <v>4248</v>
      </c>
      <c r="E1250" s="51" t="s">
        <v>4249</v>
      </c>
      <c r="F1250" s="52">
        <v>649.14795499258912</v>
      </c>
      <c r="G1250" s="52">
        <v>0</v>
      </c>
      <c r="H1250" s="52">
        <v>0</v>
      </c>
      <c r="I1250" s="52">
        <v>0</v>
      </c>
      <c r="J1250" s="51">
        <v>0</v>
      </c>
      <c r="K1250" s="54">
        <v>0</v>
      </c>
      <c r="L1250" s="51">
        <v>0</v>
      </c>
      <c r="M1250" s="54">
        <v>0</v>
      </c>
      <c r="N1250" s="53">
        <f t="shared" si="38"/>
        <v>0</v>
      </c>
      <c r="O1250" s="53">
        <f t="shared" si="39"/>
        <v>0</v>
      </c>
    </row>
    <row r="1251" spans="1:15" x14ac:dyDescent="0.2">
      <c r="A1251" s="51" t="s">
        <v>3567</v>
      </c>
      <c r="B1251" s="51" t="s">
        <v>3568</v>
      </c>
      <c r="C1251" s="51" t="s">
        <v>55</v>
      </c>
      <c r="D1251" s="51" t="s">
        <v>210</v>
      </c>
      <c r="E1251" s="51" t="s">
        <v>209</v>
      </c>
      <c r="F1251" s="52">
        <v>22841.338884750421</v>
      </c>
      <c r="G1251" s="52">
        <v>500</v>
      </c>
      <c r="H1251" s="52">
        <v>2591</v>
      </c>
      <c r="I1251" s="52">
        <v>3091</v>
      </c>
      <c r="J1251" s="51">
        <v>1</v>
      </c>
      <c r="K1251" s="54">
        <v>6000</v>
      </c>
      <c r="L1251" s="51">
        <v>0</v>
      </c>
      <c r="M1251" s="54">
        <v>0</v>
      </c>
      <c r="N1251" s="53">
        <f t="shared" si="38"/>
        <v>6000</v>
      </c>
      <c r="O1251" s="53">
        <f t="shared" si="39"/>
        <v>-6000</v>
      </c>
    </row>
    <row r="1252" spans="1:15" x14ac:dyDescent="0.2">
      <c r="A1252" s="51" t="s">
        <v>3567</v>
      </c>
      <c r="B1252" s="51" t="s">
        <v>3568</v>
      </c>
      <c r="C1252" s="51" t="s">
        <v>56</v>
      </c>
      <c r="D1252" s="51" t="s">
        <v>1465</v>
      </c>
      <c r="E1252" s="51" t="s">
        <v>1464</v>
      </c>
      <c r="F1252" s="52">
        <v>17883.951622</v>
      </c>
      <c r="G1252" s="52">
        <v>300</v>
      </c>
      <c r="H1252" s="52">
        <v>0</v>
      </c>
      <c r="I1252" s="52">
        <v>300</v>
      </c>
      <c r="J1252" s="51">
        <v>0</v>
      </c>
      <c r="K1252" s="54">
        <v>0</v>
      </c>
      <c r="L1252" s="51">
        <v>1</v>
      </c>
      <c r="M1252" s="54">
        <v>5000</v>
      </c>
      <c r="N1252" s="53">
        <f t="shared" si="38"/>
        <v>-5000</v>
      </c>
      <c r="O1252" s="53">
        <f t="shared" si="39"/>
        <v>5000</v>
      </c>
    </row>
    <row r="1253" spans="1:15" x14ac:dyDescent="0.2">
      <c r="A1253" s="51" t="s">
        <v>3567</v>
      </c>
      <c r="B1253" s="51" t="s">
        <v>3568</v>
      </c>
      <c r="C1253" s="51" t="s">
        <v>53</v>
      </c>
      <c r="D1253" s="51" t="s">
        <v>744</v>
      </c>
      <c r="E1253" s="51" t="s">
        <v>153</v>
      </c>
      <c r="F1253" s="52">
        <v>34985.422200000001</v>
      </c>
      <c r="G1253" s="52">
        <v>810</v>
      </c>
      <c r="H1253" s="52">
        <v>500</v>
      </c>
      <c r="I1253" s="52">
        <v>1310</v>
      </c>
      <c r="J1253" s="51">
        <v>1</v>
      </c>
      <c r="K1253" s="54">
        <v>30000</v>
      </c>
      <c r="L1253" s="51">
        <v>0</v>
      </c>
      <c r="M1253" s="54">
        <v>0</v>
      </c>
      <c r="N1253" s="53">
        <f t="shared" si="38"/>
        <v>30000</v>
      </c>
      <c r="O1253" s="53">
        <f t="shared" si="39"/>
        <v>-30000</v>
      </c>
    </row>
    <row r="1254" spans="1:15" x14ac:dyDescent="0.2">
      <c r="A1254" s="51" t="s">
        <v>3567</v>
      </c>
      <c r="B1254" s="51" t="s">
        <v>3568</v>
      </c>
      <c r="C1254" s="51" t="s">
        <v>3876</v>
      </c>
      <c r="D1254" s="51" t="s">
        <v>4215</v>
      </c>
      <c r="E1254" s="51" t="s">
        <v>4216</v>
      </c>
      <c r="F1254" s="52">
        <v>3.0632795752985999E-3</v>
      </c>
      <c r="G1254" s="52">
        <v>0</v>
      </c>
      <c r="H1254" s="52">
        <v>0</v>
      </c>
      <c r="I1254" s="52">
        <v>0</v>
      </c>
      <c r="J1254" s="51">
        <v>0</v>
      </c>
      <c r="K1254" s="54">
        <v>0</v>
      </c>
      <c r="L1254" s="51">
        <v>0</v>
      </c>
      <c r="M1254" s="54">
        <v>0</v>
      </c>
      <c r="N1254" s="53">
        <f t="shared" si="38"/>
        <v>0</v>
      </c>
      <c r="O1254" s="53">
        <f t="shared" si="39"/>
        <v>0</v>
      </c>
    </row>
    <row r="1255" spans="1:15" x14ac:dyDescent="0.2">
      <c r="A1255" s="51" t="s">
        <v>3567</v>
      </c>
      <c r="B1255" s="51" t="s">
        <v>3568</v>
      </c>
      <c r="C1255" s="51" t="s">
        <v>83</v>
      </c>
      <c r="D1255" s="51" t="s">
        <v>1900</v>
      </c>
      <c r="E1255" s="51" t="s">
        <v>1899</v>
      </c>
      <c r="F1255" s="52">
        <v>2082.9051576378779</v>
      </c>
      <c r="G1255" s="52">
        <v>200</v>
      </c>
      <c r="H1255" s="52">
        <v>690</v>
      </c>
      <c r="I1255" s="52">
        <v>890</v>
      </c>
      <c r="J1255" s="51">
        <v>0</v>
      </c>
      <c r="K1255" s="54">
        <v>0</v>
      </c>
      <c r="L1255" s="51">
        <v>1</v>
      </c>
      <c r="M1255" s="54">
        <v>12000</v>
      </c>
      <c r="N1255" s="53">
        <f t="shared" si="38"/>
        <v>-12000</v>
      </c>
      <c r="O1255" s="53">
        <f t="shared" si="39"/>
        <v>12000</v>
      </c>
    </row>
    <row r="1256" spans="1:15" x14ac:dyDescent="0.2">
      <c r="A1256" s="51" t="s">
        <v>3567</v>
      </c>
      <c r="B1256" s="51" t="s">
        <v>3568</v>
      </c>
      <c r="C1256" s="51" t="s">
        <v>54</v>
      </c>
      <c r="D1256" s="51" t="s">
        <v>1129</v>
      </c>
      <c r="E1256" s="51" t="s">
        <v>1128</v>
      </c>
      <c r="F1256" s="52">
        <v>27.4543</v>
      </c>
      <c r="G1256" s="52">
        <v>0</v>
      </c>
      <c r="H1256" s="52">
        <v>0</v>
      </c>
      <c r="I1256" s="52">
        <v>0</v>
      </c>
      <c r="J1256" s="51">
        <v>0</v>
      </c>
      <c r="K1256" s="54">
        <v>0</v>
      </c>
      <c r="L1256" s="51">
        <v>0</v>
      </c>
      <c r="M1256" s="54">
        <v>0</v>
      </c>
      <c r="N1256" s="53">
        <f t="shared" si="38"/>
        <v>0</v>
      </c>
      <c r="O1256" s="53">
        <f t="shared" si="39"/>
        <v>0</v>
      </c>
    </row>
    <row r="1257" spans="1:15" x14ac:dyDescent="0.2">
      <c r="A1257" s="51" t="s">
        <v>3567</v>
      </c>
      <c r="B1257" s="51" t="s">
        <v>3568</v>
      </c>
      <c r="C1257" s="51" t="s">
        <v>76</v>
      </c>
      <c r="D1257" s="51" t="s">
        <v>940</v>
      </c>
      <c r="E1257" s="51" t="s">
        <v>939</v>
      </c>
      <c r="F1257" s="52">
        <v>11577.744356849311</v>
      </c>
      <c r="G1257" s="52">
        <v>5020</v>
      </c>
      <c r="H1257" s="52">
        <v>9690</v>
      </c>
      <c r="I1257" s="52">
        <v>14710</v>
      </c>
      <c r="J1257" s="51">
        <v>1</v>
      </c>
      <c r="K1257" s="54">
        <v>5000</v>
      </c>
      <c r="L1257" s="51">
        <v>0</v>
      </c>
      <c r="M1257" s="54">
        <v>0</v>
      </c>
      <c r="N1257" s="53">
        <f t="shared" si="38"/>
        <v>5000</v>
      </c>
      <c r="O1257" s="53">
        <f t="shared" si="39"/>
        <v>-5000</v>
      </c>
    </row>
    <row r="1258" spans="1:15" x14ac:dyDescent="0.2">
      <c r="A1258" s="51" t="s">
        <v>3567</v>
      </c>
      <c r="B1258" s="51" t="s">
        <v>3568</v>
      </c>
      <c r="C1258" s="51" t="s">
        <v>57</v>
      </c>
      <c r="D1258" s="51" t="s">
        <v>343</v>
      </c>
      <c r="E1258" s="51" t="s">
        <v>342</v>
      </c>
      <c r="F1258" s="52">
        <v>26.207030822982929</v>
      </c>
      <c r="G1258" s="52">
        <v>0</v>
      </c>
      <c r="H1258" s="52">
        <v>0</v>
      </c>
      <c r="I1258" s="52">
        <v>0</v>
      </c>
      <c r="J1258" s="51">
        <v>0</v>
      </c>
      <c r="K1258" s="54">
        <v>0</v>
      </c>
      <c r="L1258" s="51">
        <v>1</v>
      </c>
      <c r="M1258" s="54">
        <v>7000</v>
      </c>
      <c r="N1258" s="53">
        <f t="shared" si="38"/>
        <v>-7000</v>
      </c>
      <c r="O1258" s="53">
        <f t="shared" si="39"/>
        <v>7000</v>
      </c>
    </row>
    <row r="1259" spans="1:15" x14ac:dyDescent="0.2">
      <c r="A1259" s="51" t="s">
        <v>3567</v>
      </c>
      <c r="B1259" s="51" t="s">
        <v>3568</v>
      </c>
      <c r="C1259" s="51" t="s">
        <v>82</v>
      </c>
      <c r="D1259" s="51" t="s">
        <v>2038</v>
      </c>
      <c r="E1259" s="51" t="s">
        <v>2037</v>
      </c>
      <c r="F1259" s="52">
        <v>510.07234999999997</v>
      </c>
      <c r="G1259" s="52">
        <v>0</v>
      </c>
      <c r="H1259" s="52">
        <v>0</v>
      </c>
      <c r="I1259" s="52">
        <v>0</v>
      </c>
      <c r="J1259" s="51">
        <v>0</v>
      </c>
      <c r="K1259" s="54">
        <v>0</v>
      </c>
      <c r="L1259" s="51">
        <v>1</v>
      </c>
      <c r="M1259" s="54">
        <v>9000</v>
      </c>
      <c r="N1259" s="53">
        <f t="shared" si="38"/>
        <v>-9000</v>
      </c>
      <c r="O1259" s="53">
        <f t="shared" si="39"/>
        <v>9000</v>
      </c>
    </row>
    <row r="1260" spans="1:15" x14ac:dyDescent="0.2">
      <c r="A1260" s="51" t="s">
        <v>3567</v>
      </c>
      <c r="B1260" s="51" t="s">
        <v>3568</v>
      </c>
      <c r="C1260" s="51" t="s">
        <v>57</v>
      </c>
      <c r="D1260" s="51" t="s">
        <v>2171</v>
      </c>
      <c r="E1260" s="51" t="s">
        <v>2170</v>
      </c>
      <c r="F1260" s="52">
        <v>12493.134502660951</v>
      </c>
      <c r="G1260" s="52">
        <v>7000</v>
      </c>
      <c r="H1260" s="52">
        <v>7930</v>
      </c>
      <c r="I1260" s="52">
        <v>14930</v>
      </c>
      <c r="J1260" s="51">
        <v>1</v>
      </c>
      <c r="K1260" s="54">
        <v>9000</v>
      </c>
      <c r="L1260" s="51">
        <v>1</v>
      </c>
      <c r="M1260" s="54">
        <v>4000</v>
      </c>
      <c r="N1260" s="53">
        <f t="shared" si="38"/>
        <v>5000</v>
      </c>
      <c r="O1260" s="53">
        <f t="shared" si="39"/>
        <v>-5000</v>
      </c>
    </row>
    <row r="1261" spans="1:15" x14ac:dyDescent="0.2">
      <c r="A1261" s="51" t="s">
        <v>3567</v>
      </c>
      <c r="B1261" s="51" t="s">
        <v>3568</v>
      </c>
      <c r="C1261" s="51" t="s">
        <v>57</v>
      </c>
      <c r="D1261" s="51" t="s">
        <v>2862</v>
      </c>
      <c r="E1261" s="51" t="s">
        <v>2861</v>
      </c>
      <c r="F1261" s="52">
        <v>4.5438738597207067</v>
      </c>
      <c r="G1261" s="52">
        <v>0</v>
      </c>
      <c r="H1261" s="52">
        <v>0</v>
      </c>
      <c r="I1261" s="52">
        <v>0</v>
      </c>
      <c r="J1261" s="51">
        <v>0</v>
      </c>
      <c r="K1261" s="54">
        <v>0</v>
      </c>
      <c r="L1261" s="51">
        <v>0</v>
      </c>
      <c r="M1261" s="54">
        <v>0</v>
      </c>
      <c r="N1261" s="53">
        <f t="shared" si="38"/>
        <v>0</v>
      </c>
      <c r="O1261" s="53">
        <f t="shared" si="39"/>
        <v>0</v>
      </c>
    </row>
    <row r="1262" spans="1:15" x14ac:dyDescent="0.2">
      <c r="A1262" s="51" t="s">
        <v>3567</v>
      </c>
      <c r="B1262" s="51" t="s">
        <v>3568</v>
      </c>
      <c r="C1262" s="51" t="s">
        <v>68</v>
      </c>
      <c r="D1262" s="51" t="s">
        <v>4303</v>
      </c>
      <c r="E1262" s="51" t="s">
        <v>4304</v>
      </c>
      <c r="F1262" s="52">
        <v>2.9991796041989049</v>
      </c>
      <c r="G1262" s="52">
        <v>0</v>
      </c>
      <c r="H1262" s="52">
        <v>0</v>
      </c>
      <c r="I1262" s="52">
        <v>0</v>
      </c>
      <c r="J1262" s="51">
        <v>0</v>
      </c>
      <c r="K1262" s="54">
        <v>0</v>
      </c>
      <c r="L1262" s="51">
        <v>0</v>
      </c>
      <c r="M1262" s="54">
        <v>0</v>
      </c>
      <c r="N1262" s="53">
        <f t="shared" si="38"/>
        <v>0</v>
      </c>
      <c r="O1262" s="53">
        <f t="shared" si="39"/>
        <v>0</v>
      </c>
    </row>
    <row r="1263" spans="1:15" x14ac:dyDescent="0.2">
      <c r="A1263" s="51" t="s">
        <v>3567</v>
      </c>
      <c r="B1263" s="51" t="s">
        <v>3568</v>
      </c>
      <c r="C1263" s="51" t="s">
        <v>3583</v>
      </c>
      <c r="D1263" s="51" t="s">
        <v>4258</v>
      </c>
      <c r="E1263" s="51" t="s">
        <v>4259</v>
      </c>
      <c r="F1263" s="52">
        <v>12.22925018338398</v>
      </c>
      <c r="G1263" s="52">
        <v>0</v>
      </c>
      <c r="H1263" s="52">
        <v>0</v>
      </c>
      <c r="I1263" s="52">
        <v>0</v>
      </c>
      <c r="J1263" s="51">
        <v>0</v>
      </c>
      <c r="K1263" s="54">
        <v>0</v>
      </c>
      <c r="L1263" s="51">
        <v>0</v>
      </c>
      <c r="M1263" s="54">
        <v>0</v>
      </c>
      <c r="N1263" s="53">
        <f t="shared" si="38"/>
        <v>0</v>
      </c>
      <c r="O1263" s="53">
        <f t="shared" si="39"/>
        <v>0</v>
      </c>
    </row>
    <row r="1264" spans="1:15" x14ac:dyDescent="0.2">
      <c r="A1264" s="51" t="s">
        <v>3567</v>
      </c>
      <c r="B1264" s="51" t="s">
        <v>3568</v>
      </c>
      <c r="C1264" s="51" t="s">
        <v>87</v>
      </c>
      <c r="D1264" s="51" t="s">
        <v>1445</v>
      </c>
      <c r="E1264" s="51" t="s">
        <v>1444</v>
      </c>
      <c r="F1264" s="52">
        <v>1110.5369499999999</v>
      </c>
      <c r="G1264" s="52">
        <v>48900</v>
      </c>
      <c r="H1264" s="52">
        <v>43485</v>
      </c>
      <c r="I1264" s="52">
        <v>92385</v>
      </c>
      <c r="J1264" s="51">
        <v>0</v>
      </c>
      <c r="K1264" s="54">
        <v>0</v>
      </c>
      <c r="L1264" s="51">
        <v>1</v>
      </c>
      <c r="M1264" s="54">
        <v>5000</v>
      </c>
      <c r="N1264" s="53">
        <f t="shared" si="38"/>
        <v>-5000</v>
      </c>
      <c r="O1264" s="53">
        <f t="shared" si="39"/>
        <v>5000</v>
      </c>
    </row>
    <row r="1265" spans="1:15" x14ac:dyDescent="0.2">
      <c r="A1265" s="51" t="s">
        <v>3567</v>
      </c>
      <c r="B1265" s="51" t="s">
        <v>3568</v>
      </c>
      <c r="C1265" s="51" t="s">
        <v>73</v>
      </c>
      <c r="D1265" s="51" t="s">
        <v>2200</v>
      </c>
      <c r="E1265" s="51" t="s">
        <v>2199</v>
      </c>
      <c r="F1265" s="52">
        <v>5439.8236500254998</v>
      </c>
      <c r="G1265" s="52">
        <v>0</v>
      </c>
      <c r="H1265" s="52">
        <v>0</v>
      </c>
      <c r="I1265" s="52">
        <v>0</v>
      </c>
      <c r="J1265" s="51">
        <v>1</v>
      </c>
      <c r="K1265" s="54">
        <v>5000</v>
      </c>
      <c r="L1265" s="51">
        <v>0</v>
      </c>
      <c r="M1265" s="54">
        <v>0</v>
      </c>
      <c r="N1265" s="53">
        <f t="shared" si="38"/>
        <v>5000</v>
      </c>
      <c r="O1265" s="53">
        <f t="shared" si="39"/>
        <v>-5000</v>
      </c>
    </row>
    <row r="1266" spans="1:15" x14ac:dyDescent="0.2">
      <c r="A1266" s="51" t="s">
        <v>3567</v>
      </c>
      <c r="B1266" s="51" t="s">
        <v>3568</v>
      </c>
      <c r="C1266" s="51" t="s">
        <v>65</v>
      </c>
      <c r="D1266" s="51" t="s">
        <v>487</v>
      </c>
      <c r="E1266" s="51" t="s">
        <v>486</v>
      </c>
      <c r="F1266" s="52">
        <v>288.49951874098218</v>
      </c>
      <c r="G1266" s="52">
        <v>0</v>
      </c>
      <c r="H1266" s="52">
        <v>0</v>
      </c>
      <c r="I1266" s="52">
        <v>0</v>
      </c>
      <c r="J1266" s="51">
        <v>0</v>
      </c>
      <c r="K1266" s="54">
        <v>0</v>
      </c>
      <c r="L1266" s="51">
        <v>0</v>
      </c>
      <c r="M1266" s="54">
        <v>0</v>
      </c>
      <c r="N1266" s="53">
        <f t="shared" si="38"/>
        <v>0</v>
      </c>
      <c r="O1266" s="53">
        <f t="shared" si="39"/>
        <v>0</v>
      </c>
    </row>
    <row r="1267" spans="1:15" x14ac:dyDescent="0.2">
      <c r="A1267" s="51" t="s">
        <v>3567</v>
      </c>
      <c r="B1267" s="51" t="s">
        <v>3568</v>
      </c>
      <c r="C1267" s="51" t="s">
        <v>53</v>
      </c>
      <c r="D1267" s="51" t="s">
        <v>1125</v>
      </c>
      <c r="E1267" s="51" t="s">
        <v>1124</v>
      </c>
      <c r="F1267" s="52">
        <v>4549.1866499999996</v>
      </c>
      <c r="G1267" s="52">
        <v>300</v>
      </c>
      <c r="H1267" s="52">
        <v>29190</v>
      </c>
      <c r="I1267" s="52">
        <v>29490</v>
      </c>
      <c r="J1267" s="51">
        <v>0</v>
      </c>
      <c r="K1267" s="54">
        <v>0</v>
      </c>
      <c r="L1267" s="51">
        <v>1</v>
      </c>
      <c r="M1267" s="54">
        <v>55000</v>
      </c>
      <c r="N1267" s="53">
        <f t="shared" si="38"/>
        <v>-55000</v>
      </c>
      <c r="O1267" s="53">
        <f t="shared" si="39"/>
        <v>55000</v>
      </c>
    </row>
    <row r="1268" spans="1:15" x14ac:dyDescent="0.2">
      <c r="A1268" s="51" t="s">
        <v>3567</v>
      </c>
      <c r="B1268" s="51" t="s">
        <v>3568</v>
      </c>
      <c r="C1268" s="51" t="s">
        <v>70</v>
      </c>
      <c r="D1268" s="51" t="s">
        <v>2034</v>
      </c>
      <c r="E1268" s="51" t="s">
        <v>2033</v>
      </c>
      <c r="F1268" s="52">
        <v>30544.51421381193</v>
      </c>
      <c r="G1268" s="52">
        <v>7680</v>
      </c>
      <c r="H1268" s="52">
        <v>3700</v>
      </c>
      <c r="I1268" s="52">
        <v>11380</v>
      </c>
      <c r="J1268" s="51">
        <v>2</v>
      </c>
      <c r="K1268" s="54">
        <v>30000</v>
      </c>
      <c r="L1268" s="51">
        <v>0</v>
      </c>
      <c r="M1268" s="54">
        <v>0</v>
      </c>
      <c r="N1268" s="53">
        <f t="shared" si="38"/>
        <v>30000</v>
      </c>
      <c r="O1268" s="53">
        <f t="shared" si="39"/>
        <v>-30000</v>
      </c>
    </row>
    <row r="1269" spans="1:15" x14ac:dyDescent="0.2">
      <c r="A1269" s="51" t="s">
        <v>3567</v>
      </c>
      <c r="B1269" s="51" t="s">
        <v>3568</v>
      </c>
      <c r="C1269" s="51" t="s">
        <v>3876</v>
      </c>
      <c r="D1269" s="51" t="s">
        <v>4221</v>
      </c>
      <c r="E1269" s="51" t="s">
        <v>4222</v>
      </c>
      <c r="F1269" s="52">
        <v>0.49769940395467299</v>
      </c>
      <c r="G1269" s="52">
        <v>0</v>
      </c>
      <c r="H1269" s="52">
        <v>0</v>
      </c>
      <c r="I1269" s="52">
        <v>0</v>
      </c>
      <c r="J1269" s="51">
        <v>0</v>
      </c>
      <c r="K1269" s="54">
        <v>0</v>
      </c>
      <c r="L1269" s="51">
        <v>0</v>
      </c>
      <c r="M1269" s="54">
        <v>0</v>
      </c>
      <c r="N1269" s="53">
        <f t="shared" si="38"/>
        <v>0</v>
      </c>
      <c r="O1269" s="53">
        <f t="shared" si="39"/>
        <v>0</v>
      </c>
    </row>
    <row r="1270" spans="1:15" x14ac:dyDescent="0.2">
      <c r="A1270" s="51" t="s">
        <v>3567</v>
      </c>
      <c r="B1270" s="51" t="s">
        <v>3568</v>
      </c>
      <c r="C1270" s="51" t="s">
        <v>3630</v>
      </c>
      <c r="D1270" s="51" t="s">
        <v>4250</v>
      </c>
      <c r="E1270" s="51" t="s">
        <v>4251</v>
      </c>
      <c r="F1270" s="52">
        <v>52.646234544807648</v>
      </c>
      <c r="G1270" s="52">
        <v>0</v>
      </c>
      <c r="H1270" s="52">
        <v>0</v>
      </c>
      <c r="I1270" s="52">
        <v>0</v>
      </c>
      <c r="J1270" s="51">
        <v>0</v>
      </c>
      <c r="K1270" s="54">
        <v>0</v>
      </c>
      <c r="L1270" s="51">
        <v>0</v>
      </c>
      <c r="M1270" s="54">
        <v>0</v>
      </c>
      <c r="N1270" s="53">
        <f t="shared" si="38"/>
        <v>0</v>
      </c>
      <c r="O1270" s="53">
        <f t="shared" si="39"/>
        <v>0</v>
      </c>
    </row>
    <row r="1271" spans="1:15" x14ac:dyDescent="0.2">
      <c r="A1271" s="51" t="s">
        <v>3567</v>
      </c>
      <c r="B1271" s="51" t="s">
        <v>3568</v>
      </c>
      <c r="C1271" s="51" t="s">
        <v>55</v>
      </c>
      <c r="D1271" s="51" t="s">
        <v>1173</v>
      </c>
      <c r="E1271" s="51" t="s">
        <v>1172</v>
      </c>
      <c r="F1271" s="52">
        <v>0.62790000000000001</v>
      </c>
      <c r="G1271" s="52">
        <v>0</v>
      </c>
      <c r="H1271" s="52">
        <v>0</v>
      </c>
      <c r="I1271" s="52">
        <v>0</v>
      </c>
      <c r="J1271" s="51">
        <v>0</v>
      </c>
      <c r="K1271" s="54">
        <v>0</v>
      </c>
      <c r="L1271" s="51">
        <v>0</v>
      </c>
      <c r="M1271" s="54">
        <v>0</v>
      </c>
      <c r="N1271" s="53">
        <f t="shared" si="38"/>
        <v>0</v>
      </c>
      <c r="O1271" s="53">
        <f t="shared" si="39"/>
        <v>0</v>
      </c>
    </row>
    <row r="1272" spans="1:15" x14ac:dyDescent="0.2">
      <c r="A1272" s="51" t="s">
        <v>3567</v>
      </c>
      <c r="B1272" s="51" t="s">
        <v>3568</v>
      </c>
      <c r="C1272" s="51" t="s">
        <v>3647</v>
      </c>
      <c r="D1272" s="51" t="s">
        <v>4254</v>
      </c>
      <c r="E1272" s="51" t="s">
        <v>4255</v>
      </c>
      <c r="F1272" s="52">
        <v>0.60734433012508604</v>
      </c>
      <c r="G1272" s="52">
        <v>0</v>
      </c>
      <c r="H1272" s="52">
        <v>0</v>
      </c>
      <c r="I1272" s="52">
        <v>0</v>
      </c>
      <c r="J1272" s="51">
        <v>0</v>
      </c>
      <c r="K1272" s="54">
        <v>0</v>
      </c>
      <c r="L1272" s="51">
        <v>0</v>
      </c>
      <c r="M1272" s="54">
        <v>0</v>
      </c>
      <c r="N1272" s="53">
        <f t="shared" si="38"/>
        <v>0</v>
      </c>
      <c r="O1272" s="53">
        <f t="shared" si="39"/>
        <v>0</v>
      </c>
    </row>
    <row r="1273" spans="1:15" x14ac:dyDescent="0.2">
      <c r="A1273" s="51" t="s">
        <v>3567</v>
      </c>
      <c r="B1273" s="51" t="s">
        <v>3568</v>
      </c>
      <c r="C1273" s="51" t="s">
        <v>63</v>
      </c>
      <c r="D1273" s="51" t="s">
        <v>2499</v>
      </c>
      <c r="E1273" s="51" t="s">
        <v>1495</v>
      </c>
      <c r="F1273" s="52">
        <v>12641.5063148645</v>
      </c>
      <c r="G1273" s="52">
        <v>2000</v>
      </c>
      <c r="H1273" s="52">
        <v>5000</v>
      </c>
      <c r="I1273" s="52">
        <v>7000</v>
      </c>
      <c r="J1273" s="51">
        <v>1</v>
      </c>
      <c r="K1273" s="54">
        <v>5000</v>
      </c>
      <c r="L1273" s="51">
        <v>0</v>
      </c>
      <c r="M1273" s="54">
        <v>0</v>
      </c>
      <c r="N1273" s="53">
        <f t="shared" si="38"/>
        <v>5000</v>
      </c>
      <c r="O1273" s="53">
        <f t="shared" si="39"/>
        <v>-5000</v>
      </c>
    </row>
    <row r="1274" spans="1:15" x14ac:dyDescent="0.2">
      <c r="A1274" s="51" t="s">
        <v>3567</v>
      </c>
      <c r="B1274" s="51" t="s">
        <v>3568</v>
      </c>
      <c r="C1274" s="51" t="s">
        <v>81</v>
      </c>
      <c r="D1274" s="51" t="s">
        <v>4297</v>
      </c>
      <c r="E1274" s="51" t="s">
        <v>4298</v>
      </c>
      <c r="F1274" s="52">
        <v>1.7527345647204271</v>
      </c>
      <c r="G1274" s="52">
        <v>0</v>
      </c>
      <c r="H1274" s="52">
        <v>0</v>
      </c>
      <c r="I1274" s="52">
        <v>0</v>
      </c>
      <c r="J1274" s="51">
        <v>0</v>
      </c>
      <c r="K1274" s="54">
        <v>0</v>
      </c>
      <c r="L1274" s="51">
        <v>0</v>
      </c>
      <c r="M1274" s="54">
        <v>0</v>
      </c>
      <c r="N1274" s="53">
        <f t="shared" si="38"/>
        <v>0</v>
      </c>
      <c r="O1274" s="53">
        <f t="shared" si="39"/>
        <v>0</v>
      </c>
    </row>
    <row r="1275" spans="1:15" x14ac:dyDescent="0.2">
      <c r="A1275" s="51" t="s">
        <v>3567</v>
      </c>
      <c r="B1275" s="51" t="s">
        <v>3568</v>
      </c>
      <c r="C1275" s="51" t="s">
        <v>52</v>
      </c>
      <c r="D1275" s="51" t="s">
        <v>2626</v>
      </c>
      <c r="E1275" s="51" t="s">
        <v>145</v>
      </c>
      <c r="F1275" s="52">
        <v>14014.7220521739</v>
      </c>
      <c r="G1275" s="52">
        <v>54690</v>
      </c>
      <c r="H1275" s="52">
        <v>6150</v>
      </c>
      <c r="I1275" s="52">
        <v>60840</v>
      </c>
      <c r="J1275" s="51">
        <v>4</v>
      </c>
      <c r="K1275" s="54">
        <v>50000</v>
      </c>
      <c r="L1275" s="51">
        <v>0</v>
      </c>
      <c r="M1275" s="54">
        <v>0</v>
      </c>
      <c r="N1275" s="53">
        <f t="shared" si="38"/>
        <v>50000</v>
      </c>
      <c r="O1275" s="53">
        <f t="shared" si="39"/>
        <v>-50000</v>
      </c>
    </row>
    <row r="1276" spans="1:15" x14ac:dyDescent="0.2">
      <c r="A1276" s="51" t="s">
        <v>3567</v>
      </c>
      <c r="B1276" s="51" t="s">
        <v>3568</v>
      </c>
      <c r="C1276" s="51" t="s">
        <v>85</v>
      </c>
      <c r="D1276" s="51" t="s">
        <v>625</v>
      </c>
      <c r="E1276" s="51" t="s">
        <v>624</v>
      </c>
      <c r="F1276" s="52">
        <v>8646.0329741785499</v>
      </c>
      <c r="G1276" s="52">
        <v>1530</v>
      </c>
      <c r="H1276" s="52">
        <v>25750</v>
      </c>
      <c r="I1276" s="52">
        <v>27280</v>
      </c>
      <c r="J1276" s="51">
        <v>1</v>
      </c>
      <c r="K1276" s="54">
        <v>10000</v>
      </c>
      <c r="L1276" s="51">
        <v>3</v>
      </c>
      <c r="M1276" s="54">
        <v>45000</v>
      </c>
      <c r="N1276" s="53">
        <f t="shared" si="38"/>
        <v>-35000</v>
      </c>
      <c r="O1276" s="53">
        <f t="shared" si="39"/>
        <v>35000</v>
      </c>
    </row>
    <row r="1277" spans="1:15" x14ac:dyDescent="0.2">
      <c r="A1277" s="51" t="s">
        <v>3567</v>
      </c>
      <c r="B1277" s="51" t="s">
        <v>3568</v>
      </c>
      <c r="C1277" s="51" t="s">
        <v>55</v>
      </c>
      <c r="D1277" s="51" t="s">
        <v>508</v>
      </c>
      <c r="E1277" s="51" t="s">
        <v>507</v>
      </c>
      <c r="F1277" s="52">
        <v>6141.3197608695</v>
      </c>
      <c r="G1277" s="52">
        <v>3100</v>
      </c>
      <c r="H1277" s="52">
        <v>0</v>
      </c>
      <c r="I1277" s="52">
        <v>3100</v>
      </c>
      <c r="J1277" s="51">
        <v>1</v>
      </c>
      <c r="K1277" s="54">
        <v>5000</v>
      </c>
      <c r="L1277" s="51">
        <v>0</v>
      </c>
      <c r="M1277" s="54">
        <v>0</v>
      </c>
      <c r="N1277" s="53">
        <f t="shared" si="38"/>
        <v>5000</v>
      </c>
      <c r="O1277" s="53">
        <f t="shared" si="39"/>
        <v>-5000</v>
      </c>
    </row>
    <row r="1278" spans="1:15" x14ac:dyDescent="0.2">
      <c r="A1278" s="51" t="s">
        <v>3567</v>
      </c>
      <c r="B1278" s="51" t="s">
        <v>3568</v>
      </c>
      <c r="C1278" s="51" t="s">
        <v>78</v>
      </c>
      <c r="D1278" s="51" t="s">
        <v>825</v>
      </c>
      <c r="E1278" s="51" t="s">
        <v>824</v>
      </c>
      <c r="F1278" s="52">
        <v>1375.5074999999999</v>
      </c>
      <c r="G1278" s="52">
        <v>1015</v>
      </c>
      <c r="H1278" s="52">
        <v>0</v>
      </c>
      <c r="I1278" s="52">
        <v>1015</v>
      </c>
      <c r="J1278" s="51">
        <v>0</v>
      </c>
      <c r="K1278" s="54">
        <v>0</v>
      </c>
      <c r="L1278" s="51">
        <v>0</v>
      </c>
      <c r="M1278" s="54">
        <v>0</v>
      </c>
      <c r="N1278" s="53">
        <f t="shared" si="38"/>
        <v>0</v>
      </c>
      <c r="O1278" s="53">
        <f t="shared" si="39"/>
        <v>0</v>
      </c>
    </row>
    <row r="1279" spans="1:15" x14ac:dyDescent="0.2">
      <c r="A1279" s="51" t="s">
        <v>3567</v>
      </c>
      <c r="B1279" s="51" t="s">
        <v>3568</v>
      </c>
      <c r="C1279" s="51" t="s">
        <v>77</v>
      </c>
      <c r="D1279" s="51" t="s">
        <v>3015</v>
      </c>
      <c r="E1279" s="51" t="s">
        <v>3014</v>
      </c>
      <c r="F1279" s="52">
        <v>9774.7839077420667</v>
      </c>
      <c r="G1279" s="52">
        <v>0</v>
      </c>
      <c r="H1279" s="52">
        <v>2000</v>
      </c>
      <c r="I1279" s="52">
        <v>2000</v>
      </c>
      <c r="J1279" s="51">
        <v>1</v>
      </c>
      <c r="K1279" s="54">
        <v>5000</v>
      </c>
      <c r="L1279" s="51">
        <v>0</v>
      </c>
      <c r="M1279" s="54">
        <v>0</v>
      </c>
      <c r="N1279" s="53">
        <f t="shared" si="38"/>
        <v>5000</v>
      </c>
      <c r="O1279" s="53">
        <f t="shared" si="39"/>
        <v>-5000</v>
      </c>
    </row>
    <row r="1280" spans="1:15" x14ac:dyDescent="0.2">
      <c r="A1280" s="51" t="s">
        <v>3567</v>
      </c>
      <c r="B1280" s="51" t="s">
        <v>3568</v>
      </c>
      <c r="C1280" s="51" t="s">
        <v>80</v>
      </c>
      <c r="D1280" s="51" t="s">
        <v>3535</v>
      </c>
      <c r="E1280" s="51" t="s">
        <v>3534</v>
      </c>
      <c r="F1280" s="52">
        <v>13606.8377</v>
      </c>
      <c r="G1280" s="52">
        <v>200</v>
      </c>
      <c r="H1280" s="52">
        <v>690</v>
      </c>
      <c r="I1280" s="52">
        <v>890</v>
      </c>
      <c r="J1280" s="51">
        <v>1</v>
      </c>
      <c r="K1280" s="54">
        <v>8000</v>
      </c>
      <c r="L1280" s="51">
        <v>0</v>
      </c>
      <c r="M1280" s="54">
        <v>0</v>
      </c>
      <c r="N1280" s="53">
        <f t="shared" si="38"/>
        <v>8000</v>
      </c>
      <c r="O1280" s="53">
        <f t="shared" si="39"/>
        <v>-8000</v>
      </c>
    </row>
    <row r="1281" spans="1:15" x14ac:dyDescent="0.2">
      <c r="A1281" s="51" t="s">
        <v>3567</v>
      </c>
      <c r="B1281" s="51" t="s">
        <v>3568</v>
      </c>
      <c r="C1281" s="51" t="s">
        <v>93</v>
      </c>
      <c r="D1281" s="51" t="s">
        <v>2398</v>
      </c>
      <c r="E1281" s="51" t="s">
        <v>2397</v>
      </c>
      <c r="F1281" s="52">
        <v>62.12943607364614</v>
      </c>
      <c r="G1281" s="52">
        <v>0</v>
      </c>
      <c r="H1281" s="52">
        <v>0</v>
      </c>
      <c r="I1281" s="52">
        <v>0</v>
      </c>
      <c r="J1281" s="51">
        <v>0</v>
      </c>
      <c r="K1281" s="54">
        <v>0</v>
      </c>
      <c r="L1281" s="51">
        <v>0</v>
      </c>
      <c r="M1281" s="54">
        <v>0</v>
      </c>
      <c r="N1281" s="53">
        <f t="shared" si="38"/>
        <v>0</v>
      </c>
      <c r="O1281" s="53">
        <f t="shared" si="39"/>
        <v>0</v>
      </c>
    </row>
    <row r="1282" spans="1:15" x14ac:dyDescent="0.2">
      <c r="A1282" s="51" t="s">
        <v>3567</v>
      </c>
      <c r="B1282" s="51" t="s">
        <v>3568</v>
      </c>
      <c r="C1282" s="51" t="s">
        <v>3590</v>
      </c>
      <c r="D1282" s="51" t="s">
        <v>4246</v>
      </c>
      <c r="E1282" s="51" t="s">
        <v>4247</v>
      </c>
      <c r="F1282" s="52">
        <v>2.1316399663924339</v>
      </c>
      <c r="G1282" s="52">
        <v>0</v>
      </c>
      <c r="H1282" s="52">
        <v>0</v>
      </c>
      <c r="I1282" s="52">
        <v>0</v>
      </c>
      <c r="J1282" s="51">
        <v>0</v>
      </c>
      <c r="K1282" s="54">
        <v>0</v>
      </c>
      <c r="L1282" s="51">
        <v>0</v>
      </c>
      <c r="M1282" s="54">
        <v>0</v>
      </c>
      <c r="N1282" s="53">
        <f t="shared" si="38"/>
        <v>0</v>
      </c>
      <c r="O1282" s="53">
        <f t="shared" si="39"/>
        <v>0</v>
      </c>
    </row>
    <row r="1283" spans="1:15" x14ac:dyDescent="0.2">
      <c r="A1283" s="51" t="s">
        <v>3567</v>
      </c>
      <c r="B1283" s="51" t="s">
        <v>3568</v>
      </c>
      <c r="C1283" s="51" t="s">
        <v>92</v>
      </c>
      <c r="D1283" s="51" t="s">
        <v>2972</v>
      </c>
      <c r="E1283" s="51" t="s">
        <v>2971</v>
      </c>
      <c r="F1283" s="52">
        <v>1633.792815057373</v>
      </c>
      <c r="G1283" s="52">
        <v>1410</v>
      </c>
      <c r="H1283" s="52">
        <v>490</v>
      </c>
      <c r="I1283" s="52">
        <v>1900</v>
      </c>
      <c r="J1283" s="51">
        <v>0</v>
      </c>
      <c r="K1283" s="54">
        <v>0</v>
      </c>
      <c r="L1283" s="51">
        <v>1</v>
      </c>
      <c r="M1283" s="54">
        <v>5000</v>
      </c>
      <c r="N1283" s="53">
        <f t="shared" ref="N1283:N1346" si="40">K1283-M1283</f>
        <v>-5000</v>
      </c>
      <c r="O1283" s="53">
        <f t="shared" ref="O1283:O1346" si="41">M1283-K1283</f>
        <v>5000</v>
      </c>
    </row>
    <row r="1284" spans="1:15" x14ac:dyDescent="0.2">
      <c r="A1284" s="51" t="s">
        <v>3567</v>
      </c>
      <c r="B1284" s="51" t="s">
        <v>3568</v>
      </c>
      <c r="C1284" s="51" t="s">
        <v>92</v>
      </c>
      <c r="D1284" s="51" t="s">
        <v>2198</v>
      </c>
      <c r="E1284" s="51" t="s">
        <v>2197</v>
      </c>
      <c r="F1284" s="52">
        <v>2097.8726375568831</v>
      </c>
      <c r="G1284" s="52">
        <v>2325</v>
      </c>
      <c r="H1284" s="52">
        <v>0</v>
      </c>
      <c r="I1284" s="52">
        <v>2325</v>
      </c>
      <c r="J1284" s="51">
        <v>1</v>
      </c>
      <c r="K1284" s="54">
        <v>5000</v>
      </c>
      <c r="L1284" s="51">
        <v>1</v>
      </c>
      <c r="M1284" s="54">
        <v>10000</v>
      </c>
      <c r="N1284" s="53">
        <f t="shared" si="40"/>
        <v>-5000</v>
      </c>
      <c r="O1284" s="53">
        <f t="shared" si="41"/>
        <v>5000</v>
      </c>
    </row>
    <row r="1285" spans="1:15" x14ac:dyDescent="0.2">
      <c r="A1285" s="51" t="s">
        <v>3567</v>
      </c>
      <c r="B1285" s="51" t="s">
        <v>3568</v>
      </c>
      <c r="C1285" s="51" t="s">
        <v>59</v>
      </c>
      <c r="D1285" s="51" t="s">
        <v>4229</v>
      </c>
      <c r="E1285" s="51" t="s">
        <v>4230</v>
      </c>
      <c r="F1285" s="52">
        <v>0.56526560830695982</v>
      </c>
      <c r="G1285" s="52">
        <v>0</v>
      </c>
      <c r="H1285" s="52">
        <v>0</v>
      </c>
      <c r="I1285" s="52">
        <v>0</v>
      </c>
      <c r="J1285" s="51">
        <v>0</v>
      </c>
      <c r="K1285" s="54">
        <v>0</v>
      </c>
      <c r="L1285" s="51">
        <v>0</v>
      </c>
      <c r="M1285" s="54">
        <v>0</v>
      </c>
      <c r="N1285" s="53">
        <f t="shared" si="40"/>
        <v>0</v>
      </c>
      <c r="O1285" s="53">
        <f t="shared" si="41"/>
        <v>0</v>
      </c>
    </row>
    <row r="1286" spans="1:15" x14ac:dyDescent="0.2">
      <c r="A1286" s="51" t="s">
        <v>3567</v>
      </c>
      <c r="B1286" s="51" t="s">
        <v>3568</v>
      </c>
      <c r="C1286" s="51" t="s">
        <v>81</v>
      </c>
      <c r="D1286" s="51" t="s">
        <v>2656</v>
      </c>
      <c r="E1286" s="51" t="s">
        <v>2655</v>
      </c>
      <c r="F1286" s="52">
        <v>31139.644465217301</v>
      </c>
      <c r="G1286" s="52">
        <v>6952</v>
      </c>
      <c r="H1286" s="52">
        <v>11595</v>
      </c>
      <c r="I1286" s="52">
        <v>18547</v>
      </c>
      <c r="J1286" s="51">
        <v>1</v>
      </c>
      <c r="K1286" s="54">
        <v>5000</v>
      </c>
      <c r="L1286" s="51">
        <v>0</v>
      </c>
      <c r="M1286" s="54">
        <v>0</v>
      </c>
      <c r="N1286" s="53">
        <f t="shared" si="40"/>
        <v>5000</v>
      </c>
      <c r="O1286" s="53">
        <f t="shared" si="41"/>
        <v>-5000</v>
      </c>
    </row>
    <row r="1287" spans="1:15" x14ac:dyDescent="0.2">
      <c r="A1287" s="51" t="s">
        <v>3567</v>
      </c>
      <c r="B1287" s="51" t="s">
        <v>3568</v>
      </c>
      <c r="C1287" s="51" t="s">
        <v>53</v>
      </c>
      <c r="D1287" s="51" t="s">
        <v>4333</v>
      </c>
      <c r="E1287" s="51" t="s">
        <v>4334</v>
      </c>
      <c r="F1287" s="52">
        <v>6.1525120879209041</v>
      </c>
      <c r="G1287" s="52">
        <v>0</v>
      </c>
      <c r="H1287" s="52">
        <v>0</v>
      </c>
      <c r="I1287" s="52">
        <v>0</v>
      </c>
      <c r="J1287" s="51">
        <v>0</v>
      </c>
      <c r="K1287" s="54">
        <v>0</v>
      </c>
      <c r="L1287" s="51">
        <v>0</v>
      </c>
      <c r="M1287" s="54">
        <v>0</v>
      </c>
      <c r="N1287" s="53">
        <f t="shared" si="40"/>
        <v>0</v>
      </c>
      <c r="O1287" s="53">
        <f t="shared" si="41"/>
        <v>0</v>
      </c>
    </row>
    <row r="1288" spans="1:15" x14ac:dyDescent="0.2">
      <c r="A1288" s="51" t="s">
        <v>3567</v>
      </c>
      <c r="B1288" s="51" t="s">
        <v>3568</v>
      </c>
      <c r="C1288" s="51" t="s">
        <v>3619</v>
      </c>
      <c r="D1288" s="51" t="s">
        <v>4239</v>
      </c>
      <c r="E1288" s="51" t="s">
        <v>4240</v>
      </c>
      <c r="F1288" s="52">
        <v>0.51086824028275224</v>
      </c>
      <c r="G1288" s="52">
        <v>0</v>
      </c>
      <c r="H1288" s="52">
        <v>0</v>
      </c>
      <c r="I1288" s="52">
        <v>0</v>
      </c>
      <c r="J1288" s="51">
        <v>0</v>
      </c>
      <c r="K1288" s="54">
        <v>0</v>
      </c>
      <c r="L1288" s="51">
        <v>0</v>
      </c>
      <c r="M1288" s="54">
        <v>0</v>
      </c>
      <c r="N1288" s="53">
        <f t="shared" si="40"/>
        <v>0</v>
      </c>
      <c r="O1288" s="53">
        <f t="shared" si="41"/>
        <v>0</v>
      </c>
    </row>
    <row r="1289" spans="1:15" x14ac:dyDescent="0.2">
      <c r="A1289" s="51" t="s">
        <v>3567</v>
      </c>
      <c r="B1289" s="51" t="s">
        <v>3568</v>
      </c>
      <c r="C1289" s="51" t="s">
        <v>3630</v>
      </c>
      <c r="D1289" s="51" t="s">
        <v>4299</v>
      </c>
      <c r="E1289" s="51" t="s">
        <v>4300</v>
      </c>
      <c r="F1289" s="52">
        <v>27.199204077299999</v>
      </c>
      <c r="G1289" s="52">
        <v>0</v>
      </c>
      <c r="H1289" s="52">
        <v>0</v>
      </c>
      <c r="I1289" s="52">
        <v>0</v>
      </c>
      <c r="J1289" s="51">
        <v>0</v>
      </c>
      <c r="K1289" s="54">
        <v>0</v>
      </c>
      <c r="L1289" s="51">
        <v>0</v>
      </c>
      <c r="M1289" s="54">
        <v>0</v>
      </c>
      <c r="N1289" s="53">
        <f t="shared" si="40"/>
        <v>0</v>
      </c>
      <c r="O1289" s="53">
        <f t="shared" si="41"/>
        <v>0</v>
      </c>
    </row>
    <row r="1290" spans="1:15" x14ac:dyDescent="0.2">
      <c r="A1290" s="51" t="s">
        <v>3567</v>
      </c>
      <c r="B1290" s="51" t="s">
        <v>3568</v>
      </c>
      <c r="C1290" s="51" t="s">
        <v>3650</v>
      </c>
      <c r="D1290" s="51" t="s">
        <v>4235</v>
      </c>
      <c r="E1290" s="51" t="s">
        <v>4236</v>
      </c>
      <c r="F1290" s="52">
        <v>15.509534629788231</v>
      </c>
      <c r="G1290" s="52">
        <v>0</v>
      </c>
      <c r="H1290" s="52">
        <v>0</v>
      </c>
      <c r="I1290" s="52">
        <v>0</v>
      </c>
      <c r="J1290" s="51">
        <v>0</v>
      </c>
      <c r="K1290" s="54">
        <v>0</v>
      </c>
      <c r="L1290" s="51">
        <v>0</v>
      </c>
      <c r="M1290" s="54">
        <v>0</v>
      </c>
      <c r="N1290" s="53">
        <f t="shared" si="40"/>
        <v>0</v>
      </c>
      <c r="O1290" s="53">
        <f t="shared" si="41"/>
        <v>0</v>
      </c>
    </row>
    <row r="1291" spans="1:15" x14ac:dyDescent="0.2">
      <c r="A1291" s="51" t="s">
        <v>3567</v>
      </c>
      <c r="B1291" s="51" t="s">
        <v>3568</v>
      </c>
      <c r="C1291" s="51" t="s">
        <v>3698</v>
      </c>
      <c r="D1291" s="51" t="s">
        <v>4266</v>
      </c>
      <c r="E1291" s="51" t="s">
        <v>4267</v>
      </c>
      <c r="F1291" s="52">
        <v>2.325105972891762</v>
      </c>
      <c r="G1291" s="52">
        <v>0</v>
      </c>
      <c r="H1291" s="52">
        <v>0</v>
      </c>
      <c r="I1291" s="52">
        <v>0</v>
      </c>
      <c r="J1291" s="51">
        <v>0</v>
      </c>
      <c r="K1291" s="54">
        <v>0</v>
      </c>
      <c r="L1291" s="51">
        <v>0</v>
      </c>
      <c r="M1291" s="54">
        <v>0</v>
      </c>
      <c r="N1291" s="53">
        <f t="shared" si="40"/>
        <v>0</v>
      </c>
      <c r="O1291" s="53">
        <f t="shared" si="41"/>
        <v>0</v>
      </c>
    </row>
    <row r="1292" spans="1:15" x14ac:dyDescent="0.2">
      <c r="A1292" s="51" t="s">
        <v>3567</v>
      </c>
      <c r="B1292" s="51" t="s">
        <v>3568</v>
      </c>
      <c r="C1292" s="51" t="s">
        <v>83</v>
      </c>
      <c r="D1292" s="51" t="s">
        <v>2554</v>
      </c>
      <c r="E1292" s="51" t="s">
        <v>490</v>
      </c>
      <c r="F1292" s="52">
        <v>1771.3904826083001</v>
      </c>
      <c r="G1292" s="52">
        <v>9080</v>
      </c>
      <c r="H1292" s="52">
        <v>14670</v>
      </c>
      <c r="I1292" s="52">
        <v>23750</v>
      </c>
      <c r="J1292" s="51">
        <v>0</v>
      </c>
      <c r="K1292" s="54">
        <v>0</v>
      </c>
      <c r="L1292" s="51">
        <v>2</v>
      </c>
      <c r="M1292" s="54">
        <v>42000</v>
      </c>
      <c r="N1292" s="53">
        <f t="shared" si="40"/>
        <v>-42000</v>
      </c>
      <c r="O1292" s="53">
        <f t="shared" si="41"/>
        <v>42000</v>
      </c>
    </row>
    <row r="1293" spans="1:15" x14ac:dyDescent="0.2">
      <c r="A1293" s="51" t="s">
        <v>3567</v>
      </c>
      <c r="B1293" s="51" t="s">
        <v>3568</v>
      </c>
      <c r="C1293" s="51" t="s">
        <v>3756</v>
      </c>
      <c r="D1293" s="51" t="s">
        <v>4290</v>
      </c>
      <c r="E1293" s="51" t="s">
        <v>4291</v>
      </c>
      <c r="F1293" s="52">
        <v>6.8042424374921664</v>
      </c>
      <c r="G1293" s="52">
        <v>0</v>
      </c>
      <c r="H1293" s="52">
        <v>0</v>
      </c>
      <c r="I1293" s="52">
        <v>0</v>
      </c>
      <c r="J1293" s="51">
        <v>0</v>
      </c>
      <c r="K1293" s="54">
        <v>0</v>
      </c>
      <c r="L1293" s="51">
        <v>0</v>
      </c>
      <c r="M1293" s="54">
        <v>0</v>
      </c>
      <c r="N1293" s="53">
        <f t="shared" si="40"/>
        <v>0</v>
      </c>
      <c r="O1293" s="53">
        <f t="shared" si="41"/>
        <v>0</v>
      </c>
    </row>
    <row r="1294" spans="1:15" x14ac:dyDescent="0.2">
      <c r="A1294" s="51" t="s">
        <v>3567</v>
      </c>
      <c r="B1294" s="51" t="s">
        <v>3568</v>
      </c>
      <c r="C1294" s="51" t="s">
        <v>65</v>
      </c>
      <c r="D1294" s="51" t="s">
        <v>110</v>
      </c>
      <c r="E1294" s="51" t="s">
        <v>109</v>
      </c>
      <c r="F1294" s="52">
        <v>3597.224271795802</v>
      </c>
      <c r="G1294" s="52">
        <v>25875</v>
      </c>
      <c r="H1294" s="52">
        <v>1500</v>
      </c>
      <c r="I1294" s="52">
        <v>27375</v>
      </c>
      <c r="J1294" s="51">
        <v>2</v>
      </c>
      <c r="K1294" s="54">
        <v>20000</v>
      </c>
      <c r="L1294" s="51">
        <v>0</v>
      </c>
      <c r="M1294" s="54">
        <v>0</v>
      </c>
      <c r="N1294" s="53">
        <f t="shared" si="40"/>
        <v>20000</v>
      </c>
      <c r="O1294" s="53">
        <f t="shared" si="41"/>
        <v>-20000</v>
      </c>
    </row>
    <row r="1295" spans="1:15" x14ac:dyDescent="0.2">
      <c r="A1295" s="51" t="s">
        <v>3567</v>
      </c>
      <c r="B1295" s="51" t="s">
        <v>3568</v>
      </c>
      <c r="C1295" s="51" t="s">
        <v>3633</v>
      </c>
      <c r="D1295" s="51" t="s">
        <v>4296</v>
      </c>
      <c r="E1295" s="51" t="s">
        <v>3715</v>
      </c>
      <c r="F1295" s="52">
        <v>22.56129570492125</v>
      </c>
      <c r="G1295" s="52">
        <v>0</v>
      </c>
      <c r="H1295" s="52">
        <v>0</v>
      </c>
      <c r="I1295" s="52">
        <v>0</v>
      </c>
      <c r="J1295" s="51">
        <v>0</v>
      </c>
      <c r="K1295" s="54">
        <v>0</v>
      </c>
      <c r="L1295" s="51">
        <v>0</v>
      </c>
      <c r="M1295" s="54">
        <v>0</v>
      </c>
      <c r="N1295" s="53">
        <f t="shared" si="40"/>
        <v>0</v>
      </c>
      <c r="O1295" s="53">
        <f t="shared" si="41"/>
        <v>0</v>
      </c>
    </row>
    <row r="1296" spans="1:15" x14ac:dyDescent="0.2">
      <c r="A1296" s="51" t="s">
        <v>3567</v>
      </c>
      <c r="B1296" s="51" t="s">
        <v>3568</v>
      </c>
      <c r="C1296" s="51" t="s">
        <v>3580</v>
      </c>
      <c r="D1296" s="51" t="s">
        <v>4327</v>
      </c>
      <c r="E1296" s="51" t="s">
        <v>4328</v>
      </c>
      <c r="F1296" s="52">
        <v>1.958858069012388</v>
      </c>
      <c r="G1296" s="52">
        <v>0</v>
      </c>
      <c r="H1296" s="52">
        <v>0</v>
      </c>
      <c r="I1296" s="52">
        <v>0</v>
      </c>
      <c r="J1296" s="51">
        <v>0</v>
      </c>
      <c r="K1296" s="54">
        <v>0</v>
      </c>
      <c r="L1296" s="51">
        <v>0</v>
      </c>
      <c r="M1296" s="54">
        <v>0</v>
      </c>
      <c r="N1296" s="53">
        <f t="shared" si="40"/>
        <v>0</v>
      </c>
      <c r="O1296" s="53">
        <f t="shared" si="41"/>
        <v>0</v>
      </c>
    </row>
    <row r="1297" spans="1:15" x14ac:dyDescent="0.2">
      <c r="A1297" s="51" t="s">
        <v>3567</v>
      </c>
      <c r="B1297" s="51" t="s">
        <v>3568</v>
      </c>
      <c r="C1297" s="51" t="s">
        <v>3718</v>
      </c>
      <c r="D1297" s="51" t="s">
        <v>4307</v>
      </c>
      <c r="E1297" s="51" t="s">
        <v>4308</v>
      </c>
      <c r="F1297" s="52">
        <v>0.31063917569999999</v>
      </c>
      <c r="G1297" s="52">
        <v>0</v>
      </c>
      <c r="H1297" s="52">
        <v>0</v>
      </c>
      <c r="I1297" s="52">
        <v>0</v>
      </c>
      <c r="J1297" s="51">
        <v>0</v>
      </c>
      <c r="K1297" s="54">
        <v>0</v>
      </c>
      <c r="L1297" s="51">
        <v>0</v>
      </c>
      <c r="M1297" s="54">
        <v>0</v>
      </c>
      <c r="N1297" s="53">
        <f t="shared" si="40"/>
        <v>0</v>
      </c>
      <c r="O1297" s="53">
        <f t="shared" si="41"/>
        <v>0</v>
      </c>
    </row>
    <row r="1298" spans="1:15" x14ac:dyDescent="0.2">
      <c r="A1298" s="51" t="s">
        <v>3567</v>
      </c>
      <c r="B1298" s="51" t="s">
        <v>3568</v>
      </c>
      <c r="C1298" s="51" t="s">
        <v>82</v>
      </c>
      <c r="D1298" s="51" t="s">
        <v>4237</v>
      </c>
      <c r="E1298" s="51" t="s">
        <v>4238</v>
      </c>
      <c r="F1298" s="52">
        <v>0.81486086416469605</v>
      </c>
      <c r="G1298" s="52">
        <v>0</v>
      </c>
      <c r="H1298" s="52">
        <v>0</v>
      </c>
      <c r="I1298" s="52">
        <v>0</v>
      </c>
      <c r="J1298" s="51">
        <v>0</v>
      </c>
      <c r="K1298" s="54">
        <v>0</v>
      </c>
      <c r="L1298" s="51">
        <v>0</v>
      </c>
      <c r="M1298" s="54">
        <v>0</v>
      </c>
      <c r="N1298" s="53">
        <f t="shared" si="40"/>
        <v>0</v>
      </c>
      <c r="O1298" s="53">
        <f t="shared" si="41"/>
        <v>0</v>
      </c>
    </row>
    <row r="1299" spans="1:15" x14ac:dyDescent="0.2">
      <c r="A1299" s="51" t="s">
        <v>3567</v>
      </c>
      <c r="B1299" s="51" t="s">
        <v>3568</v>
      </c>
      <c r="C1299" s="51" t="s">
        <v>55</v>
      </c>
      <c r="D1299" s="51" t="s">
        <v>2534</v>
      </c>
      <c r="E1299" s="51" t="s">
        <v>2533</v>
      </c>
      <c r="F1299" s="52">
        <v>4227.6373434783</v>
      </c>
      <c r="G1299" s="52">
        <v>27800</v>
      </c>
      <c r="H1299" s="52">
        <v>16700</v>
      </c>
      <c r="I1299" s="52">
        <v>44500</v>
      </c>
      <c r="J1299" s="51">
        <v>1</v>
      </c>
      <c r="K1299" s="54">
        <v>5000</v>
      </c>
      <c r="L1299" s="51">
        <v>0</v>
      </c>
      <c r="M1299" s="54">
        <v>0</v>
      </c>
      <c r="N1299" s="53">
        <f t="shared" si="40"/>
        <v>5000</v>
      </c>
      <c r="O1299" s="53">
        <f t="shared" si="41"/>
        <v>-5000</v>
      </c>
    </row>
    <row r="1300" spans="1:15" x14ac:dyDescent="0.2">
      <c r="A1300" s="51" t="s">
        <v>3567</v>
      </c>
      <c r="B1300" s="51" t="s">
        <v>3568</v>
      </c>
      <c r="C1300" s="51" t="s">
        <v>73</v>
      </c>
      <c r="D1300" s="51" t="s">
        <v>1179</v>
      </c>
      <c r="E1300" s="51" t="s">
        <v>1178</v>
      </c>
      <c r="F1300" s="52">
        <v>289.20960000000002</v>
      </c>
      <c r="G1300" s="52">
        <v>4050</v>
      </c>
      <c r="H1300" s="52">
        <v>4550</v>
      </c>
      <c r="I1300" s="52">
        <v>8600</v>
      </c>
      <c r="J1300" s="51">
        <v>0</v>
      </c>
      <c r="K1300" s="54">
        <v>0</v>
      </c>
      <c r="L1300" s="51">
        <v>1</v>
      </c>
      <c r="M1300" s="54">
        <v>5000</v>
      </c>
      <c r="N1300" s="53">
        <f t="shared" si="40"/>
        <v>-5000</v>
      </c>
      <c r="O1300" s="53">
        <f t="shared" si="41"/>
        <v>5000</v>
      </c>
    </row>
    <row r="1301" spans="1:15" x14ac:dyDescent="0.2">
      <c r="A1301" s="51" t="s">
        <v>3567</v>
      </c>
      <c r="B1301" s="51" t="s">
        <v>3568</v>
      </c>
      <c r="C1301" s="51" t="s">
        <v>62</v>
      </c>
      <c r="D1301" s="51" t="s">
        <v>1894</v>
      </c>
      <c r="E1301" s="51" t="s">
        <v>1893</v>
      </c>
      <c r="F1301" s="52">
        <v>33.195900000000002</v>
      </c>
      <c r="G1301" s="52">
        <v>0</v>
      </c>
      <c r="H1301" s="52">
        <v>0</v>
      </c>
      <c r="I1301" s="52">
        <v>0</v>
      </c>
      <c r="J1301" s="51">
        <v>0</v>
      </c>
      <c r="K1301" s="54">
        <v>0</v>
      </c>
      <c r="L1301" s="51">
        <v>0</v>
      </c>
      <c r="M1301" s="54">
        <v>0</v>
      </c>
      <c r="N1301" s="53">
        <f t="shared" si="40"/>
        <v>0</v>
      </c>
      <c r="O1301" s="53">
        <f t="shared" si="41"/>
        <v>0</v>
      </c>
    </row>
    <row r="1302" spans="1:15" x14ac:dyDescent="0.2">
      <c r="A1302" s="51" t="s">
        <v>3567</v>
      </c>
      <c r="B1302" s="51" t="s">
        <v>3568</v>
      </c>
      <c r="C1302" s="51" t="s">
        <v>78</v>
      </c>
      <c r="D1302" s="51" t="s">
        <v>4272</v>
      </c>
      <c r="E1302" s="51" t="s">
        <v>4273</v>
      </c>
      <c r="F1302" s="52">
        <v>2.1797382286549589</v>
      </c>
      <c r="G1302" s="52">
        <v>0</v>
      </c>
      <c r="H1302" s="52">
        <v>0</v>
      </c>
      <c r="I1302" s="52">
        <v>0</v>
      </c>
      <c r="J1302" s="51">
        <v>0</v>
      </c>
      <c r="K1302" s="54">
        <v>0</v>
      </c>
      <c r="L1302" s="51">
        <v>0</v>
      </c>
      <c r="M1302" s="54">
        <v>0</v>
      </c>
      <c r="N1302" s="53">
        <f t="shared" si="40"/>
        <v>0</v>
      </c>
      <c r="O1302" s="53">
        <f t="shared" si="41"/>
        <v>0</v>
      </c>
    </row>
    <row r="1303" spans="1:15" x14ac:dyDescent="0.2">
      <c r="A1303" s="51" t="s">
        <v>3567</v>
      </c>
      <c r="B1303" s="51" t="s">
        <v>3568</v>
      </c>
      <c r="C1303" s="51" t="s">
        <v>65</v>
      </c>
      <c r="D1303" s="51" t="s">
        <v>1888</v>
      </c>
      <c r="E1303" s="51" t="s">
        <v>701</v>
      </c>
      <c r="F1303" s="52">
        <v>22980.21626847221</v>
      </c>
      <c r="G1303" s="52">
        <v>7025</v>
      </c>
      <c r="H1303" s="52">
        <v>1685</v>
      </c>
      <c r="I1303" s="52">
        <v>8710</v>
      </c>
      <c r="J1303" s="51">
        <v>1</v>
      </c>
      <c r="K1303" s="54">
        <v>15000</v>
      </c>
      <c r="L1303" s="51">
        <v>0</v>
      </c>
      <c r="M1303" s="54">
        <v>0</v>
      </c>
      <c r="N1303" s="53">
        <f t="shared" si="40"/>
        <v>15000</v>
      </c>
      <c r="O1303" s="53">
        <f t="shared" si="41"/>
        <v>-15000</v>
      </c>
    </row>
    <row r="1304" spans="1:15" x14ac:dyDescent="0.2">
      <c r="A1304" s="51" t="s">
        <v>3567</v>
      </c>
      <c r="B1304" s="51" t="s">
        <v>3568</v>
      </c>
      <c r="C1304" s="51" t="s">
        <v>3786</v>
      </c>
      <c r="D1304" s="51" t="s">
        <v>4278</v>
      </c>
      <c r="E1304" s="51" t="s">
        <v>4279</v>
      </c>
      <c r="F1304" s="52">
        <v>4.2189885582913629</v>
      </c>
      <c r="G1304" s="52">
        <v>0</v>
      </c>
      <c r="H1304" s="52">
        <v>0</v>
      </c>
      <c r="I1304" s="52">
        <v>0</v>
      </c>
      <c r="J1304" s="51">
        <v>0</v>
      </c>
      <c r="K1304" s="54">
        <v>0</v>
      </c>
      <c r="L1304" s="51">
        <v>0</v>
      </c>
      <c r="M1304" s="54">
        <v>0</v>
      </c>
      <c r="N1304" s="53">
        <f t="shared" si="40"/>
        <v>0</v>
      </c>
      <c r="O1304" s="53">
        <f t="shared" si="41"/>
        <v>0</v>
      </c>
    </row>
    <row r="1305" spans="1:15" x14ac:dyDescent="0.2">
      <c r="A1305" s="51" t="s">
        <v>3567</v>
      </c>
      <c r="B1305" s="51" t="s">
        <v>3568</v>
      </c>
      <c r="C1305" s="51" t="s">
        <v>57</v>
      </c>
      <c r="D1305" s="51" t="s">
        <v>2372</v>
      </c>
      <c r="E1305" s="51" t="s">
        <v>2371</v>
      </c>
      <c r="F1305" s="52">
        <v>1464.411285398488</v>
      </c>
      <c r="G1305" s="52">
        <v>0</v>
      </c>
      <c r="H1305" s="52">
        <v>0</v>
      </c>
      <c r="I1305" s="52">
        <v>0</v>
      </c>
      <c r="J1305" s="51">
        <v>0</v>
      </c>
      <c r="K1305" s="54">
        <v>0</v>
      </c>
      <c r="L1305" s="51">
        <v>1</v>
      </c>
      <c r="M1305" s="54">
        <v>15000</v>
      </c>
      <c r="N1305" s="53">
        <f t="shared" si="40"/>
        <v>-15000</v>
      </c>
      <c r="O1305" s="53">
        <f t="shared" si="41"/>
        <v>15000</v>
      </c>
    </row>
    <row r="1306" spans="1:15" x14ac:dyDescent="0.2">
      <c r="A1306" s="51" t="s">
        <v>3567</v>
      </c>
      <c r="B1306" s="51" t="s">
        <v>3568</v>
      </c>
      <c r="C1306" s="51" t="s">
        <v>3647</v>
      </c>
      <c r="D1306" s="51" t="s">
        <v>4260</v>
      </c>
      <c r="E1306" s="51" t="s">
        <v>4261</v>
      </c>
      <c r="F1306" s="52">
        <v>1.605545108262223</v>
      </c>
      <c r="G1306" s="52">
        <v>0</v>
      </c>
      <c r="H1306" s="52">
        <v>0</v>
      </c>
      <c r="I1306" s="52">
        <v>0</v>
      </c>
      <c r="J1306" s="51">
        <v>0</v>
      </c>
      <c r="K1306" s="54">
        <v>0</v>
      </c>
      <c r="L1306" s="51">
        <v>0</v>
      </c>
      <c r="M1306" s="54">
        <v>0</v>
      </c>
      <c r="N1306" s="53">
        <f t="shared" si="40"/>
        <v>0</v>
      </c>
      <c r="O1306" s="53">
        <f t="shared" si="41"/>
        <v>0</v>
      </c>
    </row>
    <row r="1307" spans="1:15" x14ac:dyDescent="0.2">
      <c r="A1307" s="51" t="s">
        <v>3567</v>
      </c>
      <c r="B1307" s="51" t="s">
        <v>3568</v>
      </c>
      <c r="C1307" s="51" t="s">
        <v>54</v>
      </c>
      <c r="D1307" s="51" t="s">
        <v>3082</v>
      </c>
      <c r="E1307" s="51" t="s">
        <v>3081</v>
      </c>
      <c r="F1307" s="52">
        <v>2.8479000000000001</v>
      </c>
      <c r="G1307" s="52">
        <v>0</v>
      </c>
      <c r="H1307" s="52">
        <v>0</v>
      </c>
      <c r="I1307" s="52">
        <v>0</v>
      </c>
      <c r="J1307" s="51">
        <v>0</v>
      </c>
      <c r="K1307" s="54">
        <v>0</v>
      </c>
      <c r="L1307" s="51">
        <v>0</v>
      </c>
      <c r="M1307" s="54">
        <v>0</v>
      </c>
      <c r="N1307" s="53">
        <f t="shared" si="40"/>
        <v>0</v>
      </c>
      <c r="O1307" s="53">
        <f t="shared" si="41"/>
        <v>0</v>
      </c>
    </row>
    <row r="1308" spans="1:15" x14ac:dyDescent="0.2">
      <c r="A1308" s="51" t="s">
        <v>3567</v>
      </c>
      <c r="B1308" s="51" t="s">
        <v>3568</v>
      </c>
      <c r="C1308" s="51" t="s">
        <v>71</v>
      </c>
      <c r="D1308" s="51" t="s">
        <v>3231</v>
      </c>
      <c r="E1308" s="51" t="s">
        <v>147</v>
      </c>
      <c r="F1308" s="52">
        <v>12469.047500000001</v>
      </c>
      <c r="G1308" s="52">
        <v>3400</v>
      </c>
      <c r="H1308" s="52">
        <v>300</v>
      </c>
      <c r="I1308" s="52">
        <v>3700</v>
      </c>
      <c r="J1308" s="51">
        <v>1</v>
      </c>
      <c r="K1308" s="54">
        <v>7000</v>
      </c>
      <c r="L1308" s="51">
        <v>0</v>
      </c>
      <c r="M1308" s="54">
        <v>0</v>
      </c>
      <c r="N1308" s="53">
        <f t="shared" si="40"/>
        <v>7000</v>
      </c>
      <c r="O1308" s="53">
        <f t="shared" si="41"/>
        <v>-7000</v>
      </c>
    </row>
    <row r="1309" spans="1:15" x14ac:dyDescent="0.2">
      <c r="A1309" s="51" t="s">
        <v>3567</v>
      </c>
      <c r="B1309" s="51" t="s">
        <v>3568</v>
      </c>
      <c r="C1309" s="51" t="s">
        <v>86</v>
      </c>
      <c r="D1309" s="51" t="s">
        <v>3202</v>
      </c>
      <c r="E1309" s="51" t="s">
        <v>3201</v>
      </c>
      <c r="F1309" s="52">
        <v>11162.6859000319</v>
      </c>
      <c r="G1309" s="52">
        <v>4930</v>
      </c>
      <c r="H1309" s="52">
        <v>5100</v>
      </c>
      <c r="I1309" s="52">
        <v>10030</v>
      </c>
      <c r="J1309" s="51">
        <v>1</v>
      </c>
      <c r="K1309" s="54">
        <v>5000</v>
      </c>
      <c r="L1309" s="51">
        <v>0</v>
      </c>
      <c r="M1309" s="54">
        <v>0</v>
      </c>
      <c r="N1309" s="53">
        <f t="shared" si="40"/>
        <v>5000</v>
      </c>
      <c r="O1309" s="53">
        <f t="shared" si="41"/>
        <v>-5000</v>
      </c>
    </row>
    <row r="1310" spans="1:15" x14ac:dyDescent="0.2">
      <c r="A1310" s="51" t="s">
        <v>3567</v>
      </c>
      <c r="B1310" s="51" t="s">
        <v>3568</v>
      </c>
      <c r="C1310" s="51" t="s">
        <v>3607</v>
      </c>
      <c r="D1310" s="51" t="s">
        <v>4292</v>
      </c>
      <c r="E1310" s="51" t="s">
        <v>4293</v>
      </c>
      <c r="F1310" s="52">
        <v>23.78569640771174</v>
      </c>
      <c r="G1310" s="52">
        <v>0</v>
      </c>
      <c r="H1310" s="52">
        <v>0</v>
      </c>
      <c r="I1310" s="52">
        <v>0</v>
      </c>
      <c r="J1310" s="51">
        <v>0</v>
      </c>
      <c r="K1310" s="54">
        <v>0</v>
      </c>
      <c r="L1310" s="51">
        <v>0</v>
      </c>
      <c r="M1310" s="54">
        <v>0</v>
      </c>
      <c r="N1310" s="53">
        <f t="shared" si="40"/>
        <v>0</v>
      </c>
      <c r="O1310" s="53">
        <f t="shared" si="41"/>
        <v>0</v>
      </c>
    </row>
    <row r="1311" spans="1:15" x14ac:dyDescent="0.2">
      <c r="A1311" s="51" t="s">
        <v>3567</v>
      </c>
      <c r="B1311" s="51" t="s">
        <v>3568</v>
      </c>
      <c r="C1311" s="51" t="s">
        <v>86</v>
      </c>
      <c r="D1311" s="51" t="s">
        <v>1294</v>
      </c>
      <c r="E1311" s="51" t="s">
        <v>1293</v>
      </c>
      <c r="F1311" s="52">
        <v>8136.5145476359894</v>
      </c>
      <c r="G1311" s="52">
        <v>3255</v>
      </c>
      <c r="H1311" s="52">
        <v>6450</v>
      </c>
      <c r="I1311" s="52">
        <v>9705</v>
      </c>
      <c r="J1311" s="51">
        <v>0</v>
      </c>
      <c r="K1311" s="54">
        <v>0</v>
      </c>
      <c r="L1311" s="51">
        <v>1</v>
      </c>
      <c r="M1311" s="54">
        <v>10000</v>
      </c>
      <c r="N1311" s="53">
        <f t="shared" si="40"/>
        <v>-10000</v>
      </c>
      <c r="O1311" s="53">
        <f t="shared" si="41"/>
        <v>10000</v>
      </c>
    </row>
    <row r="1312" spans="1:15" x14ac:dyDescent="0.2">
      <c r="A1312" s="51" t="s">
        <v>3567</v>
      </c>
      <c r="B1312" s="51" t="s">
        <v>3568</v>
      </c>
      <c r="C1312" s="51" t="s">
        <v>87</v>
      </c>
      <c r="D1312" s="51" t="s">
        <v>3421</v>
      </c>
      <c r="E1312" s="51" t="s">
        <v>3420</v>
      </c>
      <c r="F1312" s="52">
        <v>1183.8735537210309</v>
      </c>
      <c r="G1312" s="52">
        <v>500</v>
      </c>
      <c r="H1312" s="52">
        <v>6290</v>
      </c>
      <c r="I1312" s="52">
        <v>6790</v>
      </c>
      <c r="J1312" s="51">
        <v>0</v>
      </c>
      <c r="K1312" s="54">
        <v>0</v>
      </c>
      <c r="L1312" s="51">
        <v>1</v>
      </c>
      <c r="M1312" s="54">
        <v>7000</v>
      </c>
      <c r="N1312" s="53">
        <f t="shared" si="40"/>
        <v>-7000</v>
      </c>
      <c r="O1312" s="53">
        <f t="shared" si="41"/>
        <v>7000</v>
      </c>
    </row>
    <row r="1313" spans="1:15" x14ac:dyDescent="0.2">
      <c r="A1313" s="51" t="s">
        <v>3567</v>
      </c>
      <c r="B1313" s="51" t="s">
        <v>3568</v>
      </c>
      <c r="C1313" s="51" t="s">
        <v>3583</v>
      </c>
      <c r="D1313" s="51" t="s">
        <v>4286</v>
      </c>
      <c r="E1313" s="51" t="s">
        <v>4287</v>
      </c>
      <c r="F1313" s="52">
        <v>0.99796042437451893</v>
      </c>
      <c r="G1313" s="52">
        <v>0</v>
      </c>
      <c r="H1313" s="52">
        <v>0</v>
      </c>
      <c r="I1313" s="52">
        <v>0</v>
      </c>
      <c r="J1313" s="51">
        <v>0</v>
      </c>
      <c r="K1313" s="54">
        <v>0</v>
      </c>
      <c r="L1313" s="51">
        <v>0</v>
      </c>
      <c r="M1313" s="54">
        <v>0</v>
      </c>
      <c r="N1313" s="53">
        <f t="shared" si="40"/>
        <v>0</v>
      </c>
      <c r="O1313" s="53">
        <f t="shared" si="41"/>
        <v>0</v>
      </c>
    </row>
    <row r="1314" spans="1:15" x14ac:dyDescent="0.2">
      <c r="A1314" s="51" t="s">
        <v>3567</v>
      </c>
      <c r="B1314" s="51" t="s">
        <v>3568</v>
      </c>
      <c r="C1314" s="51" t="s">
        <v>75</v>
      </c>
      <c r="D1314" s="51" t="s">
        <v>299</v>
      </c>
      <c r="E1314" s="51" t="s">
        <v>298</v>
      </c>
      <c r="F1314" s="52">
        <v>17177.027766412051</v>
      </c>
      <c r="G1314" s="52">
        <v>600</v>
      </c>
      <c r="H1314" s="52">
        <v>5802</v>
      </c>
      <c r="I1314" s="52">
        <v>6402</v>
      </c>
      <c r="J1314" s="51">
        <v>0</v>
      </c>
      <c r="K1314" s="54">
        <v>0</v>
      </c>
      <c r="L1314" s="51">
        <v>1</v>
      </c>
      <c r="M1314" s="54">
        <v>6000</v>
      </c>
      <c r="N1314" s="53">
        <f t="shared" si="40"/>
        <v>-6000</v>
      </c>
      <c r="O1314" s="53">
        <f t="shared" si="41"/>
        <v>6000</v>
      </c>
    </row>
    <row r="1315" spans="1:15" x14ac:dyDescent="0.2">
      <c r="A1315" s="51" t="s">
        <v>3567</v>
      </c>
      <c r="B1315" s="51" t="s">
        <v>3568</v>
      </c>
      <c r="C1315" s="51" t="s">
        <v>73</v>
      </c>
      <c r="D1315" s="51" t="s">
        <v>1181</v>
      </c>
      <c r="E1315" s="51" t="s">
        <v>1180</v>
      </c>
      <c r="F1315" s="52">
        <v>1217.9921882511189</v>
      </c>
      <c r="G1315" s="52">
        <v>0</v>
      </c>
      <c r="H1315" s="52">
        <v>70000</v>
      </c>
      <c r="I1315" s="52">
        <v>70000</v>
      </c>
      <c r="J1315" s="51">
        <v>0</v>
      </c>
      <c r="K1315" s="54">
        <v>0</v>
      </c>
      <c r="L1315" s="51">
        <v>3</v>
      </c>
      <c r="M1315" s="54">
        <v>130000</v>
      </c>
      <c r="N1315" s="53">
        <f t="shared" si="40"/>
        <v>-130000</v>
      </c>
      <c r="O1315" s="53">
        <f t="shared" si="41"/>
        <v>130000</v>
      </c>
    </row>
    <row r="1316" spans="1:15" x14ac:dyDescent="0.2">
      <c r="A1316" s="51" t="s">
        <v>3567</v>
      </c>
      <c r="B1316" s="51" t="s">
        <v>3568</v>
      </c>
      <c r="C1316" s="51" t="s">
        <v>3684</v>
      </c>
      <c r="D1316" s="51" t="s">
        <v>4301</v>
      </c>
      <c r="E1316" s="51" t="s">
        <v>4302</v>
      </c>
      <c r="F1316" s="52">
        <v>574.34853310534038</v>
      </c>
      <c r="G1316" s="52">
        <v>0</v>
      </c>
      <c r="H1316" s="52">
        <v>0</v>
      </c>
      <c r="I1316" s="52">
        <v>0</v>
      </c>
      <c r="J1316" s="51">
        <v>0</v>
      </c>
      <c r="K1316" s="54">
        <v>0</v>
      </c>
      <c r="L1316" s="51">
        <v>0</v>
      </c>
      <c r="M1316" s="54">
        <v>0</v>
      </c>
      <c r="N1316" s="53">
        <f t="shared" si="40"/>
        <v>0</v>
      </c>
      <c r="O1316" s="53">
        <f t="shared" si="41"/>
        <v>0</v>
      </c>
    </row>
    <row r="1317" spans="1:15" x14ac:dyDescent="0.2">
      <c r="A1317" s="51" t="s">
        <v>3567</v>
      </c>
      <c r="B1317" s="51" t="s">
        <v>3568</v>
      </c>
      <c r="C1317" s="51" t="s">
        <v>69</v>
      </c>
      <c r="D1317" s="51" t="s">
        <v>2823</v>
      </c>
      <c r="E1317" s="51" t="s">
        <v>2822</v>
      </c>
      <c r="F1317" s="52">
        <v>16374.716934355711</v>
      </c>
      <c r="G1317" s="52">
        <v>26705</v>
      </c>
      <c r="H1317" s="52">
        <v>8390</v>
      </c>
      <c r="I1317" s="52">
        <v>35095</v>
      </c>
      <c r="J1317" s="51">
        <v>0</v>
      </c>
      <c r="K1317" s="54">
        <v>0</v>
      </c>
      <c r="L1317" s="51">
        <v>0</v>
      </c>
      <c r="M1317" s="54">
        <v>0</v>
      </c>
      <c r="N1317" s="53">
        <f t="shared" si="40"/>
        <v>0</v>
      </c>
      <c r="O1317" s="53">
        <f t="shared" si="41"/>
        <v>0</v>
      </c>
    </row>
    <row r="1318" spans="1:15" x14ac:dyDescent="0.2">
      <c r="A1318" s="51" t="s">
        <v>3567</v>
      </c>
      <c r="B1318" s="51" t="s">
        <v>3568</v>
      </c>
      <c r="C1318" s="51" t="s">
        <v>53</v>
      </c>
      <c r="D1318" s="51" t="s">
        <v>1981</v>
      </c>
      <c r="E1318" s="51" t="s">
        <v>1980</v>
      </c>
      <c r="F1318" s="52">
        <v>20875.993561646119</v>
      </c>
      <c r="G1318" s="52">
        <v>22545</v>
      </c>
      <c r="H1318" s="52">
        <v>5590</v>
      </c>
      <c r="I1318" s="52">
        <v>28135</v>
      </c>
      <c r="J1318" s="51">
        <v>1</v>
      </c>
      <c r="K1318" s="54">
        <v>5000</v>
      </c>
      <c r="L1318" s="51">
        <v>0</v>
      </c>
      <c r="M1318" s="54">
        <v>0</v>
      </c>
      <c r="N1318" s="53">
        <f t="shared" si="40"/>
        <v>5000</v>
      </c>
      <c r="O1318" s="53">
        <f t="shared" si="41"/>
        <v>-5000</v>
      </c>
    </row>
    <row r="1319" spans="1:15" x14ac:dyDescent="0.2">
      <c r="A1319" s="51" t="s">
        <v>3567</v>
      </c>
      <c r="B1319" s="51" t="s">
        <v>3568</v>
      </c>
      <c r="C1319" s="51" t="s">
        <v>65</v>
      </c>
      <c r="D1319" s="51" t="s">
        <v>128</v>
      </c>
      <c r="E1319" s="51" t="s">
        <v>127</v>
      </c>
      <c r="F1319" s="52">
        <v>36247.374342426629</v>
      </c>
      <c r="G1319" s="52">
        <v>7900</v>
      </c>
      <c r="H1319" s="52">
        <v>21450</v>
      </c>
      <c r="I1319" s="52">
        <v>29350</v>
      </c>
      <c r="J1319" s="51">
        <v>1</v>
      </c>
      <c r="K1319" s="54">
        <v>5000</v>
      </c>
      <c r="L1319" s="51">
        <v>0</v>
      </c>
      <c r="M1319" s="54">
        <v>0</v>
      </c>
      <c r="N1319" s="53">
        <f t="shared" si="40"/>
        <v>5000</v>
      </c>
      <c r="O1319" s="53">
        <f t="shared" si="41"/>
        <v>-5000</v>
      </c>
    </row>
    <row r="1320" spans="1:15" x14ac:dyDescent="0.2">
      <c r="A1320" s="51" t="s">
        <v>3567</v>
      </c>
      <c r="B1320" s="51" t="s">
        <v>3568</v>
      </c>
      <c r="C1320" s="51" t="s">
        <v>3944</v>
      </c>
      <c r="D1320" s="51" t="s">
        <v>4305</v>
      </c>
      <c r="E1320" s="51" t="s">
        <v>4306</v>
      </c>
      <c r="F1320" s="52">
        <v>85.811750000000004</v>
      </c>
      <c r="G1320" s="52">
        <v>0</v>
      </c>
      <c r="H1320" s="52">
        <v>0</v>
      </c>
      <c r="I1320" s="52">
        <v>0</v>
      </c>
      <c r="J1320" s="51">
        <v>0</v>
      </c>
      <c r="K1320" s="54">
        <v>0</v>
      </c>
      <c r="L1320" s="51">
        <v>0</v>
      </c>
      <c r="M1320" s="54">
        <v>0</v>
      </c>
      <c r="N1320" s="53">
        <f t="shared" si="40"/>
        <v>0</v>
      </c>
      <c r="O1320" s="53">
        <f t="shared" si="41"/>
        <v>0</v>
      </c>
    </row>
    <row r="1321" spans="1:15" x14ac:dyDescent="0.2">
      <c r="A1321" s="51" t="s">
        <v>3567</v>
      </c>
      <c r="B1321" s="51" t="s">
        <v>3568</v>
      </c>
      <c r="C1321" s="51" t="s">
        <v>93</v>
      </c>
      <c r="D1321" s="51" t="s">
        <v>1376</v>
      </c>
      <c r="E1321" s="51" t="s">
        <v>1375</v>
      </c>
      <c r="F1321" s="52">
        <v>4583.3227228518799</v>
      </c>
      <c r="G1321" s="52">
        <v>3510</v>
      </c>
      <c r="H1321" s="52">
        <v>3700</v>
      </c>
      <c r="I1321" s="52">
        <v>7210</v>
      </c>
      <c r="J1321" s="51">
        <v>1</v>
      </c>
      <c r="K1321" s="54">
        <v>5000</v>
      </c>
      <c r="L1321" s="51">
        <v>0</v>
      </c>
      <c r="M1321" s="54">
        <v>0</v>
      </c>
      <c r="N1321" s="53">
        <f t="shared" si="40"/>
        <v>5000</v>
      </c>
      <c r="O1321" s="53">
        <f t="shared" si="41"/>
        <v>-5000</v>
      </c>
    </row>
    <row r="1322" spans="1:15" x14ac:dyDescent="0.2">
      <c r="A1322" s="51" t="s">
        <v>3567</v>
      </c>
      <c r="B1322" s="51" t="s">
        <v>3568</v>
      </c>
      <c r="C1322" s="51" t="s">
        <v>75</v>
      </c>
      <c r="D1322" s="51" t="s">
        <v>4319</v>
      </c>
      <c r="E1322" s="51" t="s">
        <v>4320</v>
      </c>
      <c r="F1322" s="52">
        <v>2.0417927259743891</v>
      </c>
      <c r="G1322" s="52">
        <v>0</v>
      </c>
      <c r="H1322" s="52">
        <v>0</v>
      </c>
      <c r="I1322" s="52">
        <v>0</v>
      </c>
      <c r="J1322" s="51">
        <v>0</v>
      </c>
      <c r="K1322" s="54">
        <v>0</v>
      </c>
      <c r="L1322" s="51">
        <v>0</v>
      </c>
      <c r="M1322" s="54">
        <v>0</v>
      </c>
      <c r="N1322" s="53">
        <f t="shared" si="40"/>
        <v>0</v>
      </c>
      <c r="O1322" s="53">
        <f t="shared" si="41"/>
        <v>0</v>
      </c>
    </row>
    <row r="1323" spans="1:15" x14ac:dyDescent="0.2">
      <c r="A1323" s="51" t="s">
        <v>3567</v>
      </c>
      <c r="B1323" s="51" t="s">
        <v>3568</v>
      </c>
      <c r="C1323" s="51" t="s">
        <v>73</v>
      </c>
      <c r="D1323" s="51" t="s">
        <v>4244</v>
      </c>
      <c r="E1323" s="51" t="s">
        <v>4245</v>
      </c>
      <c r="F1323" s="52">
        <v>12.1387</v>
      </c>
      <c r="G1323" s="52">
        <v>0</v>
      </c>
      <c r="H1323" s="52">
        <v>0</v>
      </c>
      <c r="I1323" s="52">
        <v>0</v>
      </c>
      <c r="J1323" s="51">
        <v>0</v>
      </c>
      <c r="K1323" s="54">
        <v>0</v>
      </c>
      <c r="L1323" s="51">
        <v>0</v>
      </c>
      <c r="M1323" s="54">
        <v>0</v>
      </c>
      <c r="N1323" s="53">
        <f t="shared" si="40"/>
        <v>0</v>
      </c>
      <c r="O1323" s="53">
        <f t="shared" si="41"/>
        <v>0</v>
      </c>
    </row>
    <row r="1324" spans="1:15" x14ac:dyDescent="0.2">
      <c r="A1324" s="51" t="s">
        <v>3567</v>
      </c>
      <c r="B1324" s="51" t="s">
        <v>3568</v>
      </c>
      <c r="C1324" s="51" t="s">
        <v>75</v>
      </c>
      <c r="D1324" s="51" t="s">
        <v>2302</v>
      </c>
      <c r="E1324" s="51" t="s">
        <v>2301</v>
      </c>
      <c r="F1324" s="52">
        <v>41328.400062434157</v>
      </c>
      <c r="G1324" s="52">
        <v>12260</v>
      </c>
      <c r="H1324" s="52">
        <v>40360</v>
      </c>
      <c r="I1324" s="52">
        <v>52620</v>
      </c>
      <c r="J1324" s="51">
        <v>1</v>
      </c>
      <c r="K1324" s="54">
        <v>5000</v>
      </c>
      <c r="L1324" s="51">
        <v>0</v>
      </c>
      <c r="M1324" s="54">
        <v>0</v>
      </c>
      <c r="N1324" s="53">
        <f t="shared" si="40"/>
        <v>5000</v>
      </c>
      <c r="O1324" s="53">
        <f t="shared" si="41"/>
        <v>-5000</v>
      </c>
    </row>
    <row r="1325" spans="1:15" x14ac:dyDescent="0.2">
      <c r="A1325" s="51" t="s">
        <v>3567</v>
      </c>
      <c r="B1325" s="51" t="s">
        <v>3568</v>
      </c>
      <c r="C1325" s="51" t="s">
        <v>60</v>
      </c>
      <c r="D1325" s="51" t="s">
        <v>839</v>
      </c>
      <c r="E1325" s="51" t="s">
        <v>838</v>
      </c>
      <c r="F1325" s="52">
        <v>5497.1125499999998</v>
      </c>
      <c r="G1325" s="52">
        <v>0</v>
      </c>
      <c r="H1325" s="52">
        <v>2200</v>
      </c>
      <c r="I1325" s="52">
        <v>2200</v>
      </c>
      <c r="J1325" s="51">
        <v>0</v>
      </c>
      <c r="K1325" s="54">
        <v>0</v>
      </c>
      <c r="L1325" s="51">
        <v>1</v>
      </c>
      <c r="M1325" s="54">
        <v>20000</v>
      </c>
      <c r="N1325" s="53">
        <f t="shared" si="40"/>
        <v>-20000</v>
      </c>
      <c r="O1325" s="53">
        <f t="shared" si="41"/>
        <v>20000</v>
      </c>
    </row>
    <row r="1326" spans="1:15" x14ac:dyDescent="0.2">
      <c r="A1326" s="51" t="s">
        <v>3567</v>
      </c>
      <c r="B1326" s="51" t="s">
        <v>3568</v>
      </c>
      <c r="C1326" s="51" t="s">
        <v>73</v>
      </c>
      <c r="D1326" s="51" t="s">
        <v>2246</v>
      </c>
      <c r="E1326" s="51" t="s">
        <v>2245</v>
      </c>
      <c r="F1326" s="52">
        <v>3714.3283999999999</v>
      </c>
      <c r="G1326" s="52">
        <v>0</v>
      </c>
      <c r="H1326" s="52">
        <v>0</v>
      </c>
      <c r="I1326" s="52">
        <v>0</v>
      </c>
      <c r="J1326" s="51">
        <v>0</v>
      </c>
      <c r="K1326" s="54">
        <v>0</v>
      </c>
      <c r="L1326" s="51">
        <v>1</v>
      </c>
      <c r="M1326" s="54">
        <v>5000</v>
      </c>
      <c r="N1326" s="53">
        <f t="shared" si="40"/>
        <v>-5000</v>
      </c>
      <c r="O1326" s="53">
        <f t="shared" si="41"/>
        <v>5000</v>
      </c>
    </row>
    <row r="1327" spans="1:15" x14ac:dyDescent="0.2">
      <c r="A1327" s="51" t="s">
        <v>3567</v>
      </c>
      <c r="B1327" s="51" t="s">
        <v>3568</v>
      </c>
      <c r="C1327" s="51" t="s">
        <v>53</v>
      </c>
      <c r="D1327" s="51" t="s">
        <v>2456</v>
      </c>
      <c r="E1327" s="51" t="s">
        <v>2455</v>
      </c>
      <c r="F1327" s="52">
        <v>22.917000000000002</v>
      </c>
      <c r="G1327" s="52">
        <v>205</v>
      </c>
      <c r="H1327" s="52">
        <v>5200</v>
      </c>
      <c r="I1327" s="52">
        <v>5405</v>
      </c>
      <c r="J1327" s="51">
        <v>0</v>
      </c>
      <c r="K1327" s="54">
        <v>0</v>
      </c>
      <c r="L1327" s="51">
        <v>1</v>
      </c>
      <c r="M1327" s="54">
        <v>5000</v>
      </c>
      <c r="N1327" s="53">
        <f t="shared" si="40"/>
        <v>-5000</v>
      </c>
      <c r="O1327" s="53">
        <f t="shared" si="41"/>
        <v>5000</v>
      </c>
    </row>
    <row r="1328" spans="1:15" x14ac:dyDescent="0.2">
      <c r="A1328" s="51" t="s">
        <v>3567</v>
      </c>
      <c r="B1328" s="51" t="s">
        <v>3568</v>
      </c>
      <c r="C1328" s="51" t="s">
        <v>82</v>
      </c>
      <c r="D1328" s="51" t="s">
        <v>1632</v>
      </c>
      <c r="E1328" s="51" t="s">
        <v>1631</v>
      </c>
      <c r="F1328" s="52">
        <v>46131.449737355288</v>
      </c>
      <c r="G1328" s="52">
        <v>24935</v>
      </c>
      <c r="H1328" s="52">
        <v>108080</v>
      </c>
      <c r="I1328" s="52">
        <v>133015</v>
      </c>
      <c r="J1328" s="51">
        <v>0</v>
      </c>
      <c r="K1328" s="54">
        <v>0</v>
      </c>
      <c r="L1328" s="51">
        <v>3</v>
      </c>
      <c r="M1328" s="54">
        <v>100000</v>
      </c>
      <c r="N1328" s="53">
        <f t="shared" si="40"/>
        <v>-100000</v>
      </c>
      <c r="O1328" s="53">
        <f t="shared" si="41"/>
        <v>100000</v>
      </c>
    </row>
    <row r="1329" spans="1:15" x14ac:dyDescent="0.2">
      <c r="A1329" s="51" t="s">
        <v>3567</v>
      </c>
      <c r="B1329" s="51" t="s">
        <v>3568</v>
      </c>
      <c r="C1329" s="51" t="s">
        <v>3633</v>
      </c>
      <c r="D1329" s="51" t="s">
        <v>4284</v>
      </c>
      <c r="E1329" s="51" t="s">
        <v>4285</v>
      </c>
      <c r="F1329" s="52">
        <v>2.0700742277773032</v>
      </c>
      <c r="G1329" s="52">
        <v>0</v>
      </c>
      <c r="H1329" s="52">
        <v>0</v>
      </c>
      <c r="I1329" s="52">
        <v>0</v>
      </c>
      <c r="J1329" s="51">
        <v>0</v>
      </c>
      <c r="K1329" s="54">
        <v>0</v>
      </c>
      <c r="L1329" s="51">
        <v>0</v>
      </c>
      <c r="M1329" s="54">
        <v>0</v>
      </c>
      <c r="N1329" s="53">
        <f t="shared" si="40"/>
        <v>0</v>
      </c>
      <c r="O1329" s="53">
        <f t="shared" si="41"/>
        <v>0</v>
      </c>
    </row>
    <row r="1330" spans="1:15" x14ac:dyDescent="0.2">
      <c r="A1330" s="51" t="s">
        <v>3567</v>
      </c>
      <c r="B1330" s="51" t="s">
        <v>3568</v>
      </c>
      <c r="C1330" s="51" t="s">
        <v>85</v>
      </c>
      <c r="D1330" s="51" t="s">
        <v>4233</v>
      </c>
      <c r="E1330" s="51" t="s">
        <v>4234</v>
      </c>
      <c r="F1330" s="52">
        <v>1.293810213426055</v>
      </c>
      <c r="G1330" s="52">
        <v>0</v>
      </c>
      <c r="H1330" s="52">
        <v>0</v>
      </c>
      <c r="I1330" s="52">
        <v>0</v>
      </c>
      <c r="J1330" s="51">
        <v>0</v>
      </c>
      <c r="K1330" s="54">
        <v>0</v>
      </c>
      <c r="L1330" s="51">
        <v>0</v>
      </c>
      <c r="M1330" s="54">
        <v>0</v>
      </c>
      <c r="N1330" s="53">
        <f t="shared" si="40"/>
        <v>0</v>
      </c>
      <c r="O1330" s="53">
        <f t="shared" si="41"/>
        <v>0</v>
      </c>
    </row>
    <row r="1331" spans="1:15" x14ac:dyDescent="0.2">
      <c r="A1331" s="51" t="s">
        <v>3567</v>
      </c>
      <c r="B1331" s="51" t="s">
        <v>3568</v>
      </c>
      <c r="C1331" s="51" t="s">
        <v>85</v>
      </c>
      <c r="D1331" s="51" t="s">
        <v>741</v>
      </c>
      <c r="E1331" s="51" t="s">
        <v>740</v>
      </c>
      <c r="F1331" s="52">
        <v>12446.846600000001</v>
      </c>
      <c r="G1331" s="52">
        <v>7100</v>
      </c>
      <c r="H1331" s="52">
        <v>9000</v>
      </c>
      <c r="I1331" s="52">
        <v>16100</v>
      </c>
      <c r="J1331" s="51">
        <v>1</v>
      </c>
      <c r="K1331" s="54">
        <v>10000</v>
      </c>
      <c r="L1331" s="51">
        <v>1</v>
      </c>
      <c r="M1331" s="54">
        <v>30000</v>
      </c>
      <c r="N1331" s="53">
        <f t="shared" si="40"/>
        <v>-20000</v>
      </c>
      <c r="O1331" s="53">
        <f t="shared" si="41"/>
        <v>20000</v>
      </c>
    </row>
    <row r="1332" spans="1:15" x14ac:dyDescent="0.2">
      <c r="A1332" s="51" t="s">
        <v>3567</v>
      </c>
      <c r="B1332" s="51" t="s">
        <v>3568</v>
      </c>
      <c r="C1332" s="51" t="s">
        <v>58</v>
      </c>
      <c r="D1332" s="51" t="s">
        <v>4828</v>
      </c>
      <c r="E1332" s="51" t="s">
        <v>4829</v>
      </c>
      <c r="F1332" s="52">
        <v>18332.438099999999</v>
      </c>
      <c r="G1332" s="52">
        <v>7500</v>
      </c>
      <c r="H1332" s="52">
        <v>5575</v>
      </c>
      <c r="I1332" s="52">
        <v>13075</v>
      </c>
      <c r="J1332" s="51">
        <v>1</v>
      </c>
      <c r="K1332" s="54">
        <v>7000</v>
      </c>
      <c r="L1332" s="51">
        <v>0</v>
      </c>
      <c r="M1332" s="54">
        <v>0</v>
      </c>
      <c r="N1332" s="53">
        <f t="shared" si="40"/>
        <v>7000</v>
      </c>
      <c r="O1332" s="53">
        <f t="shared" si="41"/>
        <v>-7000</v>
      </c>
    </row>
    <row r="1333" spans="1:15" x14ac:dyDescent="0.2">
      <c r="A1333" s="51" t="s">
        <v>3567</v>
      </c>
      <c r="B1333" s="51" t="s">
        <v>3568</v>
      </c>
      <c r="C1333" s="51" t="s">
        <v>81</v>
      </c>
      <c r="D1333" s="51" t="s">
        <v>2623</v>
      </c>
      <c r="E1333" s="51" t="s">
        <v>2622</v>
      </c>
      <c r="F1333" s="52">
        <v>8730.7109045392008</v>
      </c>
      <c r="G1333" s="52">
        <v>0</v>
      </c>
      <c r="H1333" s="52">
        <v>0</v>
      </c>
      <c r="I1333" s="52">
        <v>0</v>
      </c>
      <c r="J1333" s="51">
        <v>0</v>
      </c>
      <c r="K1333" s="54">
        <v>0</v>
      </c>
      <c r="L1333" s="51">
        <v>1</v>
      </c>
      <c r="M1333" s="54">
        <v>5000</v>
      </c>
      <c r="N1333" s="53">
        <f t="shared" si="40"/>
        <v>-5000</v>
      </c>
      <c r="O1333" s="53">
        <f t="shared" si="41"/>
        <v>5000</v>
      </c>
    </row>
    <row r="1334" spans="1:15" x14ac:dyDescent="0.2">
      <c r="A1334" s="51" t="s">
        <v>3567</v>
      </c>
      <c r="B1334" s="51" t="s">
        <v>3568</v>
      </c>
      <c r="C1334" s="51" t="s">
        <v>59</v>
      </c>
      <c r="D1334" s="51" t="s">
        <v>1024</v>
      </c>
      <c r="E1334" s="51" t="s">
        <v>1023</v>
      </c>
      <c r="F1334" s="52">
        <v>8122.5739824637876</v>
      </c>
      <c r="G1334" s="52">
        <v>4120</v>
      </c>
      <c r="H1334" s="52">
        <v>5460</v>
      </c>
      <c r="I1334" s="52">
        <v>9580</v>
      </c>
      <c r="J1334" s="51">
        <v>1</v>
      </c>
      <c r="K1334" s="54">
        <v>5000</v>
      </c>
      <c r="L1334" s="51">
        <v>0</v>
      </c>
      <c r="M1334" s="54">
        <v>0</v>
      </c>
      <c r="N1334" s="53">
        <f t="shared" si="40"/>
        <v>5000</v>
      </c>
      <c r="O1334" s="53">
        <f t="shared" si="41"/>
        <v>-5000</v>
      </c>
    </row>
    <row r="1335" spans="1:15" x14ac:dyDescent="0.2">
      <c r="A1335" s="51" t="s">
        <v>3567</v>
      </c>
      <c r="B1335" s="51" t="s">
        <v>3568</v>
      </c>
      <c r="C1335" s="51" t="s">
        <v>71</v>
      </c>
      <c r="D1335" s="51" t="s">
        <v>3255</v>
      </c>
      <c r="E1335" s="51" t="s">
        <v>3254</v>
      </c>
      <c r="F1335" s="52">
        <v>12315.993850000001</v>
      </c>
      <c r="G1335" s="52">
        <v>2070</v>
      </c>
      <c r="H1335" s="52">
        <v>7499</v>
      </c>
      <c r="I1335" s="52">
        <v>9569</v>
      </c>
      <c r="J1335" s="51">
        <v>0</v>
      </c>
      <c r="K1335" s="54">
        <v>0</v>
      </c>
      <c r="L1335" s="51">
        <v>1</v>
      </c>
      <c r="M1335" s="54">
        <v>30000</v>
      </c>
      <c r="N1335" s="53">
        <f t="shared" si="40"/>
        <v>-30000</v>
      </c>
      <c r="O1335" s="53">
        <f t="shared" si="41"/>
        <v>30000</v>
      </c>
    </row>
    <row r="1336" spans="1:15" x14ac:dyDescent="0.2">
      <c r="A1336" s="51" t="s">
        <v>3567</v>
      </c>
      <c r="B1336" s="51" t="s">
        <v>3568</v>
      </c>
      <c r="C1336" s="51" t="s">
        <v>92</v>
      </c>
      <c r="D1336" s="51" t="s">
        <v>1665</v>
      </c>
      <c r="E1336" s="51" t="s">
        <v>1664</v>
      </c>
      <c r="F1336" s="52">
        <v>843.11190942947815</v>
      </c>
      <c r="G1336" s="52">
        <v>500</v>
      </c>
      <c r="H1336" s="52">
        <v>0</v>
      </c>
      <c r="I1336" s="52">
        <v>500</v>
      </c>
      <c r="J1336" s="51">
        <v>0</v>
      </c>
      <c r="K1336" s="54">
        <v>0</v>
      </c>
      <c r="L1336" s="51">
        <v>0</v>
      </c>
      <c r="M1336" s="54">
        <v>0</v>
      </c>
      <c r="N1336" s="53">
        <f t="shared" si="40"/>
        <v>0</v>
      </c>
      <c r="O1336" s="53">
        <f t="shared" si="41"/>
        <v>0</v>
      </c>
    </row>
    <row r="1337" spans="1:15" x14ac:dyDescent="0.2">
      <c r="A1337" s="51" t="s">
        <v>3567</v>
      </c>
      <c r="B1337" s="51" t="s">
        <v>3568</v>
      </c>
      <c r="C1337" s="51" t="s">
        <v>3756</v>
      </c>
      <c r="D1337" s="51" t="s">
        <v>4343</v>
      </c>
      <c r="E1337" s="51" t="s">
        <v>4344</v>
      </c>
      <c r="F1337" s="52">
        <v>8.6846220343997977</v>
      </c>
      <c r="G1337" s="52">
        <v>0</v>
      </c>
      <c r="H1337" s="52">
        <v>0</v>
      </c>
      <c r="I1337" s="52">
        <v>0</v>
      </c>
      <c r="J1337" s="51">
        <v>0</v>
      </c>
      <c r="K1337" s="54">
        <v>0</v>
      </c>
      <c r="L1337" s="51">
        <v>0</v>
      </c>
      <c r="M1337" s="54">
        <v>0</v>
      </c>
      <c r="N1337" s="53">
        <f t="shared" si="40"/>
        <v>0</v>
      </c>
      <c r="O1337" s="53">
        <f t="shared" si="41"/>
        <v>0</v>
      </c>
    </row>
    <row r="1338" spans="1:15" x14ac:dyDescent="0.2">
      <c r="A1338" s="51" t="s">
        <v>3567</v>
      </c>
      <c r="B1338" s="51" t="s">
        <v>3568</v>
      </c>
      <c r="C1338" s="51" t="s">
        <v>3876</v>
      </c>
      <c r="D1338" s="51" t="s">
        <v>4264</v>
      </c>
      <c r="E1338" s="51" t="s">
        <v>4265</v>
      </c>
      <c r="F1338" s="52">
        <v>27.770089353500001</v>
      </c>
      <c r="G1338" s="52">
        <v>0</v>
      </c>
      <c r="H1338" s="52">
        <v>0</v>
      </c>
      <c r="I1338" s="52">
        <v>0</v>
      </c>
      <c r="J1338" s="51">
        <v>0</v>
      </c>
      <c r="K1338" s="54">
        <v>0</v>
      </c>
      <c r="L1338" s="51">
        <v>0</v>
      </c>
      <c r="M1338" s="54">
        <v>0</v>
      </c>
      <c r="N1338" s="53">
        <f t="shared" si="40"/>
        <v>0</v>
      </c>
      <c r="O1338" s="53">
        <f t="shared" si="41"/>
        <v>0</v>
      </c>
    </row>
    <row r="1339" spans="1:15" x14ac:dyDescent="0.2">
      <c r="A1339" s="51" t="s">
        <v>3567</v>
      </c>
      <c r="B1339" s="51" t="s">
        <v>3568</v>
      </c>
      <c r="C1339" s="51" t="s">
        <v>70</v>
      </c>
      <c r="D1339" s="51" t="s">
        <v>514</v>
      </c>
      <c r="E1339" s="51" t="s">
        <v>513</v>
      </c>
      <c r="F1339" s="52">
        <v>1774.8923</v>
      </c>
      <c r="G1339" s="52">
        <v>800</v>
      </c>
      <c r="H1339" s="52">
        <v>6890</v>
      </c>
      <c r="I1339" s="52">
        <v>7690</v>
      </c>
      <c r="J1339" s="51">
        <v>0</v>
      </c>
      <c r="K1339" s="54">
        <v>0</v>
      </c>
      <c r="L1339" s="51">
        <v>1</v>
      </c>
      <c r="M1339" s="54">
        <v>20000</v>
      </c>
      <c r="N1339" s="53">
        <f t="shared" si="40"/>
        <v>-20000</v>
      </c>
      <c r="O1339" s="53">
        <f t="shared" si="41"/>
        <v>20000</v>
      </c>
    </row>
    <row r="1340" spans="1:15" x14ac:dyDescent="0.2">
      <c r="A1340" s="51" t="s">
        <v>3567</v>
      </c>
      <c r="B1340" s="51" t="s">
        <v>3568</v>
      </c>
      <c r="C1340" s="51" t="s">
        <v>83</v>
      </c>
      <c r="D1340" s="51" t="s">
        <v>4348</v>
      </c>
      <c r="E1340" s="51" t="s">
        <v>4349</v>
      </c>
      <c r="F1340" s="52">
        <v>42.955399999999997</v>
      </c>
      <c r="G1340" s="52">
        <v>0</v>
      </c>
      <c r="H1340" s="52">
        <v>0</v>
      </c>
      <c r="I1340" s="52">
        <v>0</v>
      </c>
      <c r="J1340" s="51">
        <v>0</v>
      </c>
      <c r="K1340" s="54">
        <v>0</v>
      </c>
      <c r="L1340" s="51">
        <v>0</v>
      </c>
      <c r="M1340" s="54">
        <v>0</v>
      </c>
      <c r="N1340" s="53">
        <f t="shared" si="40"/>
        <v>0</v>
      </c>
      <c r="O1340" s="53">
        <f t="shared" si="41"/>
        <v>0</v>
      </c>
    </row>
    <row r="1341" spans="1:15" x14ac:dyDescent="0.2">
      <c r="A1341" s="51" t="s">
        <v>3567</v>
      </c>
      <c r="B1341" s="51" t="s">
        <v>3568</v>
      </c>
      <c r="C1341" s="51" t="s">
        <v>53</v>
      </c>
      <c r="D1341" s="51" t="s">
        <v>4294</v>
      </c>
      <c r="E1341" s="51" t="s">
        <v>4295</v>
      </c>
      <c r="F1341" s="52">
        <v>3.7349000000000001</v>
      </c>
      <c r="G1341" s="52">
        <v>0</v>
      </c>
      <c r="H1341" s="52">
        <v>0</v>
      </c>
      <c r="I1341" s="52">
        <v>0</v>
      </c>
      <c r="J1341" s="51">
        <v>0</v>
      </c>
      <c r="K1341" s="54">
        <v>0</v>
      </c>
      <c r="L1341" s="51">
        <v>0</v>
      </c>
      <c r="M1341" s="54">
        <v>0</v>
      </c>
      <c r="N1341" s="53">
        <f t="shared" si="40"/>
        <v>0</v>
      </c>
      <c r="O1341" s="53">
        <f t="shared" si="41"/>
        <v>0</v>
      </c>
    </row>
    <row r="1342" spans="1:15" x14ac:dyDescent="0.2">
      <c r="A1342" s="51" t="s">
        <v>3567</v>
      </c>
      <c r="B1342" s="51" t="s">
        <v>3568</v>
      </c>
      <c r="C1342" s="51" t="s">
        <v>81</v>
      </c>
      <c r="D1342" s="51" t="s">
        <v>2306</v>
      </c>
      <c r="E1342" s="51" t="s">
        <v>2305</v>
      </c>
      <c r="F1342" s="52">
        <v>1807.6421969999999</v>
      </c>
      <c r="G1342" s="52">
        <v>750</v>
      </c>
      <c r="H1342" s="52">
        <v>1080</v>
      </c>
      <c r="I1342" s="52">
        <v>1830</v>
      </c>
      <c r="J1342" s="51">
        <v>0</v>
      </c>
      <c r="K1342" s="54">
        <v>0</v>
      </c>
      <c r="L1342" s="51">
        <v>1</v>
      </c>
      <c r="M1342" s="54">
        <v>6000</v>
      </c>
      <c r="N1342" s="53">
        <f t="shared" si="40"/>
        <v>-6000</v>
      </c>
      <c r="O1342" s="53">
        <f t="shared" si="41"/>
        <v>6000</v>
      </c>
    </row>
    <row r="1343" spans="1:15" x14ac:dyDescent="0.2">
      <c r="A1343" s="51" t="s">
        <v>3567</v>
      </c>
      <c r="B1343" s="51" t="s">
        <v>3568</v>
      </c>
      <c r="C1343" s="51" t="s">
        <v>66</v>
      </c>
      <c r="D1343" s="51" t="s">
        <v>4288</v>
      </c>
      <c r="E1343" s="51" t="s">
        <v>4289</v>
      </c>
      <c r="F1343" s="52">
        <v>35.548114357944797</v>
      </c>
      <c r="G1343" s="52">
        <v>0</v>
      </c>
      <c r="H1343" s="52">
        <v>0</v>
      </c>
      <c r="I1343" s="52">
        <v>0</v>
      </c>
      <c r="J1343" s="51">
        <v>0</v>
      </c>
      <c r="K1343" s="54">
        <v>0</v>
      </c>
      <c r="L1343" s="51">
        <v>0</v>
      </c>
      <c r="M1343" s="54">
        <v>0</v>
      </c>
      <c r="N1343" s="53">
        <f t="shared" si="40"/>
        <v>0</v>
      </c>
      <c r="O1343" s="53">
        <f t="shared" si="41"/>
        <v>0</v>
      </c>
    </row>
    <row r="1344" spans="1:15" x14ac:dyDescent="0.2">
      <c r="A1344" s="51" t="s">
        <v>3567</v>
      </c>
      <c r="B1344" s="51" t="s">
        <v>3568</v>
      </c>
      <c r="C1344" s="51" t="s">
        <v>93</v>
      </c>
      <c r="D1344" s="51" t="s">
        <v>2509</v>
      </c>
      <c r="E1344" s="51" t="s">
        <v>2508</v>
      </c>
      <c r="F1344" s="52">
        <v>4451.0902779999997</v>
      </c>
      <c r="G1344" s="52">
        <v>7620</v>
      </c>
      <c r="H1344" s="52">
        <v>2945</v>
      </c>
      <c r="I1344" s="52">
        <v>10565</v>
      </c>
      <c r="J1344" s="51">
        <v>0</v>
      </c>
      <c r="K1344" s="54">
        <v>0</v>
      </c>
      <c r="L1344" s="51">
        <v>1</v>
      </c>
      <c r="M1344" s="54">
        <v>20000</v>
      </c>
      <c r="N1344" s="53">
        <f t="shared" si="40"/>
        <v>-20000</v>
      </c>
      <c r="O1344" s="53">
        <f t="shared" si="41"/>
        <v>20000</v>
      </c>
    </row>
    <row r="1345" spans="1:15" x14ac:dyDescent="0.2">
      <c r="A1345" s="51" t="s">
        <v>3567</v>
      </c>
      <c r="B1345" s="51" t="s">
        <v>3568</v>
      </c>
      <c r="C1345" s="51" t="s">
        <v>54</v>
      </c>
      <c r="D1345" s="51" t="s">
        <v>126</v>
      </c>
      <c r="E1345" s="51" t="s">
        <v>125</v>
      </c>
      <c r="F1345" s="52">
        <v>8908.3804223855077</v>
      </c>
      <c r="G1345" s="52">
        <v>1220</v>
      </c>
      <c r="H1345" s="52">
        <v>6550</v>
      </c>
      <c r="I1345" s="52">
        <v>7770</v>
      </c>
      <c r="J1345" s="51">
        <v>0</v>
      </c>
      <c r="K1345" s="54">
        <v>0</v>
      </c>
      <c r="L1345" s="51">
        <v>1</v>
      </c>
      <c r="M1345" s="54">
        <v>11000</v>
      </c>
      <c r="N1345" s="53">
        <f t="shared" si="40"/>
        <v>-11000</v>
      </c>
      <c r="O1345" s="53">
        <f t="shared" si="41"/>
        <v>11000</v>
      </c>
    </row>
    <row r="1346" spans="1:15" x14ac:dyDescent="0.2">
      <c r="A1346" s="51" t="s">
        <v>3567</v>
      </c>
      <c r="B1346" s="51" t="s">
        <v>3568</v>
      </c>
      <c r="C1346" s="51" t="s">
        <v>59</v>
      </c>
      <c r="D1346" s="51" t="s">
        <v>1374</v>
      </c>
      <c r="E1346" s="51" t="s">
        <v>1373</v>
      </c>
      <c r="F1346" s="52">
        <v>3133.988085</v>
      </c>
      <c r="G1346" s="52">
        <v>24033</v>
      </c>
      <c r="H1346" s="52">
        <v>41000</v>
      </c>
      <c r="I1346" s="52">
        <v>65033</v>
      </c>
      <c r="J1346" s="51">
        <v>0</v>
      </c>
      <c r="K1346" s="54">
        <v>0</v>
      </c>
      <c r="L1346" s="51">
        <v>2</v>
      </c>
      <c r="M1346" s="54">
        <v>20000</v>
      </c>
      <c r="N1346" s="53">
        <f t="shared" si="40"/>
        <v>-20000</v>
      </c>
      <c r="O1346" s="53">
        <f t="shared" si="41"/>
        <v>20000</v>
      </c>
    </row>
    <row r="1347" spans="1:15" x14ac:dyDescent="0.2">
      <c r="A1347" s="51" t="s">
        <v>3567</v>
      </c>
      <c r="B1347" s="51" t="s">
        <v>3568</v>
      </c>
      <c r="C1347" s="51" t="s">
        <v>79</v>
      </c>
      <c r="D1347" s="51" t="s">
        <v>1830</v>
      </c>
      <c r="E1347" s="51" t="s">
        <v>1829</v>
      </c>
      <c r="F1347" s="52">
        <v>9517.5740251540046</v>
      </c>
      <c r="G1347" s="52">
        <v>41580</v>
      </c>
      <c r="H1347" s="52">
        <v>36110</v>
      </c>
      <c r="I1347" s="52">
        <v>77690</v>
      </c>
      <c r="J1347" s="51">
        <v>0</v>
      </c>
      <c r="K1347" s="54">
        <v>0</v>
      </c>
      <c r="L1347" s="51">
        <v>1</v>
      </c>
      <c r="M1347" s="54">
        <v>5000</v>
      </c>
      <c r="N1347" s="53">
        <f t="shared" ref="N1347:N1410" si="42">K1347-M1347</f>
        <v>-5000</v>
      </c>
      <c r="O1347" s="53">
        <f t="shared" ref="O1347:O1410" si="43">M1347-K1347</f>
        <v>5000</v>
      </c>
    </row>
    <row r="1348" spans="1:15" x14ac:dyDescent="0.2">
      <c r="A1348" s="51" t="s">
        <v>3567</v>
      </c>
      <c r="B1348" s="51" t="s">
        <v>3568</v>
      </c>
      <c r="C1348" s="51" t="s">
        <v>64</v>
      </c>
      <c r="D1348" s="51" t="s">
        <v>2733</v>
      </c>
      <c r="E1348" s="51" t="s">
        <v>2732</v>
      </c>
      <c r="F1348" s="52">
        <v>1493.236821314164</v>
      </c>
      <c r="G1348" s="52">
        <v>15500</v>
      </c>
      <c r="H1348" s="52">
        <v>12200</v>
      </c>
      <c r="I1348" s="52">
        <v>27700</v>
      </c>
      <c r="J1348" s="51">
        <v>1</v>
      </c>
      <c r="K1348" s="54">
        <v>6000</v>
      </c>
      <c r="L1348" s="51">
        <v>0</v>
      </c>
      <c r="M1348" s="54">
        <v>0</v>
      </c>
      <c r="N1348" s="53">
        <f t="shared" si="42"/>
        <v>6000</v>
      </c>
      <c r="O1348" s="53">
        <f t="shared" si="43"/>
        <v>-6000</v>
      </c>
    </row>
    <row r="1349" spans="1:15" x14ac:dyDescent="0.2">
      <c r="A1349" s="51" t="s">
        <v>3567</v>
      </c>
      <c r="B1349" s="51" t="s">
        <v>3568</v>
      </c>
      <c r="C1349" s="51" t="s">
        <v>52</v>
      </c>
      <c r="D1349" s="51" t="s">
        <v>1455</v>
      </c>
      <c r="E1349" s="51" t="s">
        <v>1454</v>
      </c>
      <c r="F1349" s="52">
        <v>606.95414298490653</v>
      </c>
      <c r="G1349" s="52">
        <v>0</v>
      </c>
      <c r="H1349" s="52">
        <v>0</v>
      </c>
      <c r="I1349" s="52">
        <v>0</v>
      </c>
      <c r="J1349" s="51">
        <v>0</v>
      </c>
      <c r="K1349" s="54">
        <v>0</v>
      </c>
      <c r="L1349" s="51">
        <v>1</v>
      </c>
      <c r="M1349" s="54">
        <v>5000</v>
      </c>
      <c r="N1349" s="53">
        <f t="shared" si="42"/>
        <v>-5000</v>
      </c>
      <c r="O1349" s="53">
        <f t="shared" si="43"/>
        <v>5000</v>
      </c>
    </row>
    <row r="1350" spans="1:15" x14ac:dyDescent="0.2">
      <c r="A1350" s="51" t="s">
        <v>3567</v>
      </c>
      <c r="B1350" s="51" t="s">
        <v>3568</v>
      </c>
      <c r="C1350" s="51" t="s">
        <v>84</v>
      </c>
      <c r="D1350" s="51" t="s">
        <v>4317</v>
      </c>
      <c r="E1350" s="51" t="s">
        <v>4318</v>
      </c>
      <c r="F1350" s="52">
        <v>0.58069997880000002</v>
      </c>
      <c r="G1350" s="52">
        <v>0</v>
      </c>
      <c r="H1350" s="52">
        <v>0</v>
      </c>
      <c r="I1350" s="52">
        <v>0</v>
      </c>
      <c r="J1350" s="51">
        <v>0</v>
      </c>
      <c r="K1350" s="54">
        <v>0</v>
      </c>
      <c r="L1350" s="51">
        <v>0</v>
      </c>
      <c r="M1350" s="54">
        <v>0</v>
      </c>
      <c r="N1350" s="53">
        <f t="shared" si="42"/>
        <v>0</v>
      </c>
      <c r="O1350" s="53">
        <f t="shared" si="43"/>
        <v>0</v>
      </c>
    </row>
    <row r="1351" spans="1:15" x14ac:dyDescent="0.2">
      <c r="A1351" s="51" t="s">
        <v>3567</v>
      </c>
      <c r="B1351" s="51" t="s">
        <v>3568</v>
      </c>
      <c r="C1351" s="51" t="s">
        <v>75</v>
      </c>
      <c r="D1351" s="51" t="s">
        <v>1217</v>
      </c>
      <c r="E1351" s="51" t="s">
        <v>959</v>
      </c>
      <c r="F1351" s="52">
        <v>2992.668988660937</v>
      </c>
      <c r="G1351" s="52">
        <v>31200</v>
      </c>
      <c r="H1351" s="52">
        <v>18700</v>
      </c>
      <c r="I1351" s="52">
        <v>49900</v>
      </c>
      <c r="J1351" s="51">
        <v>2</v>
      </c>
      <c r="K1351" s="54">
        <v>30000</v>
      </c>
      <c r="L1351" s="51">
        <v>0</v>
      </c>
      <c r="M1351" s="54">
        <v>0</v>
      </c>
      <c r="N1351" s="53">
        <f t="shared" si="42"/>
        <v>30000</v>
      </c>
      <c r="O1351" s="53">
        <f t="shared" si="43"/>
        <v>-30000</v>
      </c>
    </row>
    <row r="1352" spans="1:15" x14ac:dyDescent="0.2">
      <c r="A1352" s="51" t="s">
        <v>3567</v>
      </c>
      <c r="B1352" s="51" t="s">
        <v>3568</v>
      </c>
      <c r="C1352" s="51" t="s">
        <v>58</v>
      </c>
      <c r="D1352" s="51" t="s">
        <v>3001</v>
      </c>
      <c r="E1352" s="51" t="s">
        <v>3000</v>
      </c>
      <c r="F1352" s="52">
        <v>25795.93928191757</v>
      </c>
      <c r="G1352" s="52">
        <v>800</v>
      </c>
      <c r="H1352" s="52">
        <v>0</v>
      </c>
      <c r="I1352" s="52">
        <v>800</v>
      </c>
      <c r="J1352" s="51">
        <v>1</v>
      </c>
      <c r="K1352" s="54">
        <v>5000</v>
      </c>
      <c r="L1352" s="51">
        <v>0</v>
      </c>
      <c r="M1352" s="54">
        <v>0</v>
      </c>
      <c r="N1352" s="53">
        <f t="shared" si="42"/>
        <v>5000</v>
      </c>
      <c r="O1352" s="53">
        <f t="shared" si="43"/>
        <v>-5000</v>
      </c>
    </row>
    <row r="1353" spans="1:15" x14ac:dyDescent="0.2">
      <c r="A1353" s="51" t="s">
        <v>3567</v>
      </c>
      <c r="B1353" s="51" t="s">
        <v>3568</v>
      </c>
      <c r="C1353" s="51" t="s">
        <v>60</v>
      </c>
      <c r="D1353" s="51" t="s">
        <v>402</v>
      </c>
      <c r="E1353" s="51" t="s">
        <v>401</v>
      </c>
      <c r="F1353" s="52">
        <v>120800.1716406409</v>
      </c>
      <c r="G1353" s="52">
        <v>101210</v>
      </c>
      <c r="H1353" s="52">
        <v>68390</v>
      </c>
      <c r="I1353" s="52">
        <v>169600</v>
      </c>
      <c r="J1353" s="51">
        <v>2</v>
      </c>
      <c r="K1353" s="54">
        <v>20000</v>
      </c>
      <c r="L1353" s="51">
        <v>0</v>
      </c>
      <c r="M1353" s="54">
        <v>0</v>
      </c>
      <c r="N1353" s="53">
        <f t="shared" si="42"/>
        <v>20000</v>
      </c>
      <c r="O1353" s="53">
        <f t="shared" si="43"/>
        <v>-20000</v>
      </c>
    </row>
    <row r="1354" spans="1:15" x14ac:dyDescent="0.2">
      <c r="A1354" s="51" t="s">
        <v>3567</v>
      </c>
      <c r="B1354" s="51" t="s">
        <v>3568</v>
      </c>
      <c r="C1354" s="51" t="s">
        <v>63</v>
      </c>
      <c r="D1354" s="51" t="s">
        <v>3286</v>
      </c>
      <c r="E1354" s="51" t="s">
        <v>3285</v>
      </c>
      <c r="F1354" s="52">
        <v>44958.499102500697</v>
      </c>
      <c r="G1354" s="52">
        <v>22400</v>
      </c>
      <c r="H1354" s="52">
        <v>19570</v>
      </c>
      <c r="I1354" s="52">
        <v>41970</v>
      </c>
      <c r="J1354" s="51">
        <v>2</v>
      </c>
      <c r="K1354" s="54">
        <v>40000</v>
      </c>
      <c r="L1354" s="51">
        <v>0</v>
      </c>
      <c r="M1354" s="54">
        <v>0</v>
      </c>
      <c r="N1354" s="53">
        <f t="shared" si="42"/>
        <v>40000</v>
      </c>
      <c r="O1354" s="53">
        <f t="shared" si="43"/>
        <v>-40000</v>
      </c>
    </row>
    <row r="1355" spans="1:15" x14ac:dyDescent="0.2">
      <c r="A1355" s="51" t="s">
        <v>3567</v>
      </c>
      <c r="B1355" s="51" t="s">
        <v>3568</v>
      </c>
      <c r="C1355" s="51" t="s">
        <v>82</v>
      </c>
      <c r="D1355" s="51" t="s">
        <v>3088</v>
      </c>
      <c r="E1355" s="51" t="s">
        <v>3087</v>
      </c>
      <c r="F1355" s="52">
        <v>2256.216875293534</v>
      </c>
      <c r="G1355" s="52">
        <v>3040</v>
      </c>
      <c r="H1355" s="52">
        <v>26550</v>
      </c>
      <c r="I1355" s="52">
        <v>29590</v>
      </c>
      <c r="J1355" s="51">
        <v>0</v>
      </c>
      <c r="K1355" s="54">
        <v>0</v>
      </c>
      <c r="L1355" s="51">
        <v>1</v>
      </c>
      <c r="M1355" s="54">
        <v>31500</v>
      </c>
      <c r="N1355" s="53">
        <f t="shared" si="42"/>
        <v>-31500</v>
      </c>
      <c r="O1355" s="53">
        <f t="shared" si="43"/>
        <v>31500</v>
      </c>
    </row>
    <row r="1356" spans="1:15" x14ac:dyDescent="0.2">
      <c r="A1356" s="51" t="s">
        <v>3567</v>
      </c>
      <c r="B1356" s="51" t="s">
        <v>3568</v>
      </c>
      <c r="C1356" s="51" t="s">
        <v>82</v>
      </c>
      <c r="D1356" s="51" t="s">
        <v>3100</v>
      </c>
      <c r="E1356" s="51" t="s">
        <v>3099</v>
      </c>
      <c r="F1356" s="52">
        <v>4865.1828188279014</v>
      </c>
      <c r="G1356" s="52">
        <v>11500</v>
      </c>
      <c r="H1356" s="52">
        <v>0</v>
      </c>
      <c r="I1356" s="52">
        <v>11500</v>
      </c>
      <c r="J1356" s="51">
        <v>1</v>
      </c>
      <c r="K1356" s="54">
        <v>10000</v>
      </c>
      <c r="L1356" s="51">
        <v>0</v>
      </c>
      <c r="M1356" s="54">
        <v>0</v>
      </c>
      <c r="N1356" s="53">
        <f t="shared" si="42"/>
        <v>10000</v>
      </c>
      <c r="O1356" s="53">
        <f t="shared" si="43"/>
        <v>-10000</v>
      </c>
    </row>
    <row r="1357" spans="1:15" x14ac:dyDescent="0.2">
      <c r="A1357" s="51" t="s">
        <v>3567</v>
      </c>
      <c r="B1357" s="51" t="s">
        <v>3568</v>
      </c>
      <c r="C1357" s="51" t="s">
        <v>62</v>
      </c>
      <c r="D1357" s="51" t="s">
        <v>1096</v>
      </c>
      <c r="E1357" s="51" t="s">
        <v>1095</v>
      </c>
      <c r="F1357" s="52">
        <v>65.080314922193324</v>
      </c>
      <c r="G1357" s="52">
        <v>0</v>
      </c>
      <c r="H1357" s="52">
        <v>6500</v>
      </c>
      <c r="I1357" s="52">
        <v>6500</v>
      </c>
      <c r="J1357" s="51">
        <v>0</v>
      </c>
      <c r="K1357" s="54">
        <v>0</v>
      </c>
      <c r="L1357" s="51">
        <v>1</v>
      </c>
      <c r="M1357" s="54">
        <v>60000</v>
      </c>
      <c r="N1357" s="53">
        <f t="shared" si="42"/>
        <v>-60000</v>
      </c>
      <c r="O1357" s="53">
        <f t="shared" si="43"/>
        <v>60000</v>
      </c>
    </row>
    <row r="1358" spans="1:15" x14ac:dyDescent="0.2">
      <c r="A1358" s="51" t="s">
        <v>3567</v>
      </c>
      <c r="B1358" s="51" t="s">
        <v>3568</v>
      </c>
      <c r="C1358" s="51" t="s">
        <v>84</v>
      </c>
      <c r="D1358" s="51" t="s">
        <v>1846</v>
      </c>
      <c r="E1358" s="51" t="s">
        <v>1845</v>
      </c>
      <c r="F1358" s="52">
        <v>7423.3048440629154</v>
      </c>
      <c r="G1358" s="52">
        <v>300</v>
      </c>
      <c r="H1358" s="52">
        <v>2700</v>
      </c>
      <c r="I1358" s="52">
        <v>3000</v>
      </c>
      <c r="J1358" s="51">
        <v>1</v>
      </c>
      <c r="K1358" s="54">
        <v>5000</v>
      </c>
      <c r="L1358" s="51">
        <v>0</v>
      </c>
      <c r="M1358" s="54">
        <v>0</v>
      </c>
      <c r="N1358" s="53">
        <f t="shared" si="42"/>
        <v>5000</v>
      </c>
      <c r="O1358" s="53">
        <f t="shared" si="43"/>
        <v>-5000</v>
      </c>
    </row>
    <row r="1359" spans="1:15" x14ac:dyDescent="0.2">
      <c r="A1359" s="51" t="s">
        <v>3567</v>
      </c>
      <c r="B1359" s="51" t="s">
        <v>3568</v>
      </c>
      <c r="C1359" s="51" t="s">
        <v>3707</v>
      </c>
      <c r="D1359" s="51" t="s">
        <v>4315</v>
      </c>
      <c r="E1359" s="51" t="s">
        <v>4316</v>
      </c>
      <c r="F1359" s="52">
        <v>223.00048501044</v>
      </c>
      <c r="G1359" s="52">
        <v>0</v>
      </c>
      <c r="H1359" s="52">
        <v>0</v>
      </c>
      <c r="I1359" s="52">
        <v>0</v>
      </c>
      <c r="J1359" s="51">
        <v>0</v>
      </c>
      <c r="K1359" s="54">
        <v>0</v>
      </c>
      <c r="L1359" s="51">
        <v>0</v>
      </c>
      <c r="M1359" s="54">
        <v>0</v>
      </c>
      <c r="N1359" s="53">
        <f t="shared" si="42"/>
        <v>0</v>
      </c>
      <c r="O1359" s="53">
        <f t="shared" si="43"/>
        <v>0</v>
      </c>
    </row>
    <row r="1360" spans="1:15" x14ac:dyDescent="0.2">
      <c r="A1360" s="51" t="s">
        <v>3567</v>
      </c>
      <c r="B1360" s="51" t="s">
        <v>3568</v>
      </c>
      <c r="C1360" s="51" t="s">
        <v>3674</v>
      </c>
      <c r="D1360" s="51" t="s">
        <v>4280</v>
      </c>
      <c r="E1360" s="51" t="s">
        <v>4281</v>
      </c>
      <c r="F1360" s="52">
        <v>1.829744165507923</v>
      </c>
      <c r="G1360" s="52">
        <v>0</v>
      </c>
      <c r="H1360" s="52">
        <v>0</v>
      </c>
      <c r="I1360" s="52">
        <v>0</v>
      </c>
      <c r="J1360" s="51">
        <v>0</v>
      </c>
      <c r="K1360" s="54">
        <v>0</v>
      </c>
      <c r="L1360" s="51">
        <v>0</v>
      </c>
      <c r="M1360" s="54">
        <v>0</v>
      </c>
      <c r="N1360" s="53">
        <f t="shared" si="42"/>
        <v>0</v>
      </c>
      <c r="O1360" s="53">
        <f t="shared" si="43"/>
        <v>0</v>
      </c>
    </row>
    <row r="1361" spans="1:15" x14ac:dyDescent="0.2">
      <c r="A1361" s="51" t="s">
        <v>3567</v>
      </c>
      <c r="B1361" s="51" t="s">
        <v>3568</v>
      </c>
      <c r="C1361" s="51" t="s">
        <v>3876</v>
      </c>
      <c r="D1361" s="51" t="s">
        <v>4282</v>
      </c>
      <c r="E1361" s="51" t="s">
        <v>4283</v>
      </c>
      <c r="F1361" s="52">
        <v>1.758887851188875</v>
      </c>
      <c r="G1361" s="52">
        <v>0</v>
      </c>
      <c r="H1361" s="52">
        <v>0</v>
      </c>
      <c r="I1361" s="52">
        <v>0</v>
      </c>
      <c r="J1361" s="51">
        <v>0</v>
      </c>
      <c r="K1361" s="54">
        <v>0</v>
      </c>
      <c r="L1361" s="51">
        <v>0</v>
      </c>
      <c r="M1361" s="54">
        <v>0</v>
      </c>
      <c r="N1361" s="53">
        <f t="shared" si="42"/>
        <v>0</v>
      </c>
      <c r="O1361" s="53">
        <f t="shared" si="43"/>
        <v>0</v>
      </c>
    </row>
    <row r="1362" spans="1:15" x14ac:dyDescent="0.2">
      <c r="A1362" s="51" t="s">
        <v>3567</v>
      </c>
      <c r="B1362" s="51" t="s">
        <v>3568</v>
      </c>
      <c r="C1362" s="51" t="s">
        <v>55</v>
      </c>
      <c r="D1362" s="51" t="s">
        <v>1975</v>
      </c>
      <c r="E1362" s="51" t="s">
        <v>1974</v>
      </c>
      <c r="F1362" s="52">
        <v>11673.577000216999</v>
      </c>
      <c r="G1362" s="52">
        <v>1370</v>
      </c>
      <c r="H1362" s="52">
        <v>1300</v>
      </c>
      <c r="I1362" s="52">
        <v>2670</v>
      </c>
      <c r="J1362" s="51">
        <v>1</v>
      </c>
      <c r="K1362" s="54">
        <v>5000</v>
      </c>
      <c r="L1362" s="51">
        <v>0</v>
      </c>
      <c r="M1362" s="54">
        <v>0</v>
      </c>
      <c r="N1362" s="53">
        <f t="shared" si="42"/>
        <v>5000</v>
      </c>
      <c r="O1362" s="53">
        <f t="shared" si="43"/>
        <v>-5000</v>
      </c>
    </row>
    <row r="1363" spans="1:15" x14ac:dyDescent="0.2">
      <c r="A1363" s="51" t="s">
        <v>3567</v>
      </c>
      <c r="B1363" s="51" t="s">
        <v>3568</v>
      </c>
      <c r="C1363" s="51" t="s">
        <v>3633</v>
      </c>
      <c r="D1363" s="51" t="s">
        <v>4311</v>
      </c>
      <c r="E1363" s="51" t="s">
        <v>4312</v>
      </c>
      <c r="F1363" s="52">
        <v>25.84426791858079</v>
      </c>
      <c r="G1363" s="52">
        <v>0</v>
      </c>
      <c r="H1363" s="52">
        <v>0</v>
      </c>
      <c r="I1363" s="52">
        <v>0</v>
      </c>
      <c r="J1363" s="51">
        <v>0</v>
      </c>
      <c r="K1363" s="54">
        <v>0</v>
      </c>
      <c r="L1363" s="51">
        <v>0</v>
      </c>
      <c r="M1363" s="54">
        <v>0</v>
      </c>
      <c r="N1363" s="53">
        <f t="shared" si="42"/>
        <v>0</v>
      </c>
      <c r="O1363" s="53">
        <f t="shared" si="43"/>
        <v>0</v>
      </c>
    </row>
    <row r="1364" spans="1:15" x14ac:dyDescent="0.2">
      <c r="A1364" s="51" t="s">
        <v>3567</v>
      </c>
      <c r="B1364" s="51" t="s">
        <v>3568</v>
      </c>
      <c r="C1364" s="51" t="s">
        <v>67</v>
      </c>
      <c r="D1364" s="51" t="s">
        <v>1896</v>
      </c>
      <c r="E1364" s="51" t="s">
        <v>1895</v>
      </c>
      <c r="F1364" s="52">
        <v>31380.995804799059</v>
      </c>
      <c r="G1364" s="52">
        <v>0</v>
      </c>
      <c r="H1364" s="52">
        <v>19510</v>
      </c>
      <c r="I1364" s="52">
        <v>19510</v>
      </c>
      <c r="J1364" s="51">
        <v>0</v>
      </c>
      <c r="K1364" s="54">
        <v>0</v>
      </c>
      <c r="L1364" s="51">
        <v>2</v>
      </c>
      <c r="M1364" s="54">
        <v>50000</v>
      </c>
      <c r="N1364" s="53">
        <f t="shared" si="42"/>
        <v>-50000</v>
      </c>
      <c r="O1364" s="53">
        <f t="shared" si="43"/>
        <v>50000</v>
      </c>
    </row>
    <row r="1365" spans="1:15" x14ac:dyDescent="0.2">
      <c r="A1365" s="51" t="s">
        <v>3567</v>
      </c>
      <c r="B1365" s="51" t="s">
        <v>3568</v>
      </c>
      <c r="C1365" s="51" t="s">
        <v>76</v>
      </c>
      <c r="D1365" s="51" t="s">
        <v>1378</v>
      </c>
      <c r="E1365" s="51" t="s">
        <v>1377</v>
      </c>
      <c r="F1365" s="52">
        <v>33716.457999999999</v>
      </c>
      <c r="G1365" s="52">
        <v>3200</v>
      </c>
      <c r="H1365" s="52">
        <v>7806</v>
      </c>
      <c r="I1365" s="52">
        <v>11006</v>
      </c>
      <c r="J1365" s="51">
        <v>1</v>
      </c>
      <c r="K1365" s="54">
        <v>5000</v>
      </c>
      <c r="L1365" s="51">
        <v>1</v>
      </c>
      <c r="M1365" s="54">
        <v>12000</v>
      </c>
      <c r="N1365" s="53">
        <f t="shared" si="42"/>
        <v>-7000</v>
      </c>
      <c r="O1365" s="53">
        <f t="shared" si="43"/>
        <v>7000</v>
      </c>
    </row>
    <row r="1366" spans="1:15" x14ac:dyDescent="0.2">
      <c r="A1366" s="51" t="s">
        <v>3567</v>
      </c>
      <c r="B1366" s="51" t="s">
        <v>3568</v>
      </c>
      <c r="C1366" s="51" t="s">
        <v>54</v>
      </c>
      <c r="D1366" s="51" t="s">
        <v>1799</v>
      </c>
      <c r="E1366" s="51" t="s">
        <v>1798</v>
      </c>
      <c r="F1366" s="52">
        <v>6065.4669999999996</v>
      </c>
      <c r="G1366" s="52">
        <v>1500</v>
      </c>
      <c r="H1366" s="52">
        <v>5400</v>
      </c>
      <c r="I1366" s="52">
        <v>6900</v>
      </c>
      <c r="J1366" s="51">
        <v>0</v>
      </c>
      <c r="K1366" s="54">
        <v>0</v>
      </c>
      <c r="L1366" s="51">
        <v>1</v>
      </c>
      <c r="M1366" s="54">
        <v>10000</v>
      </c>
      <c r="N1366" s="53">
        <f t="shared" si="42"/>
        <v>-10000</v>
      </c>
      <c r="O1366" s="53">
        <f t="shared" si="43"/>
        <v>10000</v>
      </c>
    </row>
    <row r="1367" spans="1:15" x14ac:dyDescent="0.2">
      <c r="A1367" s="51" t="s">
        <v>3567</v>
      </c>
      <c r="B1367" s="51" t="s">
        <v>3568</v>
      </c>
      <c r="C1367" s="51" t="s">
        <v>52</v>
      </c>
      <c r="D1367" s="51" t="s">
        <v>4243</v>
      </c>
      <c r="E1367" s="51" t="s">
        <v>1629</v>
      </c>
      <c r="F1367" s="52">
        <v>0.20005000000000001</v>
      </c>
      <c r="G1367" s="52">
        <v>0</v>
      </c>
      <c r="H1367" s="52">
        <v>0</v>
      </c>
      <c r="I1367" s="52">
        <v>0</v>
      </c>
      <c r="J1367" s="51">
        <v>0</v>
      </c>
      <c r="K1367" s="54">
        <v>0</v>
      </c>
      <c r="L1367" s="51">
        <v>0</v>
      </c>
      <c r="M1367" s="54">
        <v>0</v>
      </c>
      <c r="N1367" s="53">
        <f t="shared" si="42"/>
        <v>0</v>
      </c>
      <c r="O1367" s="53">
        <f t="shared" si="43"/>
        <v>0</v>
      </c>
    </row>
    <row r="1368" spans="1:15" x14ac:dyDescent="0.2">
      <c r="A1368" s="51" t="s">
        <v>3567</v>
      </c>
      <c r="B1368" s="51" t="s">
        <v>3568</v>
      </c>
      <c r="C1368" s="51" t="s">
        <v>67</v>
      </c>
      <c r="D1368" s="51" t="s">
        <v>853</v>
      </c>
      <c r="E1368" s="51" t="s">
        <v>852</v>
      </c>
      <c r="F1368" s="52">
        <v>4776.8957315943198</v>
      </c>
      <c r="G1368" s="52">
        <v>500</v>
      </c>
      <c r="H1368" s="52">
        <v>6000</v>
      </c>
      <c r="I1368" s="52">
        <v>6500</v>
      </c>
      <c r="J1368" s="51">
        <v>1</v>
      </c>
      <c r="K1368" s="54">
        <v>3000</v>
      </c>
      <c r="L1368" s="51">
        <v>1</v>
      </c>
      <c r="M1368" s="54">
        <v>8000</v>
      </c>
      <c r="N1368" s="53">
        <f t="shared" si="42"/>
        <v>-5000</v>
      </c>
      <c r="O1368" s="53">
        <f t="shared" si="43"/>
        <v>5000</v>
      </c>
    </row>
    <row r="1369" spans="1:15" x14ac:dyDescent="0.2">
      <c r="A1369" s="51" t="s">
        <v>3567</v>
      </c>
      <c r="B1369" s="51" t="s">
        <v>3568</v>
      </c>
      <c r="C1369" s="51" t="s">
        <v>78</v>
      </c>
      <c r="D1369" s="51" t="s">
        <v>924</v>
      </c>
      <c r="E1369" s="51" t="s">
        <v>923</v>
      </c>
      <c r="F1369" s="52">
        <v>7190.3858</v>
      </c>
      <c r="G1369" s="52">
        <v>0</v>
      </c>
      <c r="H1369" s="52">
        <v>0</v>
      </c>
      <c r="I1369" s="52">
        <v>0</v>
      </c>
      <c r="J1369" s="51">
        <v>1</v>
      </c>
      <c r="K1369" s="54">
        <v>5000</v>
      </c>
      <c r="L1369" s="51">
        <v>0</v>
      </c>
      <c r="M1369" s="54">
        <v>0</v>
      </c>
      <c r="N1369" s="53">
        <f t="shared" si="42"/>
        <v>5000</v>
      </c>
      <c r="O1369" s="53">
        <f t="shared" si="43"/>
        <v>-5000</v>
      </c>
    </row>
    <row r="1370" spans="1:15" x14ac:dyDescent="0.2">
      <c r="A1370" s="51" t="s">
        <v>3567</v>
      </c>
      <c r="B1370" s="51" t="s">
        <v>3568</v>
      </c>
      <c r="C1370" s="51" t="s">
        <v>92</v>
      </c>
      <c r="D1370" s="51" t="s">
        <v>1598</v>
      </c>
      <c r="E1370" s="51" t="s">
        <v>1597</v>
      </c>
      <c r="F1370" s="52">
        <v>20981.803050955001</v>
      </c>
      <c r="G1370" s="52">
        <v>600</v>
      </c>
      <c r="H1370" s="52">
        <v>1770</v>
      </c>
      <c r="I1370" s="52">
        <v>2370</v>
      </c>
      <c r="J1370" s="51">
        <v>0</v>
      </c>
      <c r="K1370" s="54">
        <v>0</v>
      </c>
      <c r="L1370" s="51">
        <v>1</v>
      </c>
      <c r="M1370" s="54">
        <v>5000</v>
      </c>
      <c r="N1370" s="53">
        <f t="shared" si="42"/>
        <v>-5000</v>
      </c>
      <c r="O1370" s="53">
        <f t="shared" si="43"/>
        <v>5000</v>
      </c>
    </row>
    <row r="1371" spans="1:15" x14ac:dyDescent="0.2">
      <c r="A1371" s="51" t="s">
        <v>3567</v>
      </c>
      <c r="B1371" s="51" t="s">
        <v>3568</v>
      </c>
      <c r="C1371" s="51" t="s">
        <v>54</v>
      </c>
      <c r="D1371" s="51" t="s">
        <v>1928</v>
      </c>
      <c r="E1371" s="51" t="s">
        <v>1927</v>
      </c>
      <c r="F1371" s="52">
        <v>25.337835779091922</v>
      </c>
      <c r="G1371" s="52">
        <v>300</v>
      </c>
      <c r="H1371" s="52">
        <v>1600</v>
      </c>
      <c r="I1371" s="52">
        <v>1900</v>
      </c>
      <c r="J1371" s="51">
        <v>0</v>
      </c>
      <c r="K1371" s="54">
        <v>0</v>
      </c>
      <c r="L1371" s="51">
        <v>1</v>
      </c>
      <c r="M1371" s="54">
        <v>22000</v>
      </c>
      <c r="N1371" s="53">
        <f t="shared" si="42"/>
        <v>-22000</v>
      </c>
      <c r="O1371" s="53">
        <f t="shared" si="43"/>
        <v>22000</v>
      </c>
    </row>
    <row r="1372" spans="1:15" x14ac:dyDescent="0.2">
      <c r="A1372" s="51" t="s">
        <v>3567</v>
      </c>
      <c r="B1372" s="51" t="s">
        <v>3568</v>
      </c>
      <c r="C1372" s="51" t="s">
        <v>87</v>
      </c>
      <c r="D1372" s="51" t="s">
        <v>912</v>
      </c>
      <c r="E1372" s="51" t="s">
        <v>911</v>
      </c>
      <c r="F1372" s="52">
        <v>10193.96341480429</v>
      </c>
      <c r="G1372" s="52">
        <v>8365</v>
      </c>
      <c r="H1372" s="52">
        <v>31525</v>
      </c>
      <c r="I1372" s="52">
        <v>39890</v>
      </c>
      <c r="J1372" s="51">
        <v>1</v>
      </c>
      <c r="K1372" s="54">
        <v>5000</v>
      </c>
      <c r="L1372" s="51">
        <v>1</v>
      </c>
      <c r="M1372" s="54">
        <v>25000</v>
      </c>
      <c r="N1372" s="53">
        <f t="shared" si="42"/>
        <v>-20000</v>
      </c>
      <c r="O1372" s="53">
        <f t="shared" si="43"/>
        <v>20000</v>
      </c>
    </row>
    <row r="1373" spans="1:15" x14ac:dyDescent="0.2">
      <c r="A1373" s="51" t="s">
        <v>3567</v>
      </c>
      <c r="B1373" s="51" t="s">
        <v>3568</v>
      </c>
      <c r="C1373" s="51" t="s">
        <v>64</v>
      </c>
      <c r="D1373" s="51" t="s">
        <v>4270</v>
      </c>
      <c r="E1373" s="51" t="s">
        <v>4271</v>
      </c>
      <c r="F1373" s="52">
        <v>0.75030682974314011</v>
      </c>
      <c r="G1373" s="52">
        <v>0</v>
      </c>
      <c r="H1373" s="52">
        <v>0</v>
      </c>
      <c r="I1373" s="52">
        <v>0</v>
      </c>
      <c r="J1373" s="51">
        <v>0</v>
      </c>
      <c r="K1373" s="54">
        <v>0</v>
      </c>
      <c r="L1373" s="51">
        <v>0</v>
      </c>
      <c r="M1373" s="54">
        <v>0</v>
      </c>
      <c r="N1373" s="53">
        <f t="shared" si="42"/>
        <v>0</v>
      </c>
      <c r="O1373" s="53">
        <f t="shared" si="43"/>
        <v>0</v>
      </c>
    </row>
    <row r="1374" spans="1:15" x14ac:dyDescent="0.2">
      <c r="A1374" s="51" t="s">
        <v>3567</v>
      </c>
      <c r="B1374" s="51" t="s">
        <v>3568</v>
      </c>
      <c r="C1374" s="51" t="s">
        <v>55</v>
      </c>
      <c r="D1374" s="51" t="s">
        <v>1773</v>
      </c>
      <c r="E1374" s="51" t="s">
        <v>1772</v>
      </c>
      <c r="F1374" s="52">
        <v>885.19370000000004</v>
      </c>
      <c r="G1374" s="52">
        <v>4250</v>
      </c>
      <c r="H1374" s="52">
        <v>2000</v>
      </c>
      <c r="I1374" s="52">
        <v>6250</v>
      </c>
      <c r="J1374" s="51">
        <v>1</v>
      </c>
      <c r="K1374" s="54">
        <v>5000</v>
      </c>
      <c r="L1374" s="51">
        <v>0</v>
      </c>
      <c r="M1374" s="54">
        <v>0</v>
      </c>
      <c r="N1374" s="53">
        <f t="shared" si="42"/>
        <v>5000</v>
      </c>
      <c r="O1374" s="53">
        <f t="shared" si="43"/>
        <v>-5000</v>
      </c>
    </row>
    <row r="1375" spans="1:15" x14ac:dyDescent="0.2">
      <c r="A1375" s="51" t="s">
        <v>3567</v>
      </c>
      <c r="B1375" s="51" t="s">
        <v>3568</v>
      </c>
      <c r="C1375" s="51" t="s">
        <v>62</v>
      </c>
      <c r="D1375" s="51" t="s">
        <v>729</v>
      </c>
      <c r="E1375" s="51" t="s">
        <v>728</v>
      </c>
      <c r="F1375" s="52">
        <v>14041.603515652199</v>
      </c>
      <c r="G1375" s="52">
        <v>0</v>
      </c>
      <c r="H1375" s="52">
        <v>9555</v>
      </c>
      <c r="I1375" s="52">
        <v>9555</v>
      </c>
      <c r="J1375" s="51">
        <v>0</v>
      </c>
      <c r="K1375" s="54">
        <v>0</v>
      </c>
      <c r="L1375" s="51">
        <v>1</v>
      </c>
      <c r="M1375" s="54">
        <v>7000</v>
      </c>
      <c r="N1375" s="53">
        <f t="shared" si="42"/>
        <v>-7000</v>
      </c>
      <c r="O1375" s="53">
        <f t="shared" si="43"/>
        <v>7000</v>
      </c>
    </row>
    <row r="1376" spans="1:15" x14ac:dyDescent="0.2">
      <c r="A1376" s="51" t="s">
        <v>3567</v>
      </c>
      <c r="B1376" s="51" t="s">
        <v>3568</v>
      </c>
      <c r="C1376" s="51" t="s">
        <v>62</v>
      </c>
      <c r="D1376" s="51" t="s">
        <v>800</v>
      </c>
      <c r="E1376" s="51" t="s">
        <v>799</v>
      </c>
      <c r="F1376" s="52">
        <v>5635.5269017650453</v>
      </c>
      <c r="G1376" s="52">
        <v>900</v>
      </c>
      <c r="H1376" s="52">
        <v>0</v>
      </c>
      <c r="I1376" s="52">
        <v>900</v>
      </c>
      <c r="J1376" s="51">
        <v>1</v>
      </c>
      <c r="K1376" s="54">
        <v>5000</v>
      </c>
      <c r="L1376" s="51">
        <v>0</v>
      </c>
      <c r="M1376" s="54">
        <v>0</v>
      </c>
      <c r="N1376" s="53">
        <f t="shared" si="42"/>
        <v>5000</v>
      </c>
      <c r="O1376" s="53">
        <f t="shared" si="43"/>
        <v>-5000</v>
      </c>
    </row>
    <row r="1377" spans="1:15" x14ac:dyDescent="0.2">
      <c r="A1377" s="51" t="s">
        <v>3567</v>
      </c>
      <c r="B1377" s="51" t="s">
        <v>3568</v>
      </c>
      <c r="C1377" s="51" t="s">
        <v>80</v>
      </c>
      <c r="D1377" s="51" t="s">
        <v>3176</v>
      </c>
      <c r="E1377" s="51" t="s">
        <v>3175</v>
      </c>
      <c r="F1377" s="52">
        <v>464.34835654219432</v>
      </c>
      <c r="G1377" s="52">
        <v>50</v>
      </c>
      <c r="H1377" s="52">
        <v>0</v>
      </c>
      <c r="I1377" s="52">
        <v>50</v>
      </c>
      <c r="J1377" s="51">
        <v>0</v>
      </c>
      <c r="K1377" s="54">
        <v>0</v>
      </c>
      <c r="L1377" s="51">
        <v>1</v>
      </c>
      <c r="M1377" s="54">
        <v>7000</v>
      </c>
      <c r="N1377" s="53">
        <f t="shared" si="42"/>
        <v>-7000</v>
      </c>
      <c r="O1377" s="53">
        <f t="shared" si="43"/>
        <v>7000</v>
      </c>
    </row>
    <row r="1378" spans="1:15" x14ac:dyDescent="0.2">
      <c r="A1378" s="51" t="s">
        <v>3567</v>
      </c>
      <c r="B1378" s="51" t="s">
        <v>3568</v>
      </c>
      <c r="C1378" s="51" t="s">
        <v>3698</v>
      </c>
      <c r="D1378" s="51" t="s">
        <v>4339</v>
      </c>
      <c r="E1378" s="51" t="s">
        <v>4340</v>
      </c>
      <c r="F1378" s="52">
        <v>9.9989000006000008</v>
      </c>
      <c r="G1378" s="52">
        <v>0</v>
      </c>
      <c r="H1378" s="52">
        <v>0</v>
      </c>
      <c r="I1378" s="52">
        <v>0</v>
      </c>
      <c r="J1378" s="51">
        <v>0</v>
      </c>
      <c r="K1378" s="54">
        <v>0</v>
      </c>
      <c r="L1378" s="51">
        <v>0</v>
      </c>
      <c r="M1378" s="54">
        <v>0</v>
      </c>
      <c r="N1378" s="53">
        <f t="shared" si="42"/>
        <v>0</v>
      </c>
      <c r="O1378" s="53">
        <f t="shared" si="43"/>
        <v>0</v>
      </c>
    </row>
    <row r="1379" spans="1:15" x14ac:dyDescent="0.2">
      <c r="A1379" s="51" t="s">
        <v>3567</v>
      </c>
      <c r="B1379" s="51" t="s">
        <v>3568</v>
      </c>
      <c r="C1379" s="51" t="s">
        <v>78</v>
      </c>
      <c r="D1379" s="51" t="s">
        <v>4363</v>
      </c>
      <c r="E1379" s="51" t="s">
        <v>4364</v>
      </c>
      <c r="F1379" s="52">
        <v>86.771900000000002</v>
      </c>
      <c r="G1379" s="52">
        <v>0</v>
      </c>
      <c r="H1379" s="52">
        <v>0</v>
      </c>
      <c r="I1379" s="52">
        <v>0</v>
      </c>
      <c r="J1379" s="51">
        <v>0</v>
      </c>
      <c r="K1379" s="54">
        <v>0</v>
      </c>
      <c r="L1379" s="51">
        <v>0</v>
      </c>
      <c r="M1379" s="54">
        <v>0</v>
      </c>
      <c r="N1379" s="53">
        <f t="shared" si="42"/>
        <v>0</v>
      </c>
      <c r="O1379" s="53">
        <f t="shared" si="43"/>
        <v>0</v>
      </c>
    </row>
    <row r="1380" spans="1:15" x14ac:dyDescent="0.2">
      <c r="A1380" s="51" t="s">
        <v>3567</v>
      </c>
      <c r="B1380" s="51" t="s">
        <v>3568</v>
      </c>
      <c r="C1380" s="51" t="s">
        <v>74</v>
      </c>
      <c r="D1380" s="51" t="s">
        <v>2789</v>
      </c>
      <c r="E1380" s="51" t="s">
        <v>2788</v>
      </c>
      <c r="F1380" s="52">
        <v>30.557074583477672</v>
      </c>
      <c r="G1380" s="52">
        <v>2260</v>
      </c>
      <c r="H1380" s="52">
        <v>4055</v>
      </c>
      <c r="I1380" s="52">
        <v>6315</v>
      </c>
      <c r="J1380" s="51">
        <v>1</v>
      </c>
      <c r="K1380" s="54">
        <v>5000</v>
      </c>
      <c r="L1380" s="51">
        <v>1</v>
      </c>
      <c r="M1380" s="54">
        <v>10000</v>
      </c>
      <c r="N1380" s="53">
        <f t="shared" si="42"/>
        <v>-5000</v>
      </c>
      <c r="O1380" s="53">
        <f t="shared" si="43"/>
        <v>5000</v>
      </c>
    </row>
    <row r="1381" spans="1:15" x14ac:dyDescent="0.2">
      <c r="A1381" s="51" t="s">
        <v>3567</v>
      </c>
      <c r="B1381" s="51" t="s">
        <v>3568</v>
      </c>
      <c r="C1381" s="51" t="s">
        <v>79</v>
      </c>
      <c r="D1381" s="51" t="s">
        <v>3224</v>
      </c>
      <c r="E1381" s="51" t="s">
        <v>3223</v>
      </c>
      <c r="F1381" s="52">
        <v>71241.991139695601</v>
      </c>
      <c r="G1381" s="52">
        <v>5126</v>
      </c>
      <c r="H1381" s="52">
        <v>50540</v>
      </c>
      <c r="I1381" s="52">
        <v>55666</v>
      </c>
      <c r="J1381" s="51">
        <v>1</v>
      </c>
      <c r="K1381" s="54">
        <v>5000</v>
      </c>
      <c r="L1381" s="51">
        <v>0</v>
      </c>
      <c r="M1381" s="54">
        <v>0</v>
      </c>
      <c r="N1381" s="53">
        <f t="shared" si="42"/>
        <v>5000</v>
      </c>
      <c r="O1381" s="53">
        <f t="shared" si="43"/>
        <v>-5000</v>
      </c>
    </row>
    <row r="1382" spans="1:15" x14ac:dyDescent="0.2">
      <c r="A1382" s="51" t="s">
        <v>3567</v>
      </c>
      <c r="B1382" s="51" t="s">
        <v>3568</v>
      </c>
      <c r="C1382" s="51" t="s">
        <v>72</v>
      </c>
      <c r="D1382" s="51" t="s">
        <v>1188</v>
      </c>
      <c r="E1382" s="51" t="s">
        <v>352</v>
      </c>
      <c r="F1382" s="52">
        <v>53456.216895701487</v>
      </c>
      <c r="G1382" s="52">
        <v>4310</v>
      </c>
      <c r="H1382" s="52">
        <v>33675</v>
      </c>
      <c r="I1382" s="52">
        <v>37985</v>
      </c>
      <c r="J1382" s="51">
        <v>1</v>
      </c>
      <c r="K1382" s="54">
        <v>5000</v>
      </c>
      <c r="L1382" s="51">
        <v>1</v>
      </c>
      <c r="M1382" s="54">
        <v>15000</v>
      </c>
      <c r="N1382" s="53">
        <f t="shared" si="42"/>
        <v>-10000</v>
      </c>
      <c r="O1382" s="53">
        <f t="shared" si="43"/>
        <v>10000</v>
      </c>
    </row>
    <row r="1383" spans="1:15" x14ac:dyDescent="0.2">
      <c r="A1383" s="51" t="s">
        <v>3567</v>
      </c>
      <c r="B1383" s="51" t="s">
        <v>3568</v>
      </c>
      <c r="C1383" s="51" t="s">
        <v>80</v>
      </c>
      <c r="D1383" s="51" t="s">
        <v>392</v>
      </c>
      <c r="E1383" s="51" t="s">
        <v>391</v>
      </c>
      <c r="F1383" s="52">
        <v>1416.230644</v>
      </c>
      <c r="G1383" s="52">
        <v>0</v>
      </c>
      <c r="H1383" s="52">
        <v>1060</v>
      </c>
      <c r="I1383" s="52">
        <v>1060</v>
      </c>
      <c r="J1383" s="51">
        <v>0</v>
      </c>
      <c r="K1383" s="54">
        <v>0</v>
      </c>
      <c r="L1383" s="51">
        <v>1</v>
      </c>
      <c r="M1383" s="54">
        <v>22000</v>
      </c>
      <c r="N1383" s="53">
        <f t="shared" si="42"/>
        <v>-22000</v>
      </c>
      <c r="O1383" s="53">
        <f t="shared" si="43"/>
        <v>22000</v>
      </c>
    </row>
    <row r="1384" spans="1:15" x14ac:dyDescent="0.2">
      <c r="A1384" s="51" t="s">
        <v>3567</v>
      </c>
      <c r="B1384" s="51" t="s">
        <v>3568</v>
      </c>
      <c r="C1384" s="51" t="s">
        <v>70</v>
      </c>
      <c r="D1384" s="51" t="s">
        <v>627</v>
      </c>
      <c r="E1384" s="51" t="s">
        <v>626</v>
      </c>
      <c r="F1384" s="52">
        <v>13617.92652330575</v>
      </c>
      <c r="G1384" s="52">
        <v>15430</v>
      </c>
      <c r="H1384" s="52">
        <v>20180</v>
      </c>
      <c r="I1384" s="52">
        <v>35610</v>
      </c>
      <c r="J1384" s="51">
        <v>0</v>
      </c>
      <c r="K1384" s="54">
        <v>0</v>
      </c>
      <c r="L1384" s="51">
        <v>1</v>
      </c>
      <c r="M1384" s="54">
        <v>20000</v>
      </c>
      <c r="N1384" s="53">
        <f t="shared" si="42"/>
        <v>-20000</v>
      </c>
      <c r="O1384" s="53">
        <f t="shared" si="43"/>
        <v>20000</v>
      </c>
    </row>
    <row r="1385" spans="1:15" x14ac:dyDescent="0.2">
      <c r="A1385" s="51" t="s">
        <v>3567</v>
      </c>
      <c r="B1385" s="51" t="s">
        <v>3568</v>
      </c>
      <c r="C1385" s="51" t="s">
        <v>76</v>
      </c>
      <c r="D1385" s="51" t="s">
        <v>4361</v>
      </c>
      <c r="E1385" s="51" t="s">
        <v>4362</v>
      </c>
      <c r="F1385" s="52">
        <v>21.889846180127961</v>
      </c>
      <c r="G1385" s="52">
        <v>0</v>
      </c>
      <c r="H1385" s="52">
        <v>0</v>
      </c>
      <c r="I1385" s="52">
        <v>0</v>
      </c>
      <c r="J1385" s="51">
        <v>0</v>
      </c>
      <c r="K1385" s="54">
        <v>0</v>
      </c>
      <c r="L1385" s="51">
        <v>0</v>
      </c>
      <c r="M1385" s="54">
        <v>0</v>
      </c>
      <c r="N1385" s="53">
        <f t="shared" si="42"/>
        <v>0</v>
      </c>
      <c r="O1385" s="53">
        <f t="shared" si="43"/>
        <v>0</v>
      </c>
    </row>
    <row r="1386" spans="1:15" x14ac:dyDescent="0.2">
      <c r="A1386" s="51" t="s">
        <v>3567</v>
      </c>
      <c r="B1386" s="51" t="s">
        <v>3568</v>
      </c>
      <c r="C1386" s="51" t="s">
        <v>3674</v>
      </c>
      <c r="D1386" s="51" t="s">
        <v>4345</v>
      </c>
      <c r="E1386" s="51" t="s">
        <v>4293</v>
      </c>
      <c r="F1386" s="52">
        <v>4.0124702853282823</v>
      </c>
      <c r="G1386" s="52">
        <v>0</v>
      </c>
      <c r="H1386" s="52">
        <v>0</v>
      </c>
      <c r="I1386" s="52">
        <v>0</v>
      </c>
      <c r="J1386" s="51">
        <v>0</v>
      </c>
      <c r="K1386" s="54">
        <v>0</v>
      </c>
      <c r="L1386" s="51">
        <v>0</v>
      </c>
      <c r="M1386" s="54">
        <v>0</v>
      </c>
      <c r="N1386" s="53">
        <f t="shared" si="42"/>
        <v>0</v>
      </c>
      <c r="O1386" s="53">
        <f t="shared" si="43"/>
        <v>0</v>
      </c>
    </row>
    <row r="1387" spans="1:15" x14ac:dyDescent="0.2">
      <c r="A1387" s="51" t="s">
        <v>3567</v>
      </c>
      <c r="B1387" s="51" t="s">
        <v>3568</v>
      </c>
      <c r="C1387" s="51" t="s">
        <v>84</v>
      </c>
      <c r="D1387" s="51" t="s">
        <v>3063</v>
      </c>
      <c r="E1387" s="51" t="s">
        <v>3062</v>
      </c>
      <c r="F1387" s="52">
        <v>862.61634788824574</v>
      </c>
      <c r="G1387" s="52">
        <v>3570</v>
      </c>
      <c r="H1387" s="52">
        <v>9500</v>
      </c>
      <c r="I1387" s="52">
        <v>13070</v>
      </c>
      <c r="J1387" s="51">
        <v>1</v>
      </c>
      <c r="K1387" s="54">
        <v>5000</v>
      </c>
      <c r="L1387" s="51">
        <v>1</v>
      </c>
      <c r="M1387" s="54">
        <v>25000</v>
      </c>
      <c r="N1387" s="53">
        <f t="shared" si="42"/>
        <v>-20000</v>
      </c>
      <c r="O1387" s="53">
        <f t="shared" si="43"/>
        <v>20000</v>
      </c>
    </row>
    <row r="1388" spans="1:15" x14ac:dyDescent="0.2">
      <c r="A1388" s="51" t="s">
        <v>3567</v>
      </c>
      <c r="B1388" s="51" t="s">
        <v>3568</v>
      </c>
      <c r="C1388" s="51" t="s">
        <v>83</v>
      </c>
      <c r="D1388" s="51" t="s">
        <v>964</v>
      </c>
      <c r="E1388" s="51" t="s">
        <v>963</v>
      </c>
      <c r="F1388" s="52">
        <v>2792.9034000000001</v>
      </c>
      <c r="G1388" s="52">
        <v>3920</v>
      </c>
      <c r="H1388" s="52">
        <v>1500</v>
      </c>
      <c r="I1388" s="52">
        <v>5420</v>
      </c>
      <c r="J1388" s="51">
        <v>1</v>
      </c>
      <c r="K1388" s="54">
        <v>5000</v>
      </c>
      <c r="L1388" s="51">
        <v>0</v>
      </c>
      <c r="M1388" s="54">
        <v>0</v>
      </c>
      <c r="N1388" s="53">
        <f t="shared" si="42"/>
        <v>5000</v>
      </c>
      <c r="O1388" s="53">
        <f t="shared" si="43"/>
        <v>-5000</v>
      </c>
    </row>
    <row r="1389" spans="1:15" x14ac:dyDescent="0.2">
      <c r="A1389" s="51" t="s">
        <v>3567</v>
      </c>
      <c r="B1389" s="51" t="s">
        <v>3568</v>
      </c>
      <c r="C1389" s="51" t="s">
        <v>56</v>
      </c>
      <c r="D1389" s="51" t="s">
        <v>3304</v>
      </c>
      <c r="E1389" s="51" t="s">
        <v>3303</v>
      </c>
      <c r="F1389" s="52">
        <v>22894.572981099329</v>
      </c>
      <c r="G1389" s="52">
        <v>23670</v>
      </c>
      <c r="H1389" s="52">
        <v>39230</v>
      </c>
      <c r="I1389" s="52">
        <v>62900</v>
      </c>
      <c r="J1389" s="51">
        <v>1</v>
      </c>
      <c r="K1389" s="54">
        <v>5000</v>
      </c>
      <c r="L1389" s="51">
        <v>1</v>
      </c>
      <c r="M1389" s="54">
        <v>20000</v>
      </c>
      <c r="N1389" s="53">
        <f t="shared" si="42"/>
        <v>-15000</v>
      </c>
      <c r="O1389" s="53">
        <f t="shared" si="43"/>
        <v>15000</v>
      </c>
    </row>
    <row r="1390" spans="1:15" x14ac:dyDescent="0.2">
      <c r="A1390" s="51" t="s">
        <v>3567</v>
      </c>
      <c r="B1390" s="51" t="s">
        <v>3568</v>
      </c>
      <c r="C1390" s="51" t="s">
        <v>71</v>
      </c>
      <c r="D1390" s="51" t="s">
        <v>1653</v>
      </c>
      <c r="E1390" s="51" t="s">
        <v>1652</v>
      </c>
      <c r="F1390" s="52">
        <v>2064.8532858694998</v>
      </c>
      <c r="G1390" s="52">
        <v>6500</v>
      </c>
      <c r="H1390" s="52">
        <v>790</v>
      </c>
      <c r="I1390" s="52">
        <v>7290</v>
      </c>
      <c r="J1390" s="51">
        <v>1</v>
      </c>
      <c r="K1390" s="54">
        <v>5000</v>
      </c>
      <c r="L1390" s="51">
        <v>0</v>
      </c>
      <c r="M1390" s="54">
        <v>0</v>
      </c>
      <c r="N1390" s="53">
        <f t="shared" si="42"/>
        <v>5000</v>
      </c>
      <c r="O1390" s="53">
        <f t="shared" si="43"/>
        <v>-5000</v>
      </c>
    </row>
    <row r="1391" spans="1:15" x14ac:dyDescent="0.2">
      <c r="A1391" s="51" t="s">
        <v>3567</v>
      </c>
      <c r="B1391" s="51" t="s">
        <v>3568</v>
      </c>
      <c r="C1391" s="51" t="s">
        <v>61</v>
      </c>
      <c r="D1391" s="51" t="s">
        <v>3364</v>
      </c>
      <c r="E1391" s="51" t="s">
        <v>3363</v>
      </c>
      <c r="F1391" s="52">
        <v>2871.8935999999999</v>
      </c>
      <c r="G1391" s="52">
        <v>0</v>
      </c>
      <c r="H1391" s="52">
        <v>0</v>
      </c>
      <c r="I1391" s="52">
        <v>0</v>
      </c>
      <c r="J1391" s="51">
        <v>0</v>
      </c>
      <c r="K1391" s="54">
        <v>0</v>
      </c>
      <c r="L1391" s="51">
        <v>0</v>
      </c>
      <c r="M1391" s="54">
        <v>0</v>
      </c>
      <c r="N1391" s="53">
        <f t="shared" si="42"/>
        <v>0</v>
      </c>
      <c r="O1391" s="53">
        <f t="shared" si="43"/>
        <v>0</v>
      </c>
    </row>
    <row r="1392" spans="1:15" x14ac:dyDescent="0.2">
      <c r="A1392" s="51" t="s">
        <v>3567</v>
      </c>
      <c r="B1392" s="51" t="s">
        <v>3568</v>
      </c>
      <c r="C1392" s="51" t="s">
        <v>85</v>
      </c>
      <c r="D1392" s="51" t="s">
        <v>2263</v>
      </c>
      <c r="E1392" s="51" t="s">
        <v>2262</v>
      </c>
      <c r="F1392" s="52">
        <v>26.643426268268289</v>
      </c>
      <c r="G1392" s="52">
        <v>0</v>
      </c>
      <c r="H1392" s="52">
        <v>0</v>
      </c>
      <c r="I1392" s="52">
        <v>0</v>
      </c>
      <c r="J1392" s="51">
        <v>0</v>
      </c>
      <c r="K1392" s="54">
        <v>0</v>
      </c>
      <c r="L1392" s="51">
        <v>0</v>
      </c>
      <c r="M1392" s="54">
        <v>0</v>
      </c>
      <c r="N1392" s="53">
        <f t="shared" si="42"/>
        <v>0</v>
      </c>
      <c r="O1392" s="53">
        <f t="shared" si="43"/>
        <v>0</v>
      </c>
    </row>
    <row r="1393" spans="1:15" x14ac:dyDescent="0.2">
      <c r="A1393" s="51" t="s">
        <v>3567</v>
      </c>
      <c r="B1393" s="51" t="s">
        <v>3568</v>
      </c>
      <c r="C1393" s="51" t="s">
        <v>3718</v>
      </c>
      <c r="D1393" s="51" t="s">
        <v>4256</v>
      </c>
      <c r="E1393" s="51" t="s">
        <v>4257</v>
      </c>
      <c r="F1393" s="52">
        <v>45.133090842593937</v>
      </c>
      <c r="G1393" s="52">
        <v>0</v>
      </c>
      <c r="H1393" s="52">
        <v>0</v>
      </c>
      <c r="I1393" s="52">
        <v>0</v>
      </c>
      <c r="J1393" s="51">
        <v>0</v>
      </c>
      <c r="K1393" s="54">
        <v>0</v>
      </c>
      <c r="L1393" s="51">
        <v>0</v>
      </c>
      <c r="M1393" s="54">
        <v>0</v>
      </c>
      <c r="N1393" s="53">
        <f t="shared" si="42"/>
        <v>0</v>
      </c>
      <c r="O1393" s="53">
        <f t="shared" si="43"/>
        <v>0</v>
      </c>
    </row>
    <row r="1394" spans="1:15" x14ac:dyDescent="0.2">
      <c r="A1394" s="51" t="s">
        <v>3567</v>
      </c>
      <c r="B1394" s="51" t="s">
        <v>3568</v>
      </c>
      <c r="C1394" s="51" t="s">
        <v>61</v>
      </c>
      <c r="D1394" s="51" t="s">
        <v>4341</v>
      </c>
      <c r="E1394" s="51" t="s">
        <v>4342</v>
      </c>
      <c r="F1394" s="52">
        <v>1.044345683552621</v>
      </c>
      <c r="G1394" s="52">
        <v>0</v>
      </c>
      <c r="H1394" s="52">
        <v>0</v>
      </c>
      <c r="I1394" s="52">
        <v>0</v>
      </c>
      <c r="J1394" s="51">
        <v>0</v>
      </c>
      <c r="K1394" s="54">
        <v>0</v>
      </c>
      <c r="L1394" s="51">
        <v>0</v>
      </c>
      <c r="M1394" s="54">
        <v>0</v>
      </c>
      <c r="N1394" s="53">
        <f t="shared" si="42"/>
        <v>0</v>
      </c>
      <c r="O1394" s="53">
        <f t="shared" si="43"/>
        <v>0</v>
      </c>
    </row>
    <row r="1395" spans="1:15" x14ac:dyDescent="0.2">
      <c r="A1395" s="51" t="s">
        <v>3567</v>
      </c>
      <c r="B1395" s="51" t="s">
        <v>3568</v>
      </c>
      <c r="C1395" s="51" t="s">
        <v>78</v>
      </c>
      <c r="D1395" s="51" t="s">
        <v>2704</v>
      </c>
      <c r="E1395" s="51" t="s">
        <v>2703</v>
      </c>
      <c r="F1395" s="52">
        <v>4101.6831043305701</v>
      </c>
      <c r="G1395" s="52">
        <v>725</v>
      </c>
      <c r="H1395" s="52">
        <v>4745</v>
      </c>
      <c r="I1395" s="52">
        <v>5470</v>
      </c>
      <c r="J1395" s="51">
        <v>1</v>
      </c>
      <c r="K1395" s="54">
        <v>5000</v>
      </c>
      <c r="L1395" s="51">
        <v>1</v>
      </c>
      <c r="M1395" s="54">
        <v>15000</v>
      </c>
      <c r="N1395" s="53">
        <f t="shared" si="42"/>
        <v>-10000</v>
      </c>
      <c r="O1395" s="53">
        <f t="shared" si="43"/>
        <v>10000</v>
      </c>
    </row>
    <row r="1396" spans="1:15" x14ac:dyDescent="0.2">
      <c r="A1396" s="51" t="s">
        <v>3567</v>
      </c>
      <c r="B1396" s="51" t="s">
        <v>3568</v>
      </c>
      <c r="C1396" s="51" t="s">
        <v>61</v>
      </c>
      <c r="D1396" s="51" t="s">
        <v>4331</v>
      </c>
      <c r="E1396" s="51" t="s">
        <v>4332</v>
      </c>
      <c r="F1396" s="52">
        <v>3.8161</v>
      </c>
      <c r="G1396" s="52">
        <v>0</v>
      </c>
      <c r="H1396" s="52">
        <v>0</v>
      </c>
      <c r="I1396" s="52">
        <v>0</v>
      </c>
      <c r="J1396" s="51">
        <v>0</v>
      </c>
      <c r="K1396" s="54">
        <v>0</v>
      </c>
      <c r="L1396" s="51">
        <v>0</v>
      </c>
      <c r="M1396" s="54">
        <v>0</v>
      </c>
      <c r="N1396" s="53">
        <f t="shared" si="42"/>
        <v>0</v>
      </c>
      <c r="O1396" s="53">
        <f t="shared" si="43"/>
        <v>0</v>
      </c>
    </row>
    <row r="1397" spans="1:15" x14ac:dyDescent="0.2">
      <c r="A1397" s="51" t="s">
        <v>3567</v>
      </c>
      <c r="B1397" s="51" t="s">
        <v>3568</v>
      </c>
      <c r="C1397" s="51" t="s">
        <v>64</v>
      </c>
      <c r="D1397" s="51" t="s">
        <v>505</v>
      </c>
      <c r="E1397" s="51" t="s">
        <v>504</v>
      </c>
      <c r="F1397" s="52">
        <v>1410.980128652647</v>
      </c>
      <c r="G1397" s="52">
        <v>6020</v>
      </c>
      <c r="H1397" s="52">
        <v>2470</v>
      </c>
      <c r="I1397" s="52">
        <v>8490</v>
      </c>
      <c r="J1397" s="51">
        <v>1</v>
      </c>
      <c r="K1397" s="54">
        <v>5000</v>
      </c>
      <c r="L1397" s="51">
        <v>0</v>
      </c>
      <c r="M1397" s="54">
        <v>0</v>
      </c>
      <c r="N1397" s="53">
        <f t="shared" si="42"/>
        <v>5000</v>
      </c>
      <c r="O1397" s="53">
        <f t="shared" si="43"/>
        <v>-5000</v>
      </c>
    </row>
    <row r="1398" spans="1:15" x14ac:dyDescent="0.2">
      <c r="A1398" s="51" t="s">
        <v>3567</v>
      </c>
      <c r="B1398" s="51" t="s">
        <v>3568</v>
      </c>
      <c r="C1398" s="51" t="s">
        <v>3619</v>
      </c>
      <c r="D1398" s="51" t="s">
        <v>4313</v>
      </c>
      <c r="E1398" s="51" t="s">
        <v>4314</v>
      </c>
      <c r="F1398" s="52">
        <v>4.931825048485762</v>
      </c>
      <c r="G1398" s="52">
        <v>0</v>
      </c>
      <c r="H1398" s="52">
        <v>0</v>
      </c>
      <c r="I1398" s="52">
        <v>0</v>
      </c>
      <c r="J1398" s="51">
        <v>0</v>
      </c>
      <c r="K1398" s="54">
        <v>0</v>
      </c>
      <c r="L1398" s="51">
        <v>0</v>
      </c>
      <c r="M1398" s="54">
        <v>0</v>
      </c>
      <c r="N1398" s="53">
        <f t="shared" si="42"/>
        <v>0</v>
      </c>
      <c r="O1398" s="53">
        <f t="shared" si="43"/>
        <v>0</v>
      </c>
    </row>
    <row r="1399" spans="1:15" x14ac:dyDescent="0.2">
      <c r="A1399" s="51" t="s">
        <v>3567</v>
      </c>
      <c r="B1399" s="51" t="s">
        <v>3568</v>
      </c>
      <c r="C1399" s="51" t="s">
        <v>86</v>
      </c>
      <c r="D1399" s="51" t="s">
        <v>884</v>
      </c>
      <c r="E1399" s="51" t="s">
        <v>883</v>
      </c>
      <c r="F1399" s="52">
        <v>9081.2311499999996</v>
      </c>
      <c r="G1399" s="52">
        <v>5050</v>
      </c>
      <c r="H1399" s="52">
        <v>23520</v>
      </c>
      <c r="I1399" s="52">
        <v>28570</v>
      </c>
      <c r="J1399" s="51">
        <v>1</v>
      </c>
      <c r="K1399" s="54">
        <v>5000</v>
      </c>
      <c r="L1399" s="51">
        <v>1</v>
      </c>
      <c r="M1399" s="54">
        <v>30000</v>
      </c>
      <c r="N1399" s="53">
        <f t="shared" si="42"/>
        <v>-25000</v>
      </c>
      <c r="O1399" s="53">
        <f t="shared" si="43"/>
        <v>25000</v>
      </c>
    </row>
    <row r="1400" spans="1:15" x14ac:dyDescent="0.2">
      <c r="A1400" s="51" t="s">
        <v>3567</v>
      </c>
      <c r="B1400" s="51" t="s">
        <v>3568</v>
      </c>
      <c r="C1400" s="51" t="s">
        <v>80</v>
      </c>
      <c r="D1400" s="51" t="s">
        <v>4337</v>
      </c>
      <c r="E1400" s="51" t="s">
        <v>4338</v>
      </c>
      <c r="F1400" s="52">
        <v>54.036409999999997</v>
      </c>
      <c r="G1400" s="52">
        <v>0</v>
      </c>
      <c r="H1400" s="52">
        <v>0</v>
      </c>
      <c r="I1400" s="52">
        <v>0</v>
      </c>
      <c r="J1400" s="51">
        <v>0</v>
      </c>
      <c r="K1400" s="54">
        <v>0</v>
      </c>
      <c r="L1400" s="51">
        <v>0</v>
      </c>
      <c r="M1400" s="54">
        <v>0</v>
      </c>
      <c r="N1400" s="53">
        <f t="shared" si="42"/>
        <v>0</v>
      </c>
      <c r="O1400" s="53">
        <f t="shared" si="43"/>
        <v>0</v>
      </c>
    </row>
    <row r="1401" spans="1:15" x14ac:dyDescent="0.2">
      <c r="A1401" s="51" t="s">
        <v>3567</v>
      </c>
      <c r="B1401" s="51" t="s">
        <v>3568</v>
      </c>
      <c r="C1401" s="51" t="s">
        <v>63</v>
      </c>
      <c r="D1401" s="51" t="s">
        <v>1115</v>
      </c>
      <c r="E1401" s="51" t="s">
        <v>1114</v>
      </c>
      <c r="F1401" s="52">
        <v>21562.091966459029</v>
      </c>
      <c r="G1401" s="52">
        <v>2850</v>
      </c>
      <c r="H1401" s="52">
        <v>9345</v>
      </c>
      <c r="I1401" s="52">
        <v>12195</v>
      </c>
      <c r="J1401" s="51">
        <v>1</v>
      </c>
      <c r="K1401" s="54">
        <v>5000</v>
      </c>
      <c r="L1401" s="51">
        <v>0</v>
      </c>
      <c r="M1401" s="54">
        <v>0</v>
      </c>
      <c r="N1401" s="53">
        <f t="shared" si="42"/>
        <v>5000</v>
      </c>
      <c r="O1401" s="53">
        <f t="shared" si="43"/>
        <v>-5000</v>
      </c>
    </row>
    <row r="1402" spans="1:15" x14ac:dyDescent="0.2">
      <c r="A1402" s="51" t="s">
        <v>3567</v>
      </c>
      <c r="B1402" s="51" t="s">
        <v>3568</v>
      </c>
      <c r="C1402" s="51" t="s">
        <v>65</v>
      </c>
      <c r="D1402" s="51" t="s">
        <v>106</v>
      </c>
      <c r="E1402" s="51" t="s">
        <v>105</v>
      </c>
      <c r="F1402" s="52">
        <v>7169.9864476037164</v>
      </c>
      <c r="G1402" s="52">
        <v>11410</v>
      </c>
      <c r="H1402" s="52">
        <v>18970</v>
      </c>
      <c r="I1402" s="52">
        <v>30380</v>
      </c>
      <c r="J1402" s="51">
        <v>0</v>
      </c>
      <c r="K1402" s="54">
        <v>0</v>
      </c>
      <c r="L1402" s="51">
        <v>1</v>
      </c>
      <c r="M1402" s="54">
        <v>50000</v>
      </c>
      <c r="N1402" s="53">
        <f t="shared" si="42"/>
        <v>-50000</v>
      </c>
      <c r="O1402" s="53">
        <f t="shared" si="43"/>
        <v>50000</v>
      </c>
    </row>
    <row r="1403" spans="1:15" x14ac:dyDescent="0.2">
      <c r="A1403" s="51" t="s">
        <v>3567</v>
      </c>
      <c r="B1403" s="51" t="s">
        <v>3568</v>
      </c>
      <c r="C1403" s="51" t="s">
        <v>3707</v>
      </c>
      <c r="D1403" s="51" t="s">
        <v>4354</v>
      </c>
      <c r="E1403" s="51" t="s">
        <v>4355</v>
      </c>
      <c r="F1403" s="52">
        <v>28.630478860878899</v>
      </c>
      <c r="G1403" s="52">
        <v>0</v>
      </c>
      <c r="H1403" s="52">
        <v>0</v>
      </c>
      <c r="I1403" s="52">
        <v>0</v>
      </c>
      <c r="J1403" s="51">
        <v>0</v>
      </c>
      <c r="K1403" s="54">
        <v>0</v>
      </c>
      <c r="L1403" s="51">
        <v>0</v>
      </c>
      <c r="M1403" s="54">
        <v>0</v>
      </c>
      <c r="N1403" s="53">
        <f t="shared" si="42"/>
        <v>0</v>
      </c>
      <c r="O1403" s="53">
        <f t="shared" si="43"/>
        <v>0</v>
      </c>
    </row>
    <row r="1404" spans="1:15" x14ac:dyDescent="0.2">
      <c r="A1404" s="51" t="s">
        <v>3567</v>
      </c>
      <c r="B1404" s="51" t="s">
        <v>3568</v>
      </c>
      <c r="C1404" s="51" t="s">
        <v>67</v>
      </c>
      <c r="D1404" s="51" t="s">
        <v>3555</v>
      </c>
      <c r="E1404" s="51" t="s">
        <v>3554</v>
      </c>
      <c r="F1404" s="52">
        <v>16092.610500000001</v>
      </c>
      <c r="G1404" s="52">
        <v>0</v>
      </c>
      <c r="H1404" s="52">
        <v>0</v>
      </c>
      <c r="I1404" s="52">
        <v>0</v>
      </c>
      <c r="J1404" s="51">
        <v>1</v>
      </c>
      <c r="K1404" s="54">
        <v>5000</v>
      </c>
      <c r="L1404" s="51">
        <v>0</v>
      </c>
      <c r="M1404" s="54">
        <v>0</v>
      </c>
      <c r="N1404" s="53">
        <f t="shared" si="42"/>
        <v>5000</v>
      </c>
      <c r="O1404" s="53">
        <f t="shared" si="43"/>
        <v>-5000</v>
      </c>
    </row>
    <row r="1405" spans="1:15" x14ac:dyDescent="0.2">
      <c r="A1405" s="51" t="s">
        <v>3567</v>
      </c>
      <c r="B1405" s="51" t="s">
        <v>3568</v>
      </c>
      <c r="C1405" s="51" t="s">
        <v>59</v>
      </c>
      <c r="D1405" s="51" t="s">
        <v>3239</v>
      </c>
      <c r="E1405" s="51" t="s">
        <v>3238</v>
      </c>
      <c r="F1405" s="52">
        <v>10.9003</v>
      </c>
      <c r="G1405" s="52">
        <v>0</v>
      </c>
      <c r="H1405" s="52">
        <v>0</v>
      </c>
      <c r="I1405" s="52">
        <v>0</v>
      </c>
      <c r="J1405" s="51">
        <v>0</v>
      </c>
      <c r="K1405" s="54">
        <v>0</v>
      </c>
      <c r="L1405" s="51">
        <v>0</v>
      </c>
      <c r="M1405" s="54">
        <v>0</v>
      </c>
      <c r="N1405" s="53">
        <f t="shared" si="42"/>
        <v>0</v>
      </c>
      <c r="O1405" s="53">
        <f t="shared" si="43"/>
        <v>0</v>
      </c>
    </row>
    <row r="1406" spans="1:15" x14ac:dyDescent="0.2">
      <c r="A1406" s="51" t="s">
        <v>3567</v>
      </c>
      <c r="B1406" s="51" t="s">
        <v>3568</v>
      </c>
      <c r="C1406" s="51" t="s">
        <v>52</v>
      </c>
      <c r="D1406" s="51" t="s">
        <v>794</v>
      </c>
      <c r="E1406" s="51" t="s">
        <v>793</v>
      </c>
      <c r="F1406" s="52">
        <v>4872.5770892694272</v>
      </c>
      <c r="G1406" s="52">
        <v>1470</v>
      </c>
      <c r="H1406" s="52">
        <v>21700</v>
      </c>
      <c r="I1406" s="52">
        <v>23170</v>
      </c>
      <c r="J1406" s="51">
        <v>0</v>
      </c>
      <c r="K1406" s="54">
        <v>0</v>
      </c>
      <c r="L1406" s="51">
        <v>1</v>
      </c>
      <c r="M1406" s="54">
        <v>15000</v>
      </c>
      <c r="N1406" s="53">
        <f t="shared" si="42"/>
        <v>-15000</v>
      </c>
      <c r="O1406" s="53">
        <f t="shared" si="43"/>
        <v>15000</v>
      </c>
    </row>
    <row r="1407" spans="1:15" x14ac:dyDescent="0.2">
      <c r="A1407" s="51" t="s">
        <v>3567</v>
      </c>
      <c r="B1407" s="51" t="s">
        <v>3568</v>
      </c>
      <c r="C1407" s="51" t="s">
        <v>87</v>
      </c>
      <c r="D1407" s="51" t="s">
        <v>408</v>
      </c>
      <c r="E1407" s="51" t="s">
        <v>407</v>
      </c>
      <c r="F1407" s="52">
        <v>19385.842160869499</v>
      </c>
      <c r="G1407" s="52">
        <v>5410</v>
      </c>
      <c r="H1407" s="52">
        <v>15650</v>
      </c>
      <c r="I1407" s="52">
        <v>21060</v>
      </c>
      <c r="J1407" s="51">
        <v>0</v>
      </c>
      <c r="K1407" s="54">
        <v>0</v>
      </c>
      <c r="L1407" s="51">
        <v>2</v>
      </c>
      <c r="M1407" s="54">
        <v>20000</v>
      </c>
      <c r="N1407" s="53">
        <f t="shared" si="42"/>
        <v>-20000</v>
      </c>
      <c r="O1407" s="53">
        <f t="shared" si="43"/>
        <v>20000</v>
      </c>
    </row>
    <row r="1408" spans="1:15" x14ac:dyDescent="0.2">
      <c r="A1408" s="51" t="s">
        <v>3567</v>
      </c>
      <c r="B1408" s="51" t="s">
        <v>3568</v>
      </c>
      <c r="C1408" s="51" t="s">
        <v>55</v>
      </c>
      <c r="D1408" s="51" t="s">
        <v>333</v>
      </c>
      <c r="E1408" s="51" t="s">
        <v>332</v>
      </c>
      <c r="F1408" s="52">
        <v>8545.00667552901</v>
      </c>
      <c r="G1408" s="52">
        <v>0</v>
      </c>
      <c r="H1408" s="52">
        <v>0</v>
      </c>
      <c r="I1408" s="52">
        <v>0</v>
      </c>
      <c r="J1408" s="51">
        <v>0</v>
      </c>
      <c r="K1408" s="54">
        <v>0</v>
      </c>
      <c r="L1408" s="51">
        <v>0</v>
      </c>
      <c r="M1408" s="54">
        <v>0</v>
      </c>
      <c r="N1408" s="53">
        <f t="shared" si="42"/>
        <v>0</v>
      </c>
      <c r="O1408" s="53">
        <f t="shared" si="43"/>
        <v>0</v>
      </c>
    </row>
    <row r="1409" spans="1:15" x14ac:dyDescent="0.2">
      <c r="A1409" s="51" t="s">
        <v>3567</v>
      </c>
      <c r="B1409" s="51" t="s">
        <v>3568</v>
      </c>
      <c r="C1409" s="51" t="s">
        <v>55</v>
      </c>
      <c r="D1409" s="51" t="s">
        <v>2879</v>
      </c>
      <c r="E1409" s="51" t="s">
        <v>2878</v>
      </c>
      <c r="F1409" s="52">
        <v>7146.4712889230505</v>
      </c>
      <c r="G1409" s="52">
        <v>11620</v>
      </c>
      <c r="H1409" s="52">
        <v>27610</v>
      </c>
      <c r="I1409" s="52">
        <v>39230</v>
      </c>
      <c r="J1409" s="51">
        <v>0</v>
      </c>
      <c r="K1409" s="54">
        <v>0</v>
      </c>
      <c r="L1409" s="51">
        <v>2</v>
      </c>
      <c r="M1409" s="54">
        <v>75000</v>
      </c>
      <c r="N1409" s="53">
        <f t="shared" si="42"/>
        <v>-75000</v>
      </c>
      <c r="O1409" s="53">
        <f t="shared" si="43"/>
        <v>75000</v>
      </c>
    </row>
    <row r="1410" spans="1:15" x14ac:dyDescent="0.2">
      <c r="A1410" s="51" t="s">
        <v>3567</v>
      </c>
      <c r="B1410" s="51" t="s">
        <v>3568</v>
      </c>
      <c r="C1410" s="51" t="s">
        <v>83</v>
      </c>
      <c r="D1410" s="51" t="s">
        <v>1072</v>
      </c>
      <c r="E1410" s="51" t="s">
        <v>1071</v>
      </c>
      <c r="F1410" s="52">
        <v>9217.4452999999994</v>
      </c>
      <c r="G1410" s="52">
        <v>150</v>
      </c>
      <c r="H1410" s="52">
        <v>0</v>
      </c>
      <c r="I1410" s="52">
        <v>150</v>
      </c>
      <c r="J1410" s="51">
        <v>1</v>
      </c>
      <c r="K1410" s="54">
        <v>5000</v>
      </c>
      <c r="L1410" s="51">
        <v>0</v>
      </c>
      <c r="M1410" s="54">
        <v>0</v>
      </c>
      <c r="N1410" s="53">
        <f t="shared" si="42"/>
        <v>5000</v>
      </c>
      <c r="O1410" s="53">
        <f t="shared" si="43"/>
        <v>-5000</v>
      </c>
    </row>
    <row r="1411" spans="1:15" x14ac:dyDescent="0.2">
      <c r="A1411" s="51" t="s">
        <v>3567</v>
      </c>
      <c r="B1411" s="51" t="s">
        <v>3568</v>
      </c>
      <c r="C1411" s="51" t="s">
        <v>66</v>
      </c>
      <c r="D1411" s="51" t="s">
        <v>1535</v>
      </c>
      <c r="E1411" s="51" t="s">
        <v>1534</v>
      </c>
      <c r="F1411" s="52">
        <v>4995.3208479515069</v>
      </c>
      <c r="G1411" s="52">
        <v>3140</v>
      </c>
      <c r="H1411" s="52">
        <v>71725</v>
      </c>
      <c r="I1411" s="52">
        <v>74865</v>
      </c>
      <c r="J1411" s="51">
        <v>0</v>
      </c>
      <c r="K1411" s="54">
        <v>0</v>
      </c>
      <c r="L1411" s="51">
        <v>2</v>
      </c>
      <c r="M1411" s="54">
        <v>70000</v>
      </c>
      <c r="N1411" s="53">
        <f t="shared" ref="N1411:N1474" si="44">K1411-M1411</f>
        <v>-70000</v>
      </c>
      <c r="O1411" s="53">
        <f t="shared" ref="O1411:O1474" si="45">M1411-K1411</f>
        <v>70000</v>
      </c>
    </row>
    <row r="1412" spans="1:15" x14ac:dyDescent="0.2">
      <c r="A1412" s="51" t="s">
        <v>3567</v>
      </c>
      <c r="B1412" s="51" t="s">
        <v>3568</v>
      </c>
      <c r="C1412" s="51" t="s">
        <v>78</v>
      </c>
      <c r="D1412" s="51" t="s">
        <v>1238</v>
      </c>
      <c r="E1412" s="51" t="s">
        <v>1237</v>
      </c>
      <c r="F1412" s="52">
        <v>4356.4341448908399</v>
      </c>
      <c r="G1412" s="52">
        <v>1000</v>
      </c>
      <c r="H1412" s="52">
        <v>8430</v>
      </c>
      <c r="I1412" s="52">
        <v>9430</v>
      </c>
      <c r="J1412" s="51">
        <v>1</v>
      </c>
      <c r="K1412" s="54">
        <v>5000</v>
      </c>
      <c r="L1412" s="51">
        <v>1</v>
      </c>
      <c r="M1412" s="54">
        <v>10000</v>
      </c>
      <c r="N1412" s="53">
        <f t="shared" si="44"/>
        <v>-5000</v>
      </c>
      <c r="O1412" s="53">
        <f t="shared" si="45"/>
        <v>5000</v>
      </c>
    </row>
    <row r="1413" spans="1:15" x14ac:dyDescent="0.2">
      <c r="A1413" s="51" t="s">
        <v>3567</v>
      </c>
      <c r="B1413" s="51" t="s">
        <v>3568</v>
      </c>
      <c r="C1413" s="51" t="s">
        <v>52</v>
      </c>
      <c r="D1413" s="51" t="s">
        <v>546</v>
      </c>
      <c r="E1413" s="51" t="s">
        <v>545</v>
      </c>
      <c r="F1413" s="52">
        <v>95.553336672926434</v>
      </c>
      <c r="G1413" s="52">
        <v>810</v>
      </c>
      <c r="H1413" s="52">
        <v>3900</v>
      </c>
      <c r="I1413" s="52">
        <v>4710</v>
      </c>
      <c r="J1413" s="51">
        <v>0</v>
      </c>
      <c r="K1413" s="54">
        <v>0</v>
      </c>
      <c r="L1413" s="51">
        <v>1</v>
      </c>
      <c r="M1413" s="54">
        <v>5000</v>
      </c>
      <c r="N1413" s="53">
        <f t="shared" si="44"/>
        <v>-5000</v>
      </c>
      <c r="O1413" s="53">
        <f t="shared" si="45"/>
        <v>5000</v>
      </c>
    </row>
    <row r="1414" spans="1:15" x14ac:dyDescent="0.2">
      <c r="A1414" s="51" t="s">
        <v>3567</v>
      </c>
      <c r="B1414" s="51" t="s">
        <v>3568</v>
      </c>
      <c r="C1414" s="51" t="s">
        <v>3633</v>
      </c>
      <c r="D1414" s="51" t="s">
        <v>4323</v>
      </c>
      <c r="E1414" s="51" t="s">
        <v>4324</v>
      </c>
      <c r="F1414" s="52">
        <v>1.0198753594980841</v>
      </c>
      <c r="G1414" s="52">
        <v>0</v>
      </c>
      <c r="H1414" s="52">
        <v>0</v>
      </c>
      <c r="I1414" s="52">
        <v>0</v>
      </c>
      <c r="J1414" s="51">
        <v>0</v>
      </c>
      <c r="K1414" s="54">
        <v>0</v>
      </c>
      <c r="L1414" s="51">
        <v>0</v>
      </c>
      <c r="M1414" s="54">
        <v>0</v>
      </c>
      <c r="N1414" s="53">
        <f t="shared" si="44"/>
        <v>0</v>
      </c>
      <c r="O1414" s="53">
        <f t="shared" si="45"/>
        <v>0</v>
      </c>
    </row>
    <row r="1415" spans="1:15" x14ac:dyDescent="0.2">
      <c r="A1415" s="51" t="s">
        <v>3567</v>
      </c>
      <c r="B1415" s="51" t="s">
        <v>3568</v>
      </c>
      <c r="C1415" s="51" t="s">
        <v>3597</v>
      </c>
      <c r="D1415" s="51" t="s">
        <v>4329</v>
      </c>
      <c r="E1415" s="51" t="s">
        <v>4330</v>
      </c>
      <c r="F1415" s="52">
        <v>9.5912000010000007</v>
      </c>
      <c r="G1415" s="52">
        <v>0</v>
      </c>
      <c r="H1415" s="52">
        <v>0</v>
      </c>
      <c r="I1415" s="52">
        <v>0</v>
      </c>
      <c r="J1415" s="51">
        <v>0</v>
      </c>
      <c r="K1415" s="54">
        <v>0</v>
      </c>
      <c r="L1415" s="51">
        <v>0</v>
      </c>
      <c r="M1415" s="54">
        <v>0</v>
      </c>
      <c r="N1415" s="53">
        <f t="shared" si="44"/>
        <v>0</v>
      </c>
      <c r="O1415" s="53">
        <f t="shared" si="45"/>
        <v>0</v>
      </c>
    </row>
    <row r="1416" spans="1:15" x14ac:dyDescent="0.2">
      <c r="A1416" s="51" t="s">
        <v>3567</v>
      </c>
      <c r="B1416" s="51" t="s">
        <v>3568</v>
      </c>
      <c r="C1416" s="51" t="s">
        <v>63</v>
      </c>
      <c r="D1416" s="51" t="s">
        <v>2316</v>
      </c>
      <c r="E1416" s="51" t="s">
        <v>2315</v>
      </c>
      <c r="F1416" s="52">
        <v>22448.728500000001</v>
      </c>
      <c r="G1416" s="52">
        <v>4825</v>
      </c>
      <c r="H1416" s="52">
        <v>20130</v>
      </c>
      <c r="I1416" s="52">
        <v>24955</v>
      </c>
      <c r="J1416" s="51">
        <v>0</v>
      </c>
      <c r="K1416" s="54">
        <v>0</v>
      </c>
      <c r="L1416" s="51">
        <v>1</v>
      </c>
      <c r="M1416" s="54">
        <v>10000</v>
      </c>
      <c r="N1416" s="53">
        <f t="shared" si="44"/>
        <v>-10000</v>
      </c>
      <c r="O1416" s="53">
        <f t="shared" si="45"/>
        <v>10000</v>
      </c>
    </row>
    <row r="1417" spans="1:15" x14ac:dyDescent="0.2">
      <c r="A1417" s="51" t="s">
        <v>3567</v>
      </c>
      <c r="B1417" s="51" t="s">
        <v>3568</v>
      </c>
      <c r="C1417" s="51" t="s">
        <v>3580</v>
      </c>
      <c r="D1417" s="51" t="s">
        <v>4274</v>
      </c>
      <c r="E1417" s="51" t="s">
        <v>4275</v>
      </c>
      <c r="F1417" s="52">
        <v>1.968399806488387</v>
      </c>
      <c r="G1417" s="52">
        <v>0</v>
      </c>
      <c r="H1417" s="52">
        <v>0</v>
      </c>
      <c r="I1417" s="52">
        <v>0</v>
      </c>
      <c r="J1417" s="51">
        <v>0</v>
      </c>
      <c r="K1417" s="54">
        <v>0</v>
      </c>
      <c r="L1417" s="51">
        <v>0</v>
      </c>
      <c r="M1417" s="54">
        <v>0</v>
      </c>
      <c r="N1417" s="53">
        <f t="shared" si="44"/>
        <v>0</v>
      </c>
      <c r="O1417" s="53">
        <f t="shared" si="45"/>
        <v>0</v>
      </c>
    </row>
    <row r="1418" spans="1:15" x14ac:dyDescent="0.2">
      <c r="A1418" s="51" t="s">
        <v>3567</v>
      </c>
      <c r="B1418" s="51" t="s">
        <v>3568</v>
      </c>
      <c r="C1418" s="51" t="s">
        <v>93</v>
      </c>
      <c r="D1418" s="51" t="s">
        <v>2791</v>
      </c>
      <c r="E1418" s="51" t="s">
        <v>2790</v>
      </c>
      <c r="F1418" s="52">
        <v>47993.109900000003</v>
      </c>
      <c r="G1418" s="52">
        <v>4520</v>
      </c>
      <c r="H1418" s="52">
        <v>5970</v>
      </c>
      <c r="I1418" s="52">
        <v>10490</v>
      </c>
      <c r="J1418" s="51">
        <v>1</v>
      </c>
      <c r="K1418" s="54">
        <v>15000</v>
      </c>
      <c r="L1418" s="51">
        <v>0</v>
      </c>
      <c r="M1418" s="54">
        <v>0</v>
      </c>
      <c r="N1418" s="53">
        <f t="shared" si="44"/>
        <v>15000</v>
      </c>
      <c r="O1418" s="53">
        <f t="shared" si="45"/>
        <v>-15000</v>
      </c>
    </row>
    <row r="1419" spans="1:15" x14ac:dyDescent="0.2">
      <c r="A1419" s="51" t="s">
        <v>3567</v>
      </c>
      <c r="B1419" s="51" t="s">
        <v>3568</v>
      </c>
      <c r="C1419" s="51" t="s">
        <v>74</v>
      </c>
      <c r="D1419" s="51" t="s">
        <v>1659</v>
      </c>
      <c r="E1419" s="51" t="s">
        <v>1658</v>
      </c>
      <c r="F1419" s="52">
        <v>8777.5718500000003</v>
      </c>
      <c r="G1419" s="52">
        <v>0</v>
      </c>
      <c r="H1419" s="52">
        <v>2550</v>
      </c>
      <c r="I1419" s="52">
        <v>2550</v>
      </c>
      <c r="J1419" s="51">
        <v>1</v>
      </c>
      <c r="K1419" s="54">
        <v>5000</v>
      </c>
      <c r="L1419" s="51">
        <v>0</v>
      </c>
      <c r="M1419" s="54">
        <v>0</v>
      </c>
      <c r="N1419" s="53">
        <f t="shared" si="44"/>
        <v>5000</v>
      </c>
      <c r="O1419" s="53">
        <f t="shared" si="45"/>
        <v>-5000</v>
      </c>
    </row>
    <row r="1420" spans="1:15" x14ac:dyDescent="0.2">
      <c r="A1420" s="51" t="s">
        <v>3567</v>
      </c>
      <c r="B1420" s="51" t="s">
        <v>3568</v>
      </c>
      <c r="C1420" s="51" t="s">
        <v>76</v>
      </c>
      <c r="D1420" s="51" t="s">
        <v>1290</v>
      </c>
      <c r="E1420" s="51" t="s">
        <v>1289</v>
      </c>
      <c r="F1420" s="52">
        <v>2593.7610067001801</v>
      </c>
      <c r="G1420" s="52">
        <v>4000</v>
      </c>
      <c r="H1420" s="52">
        <v>4450</v>
      </c>
      <c r="I1420" s="52">
        <v>8450</v>
      </c>
      <c r="J1420" s="51">
        <v>0</v>
      </c>
      <c r="K1420" s="54">
        <v>0</v>
      </c>
      <c r="L1420" s="51">
        <v>1</v>
      </c>
      <c r="M1420" s="54">
        <v>5000</v>
      </c>
      <c r="N1420" s="53">
        <f t="shared" si="44"/>
        <v>-5000</v>
      </c>
      <c r="O1420" s="53">
        <f t="shared" si="45"/>
        <v>5000</v>
      </c>
    </row>
    <row r="1421" spans="1:15" x14ac:dyDescent="0.2">
      <c r="A1421" s="51" t="s">
        <v>3567</v>
      </c>
      <c r="B1421" s="51" t="s">
        <v>3568</v>
      </c>
      <c r="C1421" s="51" t="s">
        <v>67</v>
      </c>
      <c r="D1421" s="51" t="s">
        <v>146</v>
      </c>
      <c r="E1421" s="51" t="s">
        <v>145</v>
      </c>
      <c r="F1421" s="52">
        <v>2965.9027999999998</v>
      </c>
      <c r="G1421" s="52">
        <v>5490</v>
      </c>
      <c r="H1421" s="52">
        <v>1920</v>
      </c>
      <c r="I1421" s="52">
        <v>7410</v>
      </c>
      <c r="J1421" s="51">
        <v>0</v>
      </c>
      <c r="K1421" s="54">
        <v>0</v>
      </c>
      <c r="L1421" s="51">
        <v>1</v>
      </c>
      <c r="M1421" s="54">
        <v>5000</v>
      </c>
      <c r="N1421" s="53">
        <f t="shared" si="44"/>
        <v>-5000</v>
      </c>
      <c r="O1421" s="53">
        <f t="shared" si="45"/>
        <v>5000</v>
      </c>
    </row>
    <row r="1422" spans="1:15" x14ac:dyDescent="0.2">
      <c r="A1422" s="51" t="s">
        <v>3567</v>
      </c>
      <c r="B1422" s="51" t="s">
        <v>3568</v>
      </c>
      <c r="C1422" s="51" t="s">
        <v>85</v>
      </c>
      <c r="D1422" s="51" t="s">
        <v>684</v>
      </c>
      <c r="E1422" s="51" t="s">
        <v>683</v>
      </c>
      <c r="F1422" s="52">
        <v>9.2388842184422248</v>
      </c>
      <c r="G1422" s="52">
        <v>0</v>
      </c>
      <c r="H1422" s="52">
        <v>0</v>
      </c>
      <c r="I1422" s="52">
        <v>0</v>
      </c>
      <c r="J1422" s="51">
        <v>0</v>
      </c>
      <c r="K1422" s="54">
        <v>0</v>
      </c>
      <c r="L1422" s="51">
        <v>0</v>
      </c>
      <c r="M1422" s="54">
        <v>0</v>
      </c>
      <c r="N1422" s="53">
        <f t="shared" si="44"/>
        <v>0</v>
      </c>
      <c r="O1422" s="53">
        <f t="shared" si="45"/>
        <v>0</v>
      </c>
    </row>
    <row r="1423" spans="1:15" x14ac:dyDescent="0.2">
      <c r="A1423" s="51" t="s">
        <v>3567</v>
      </c>
      <c r="B1423" s="51" t="s">
        <v>3568</v>
      </c>
      <c r="C1423" s="51" t="s">
        <v>65</v>
      </c>
      <c r="D1423" s="51" t="s">
        <v>1046</v>
      </c>
      <c r="E1423" s="51" t="s">
        <v>1045</v>
      </c>
      <c r="F1423" s="52">
        <v>424.39370000000002</v>
      </c>
      <c r="G1423" s="52">
        <v>17000</v>
      </c>
      <c r="H1423" s="52">
        <v>700</v>
      </c>
      <c r="I1423" s="52">
        <v>17700</v>
      </c>
      <c r="J1423" s="51">
        <v>1</v>
      </c>
      <c r="K1423" s="54">
        <v>15000</v>
      </c>
      <c r="L1423" s="51">
        <v>0</v>
      </c>
      <c r="M1423" s="54">
        <v>0</v>
      </c>
      <c r="N1423" s="53">
        <f t="shared" si="44"/>
        <v>15000</v>
      </c>
      <c r="O1423" s="53">
        <f t="shared" si="45"/>
        <v>-15000</v>
      </c>
    </row>
    <row r="1424" spans="1:15" x14ac:dyDescent="0.2">
      <c r="A1424" s="51" t="s">
        <v>3567</v>
      </c>
      <c r="B1424" s="51" t="s">
        <v>3568</v>
      </c>
      <c r="C1424" s="51" t="s">
        <v>57</v>
      </c>
      <c r="D1424" s="51" t="s">
        <v>2625</v>
      </c>
      <c r="E1424" s="51" t="s">
        <v>2624</v>
      </c>
      <c r="F1424" s="52">
        <v>10589.6113</v>
      </c>
      <c r="G1424" s="52">
        <v>0</v>
      </c>
      <c r="H1424" s="52">
        <v>19360</v>
      </c>
      <c r="I1424" s="52">
        <v>19360</v>
      </c>
      <c r="J1424" s="51">
        <v>0</v>
      </c>
      <c r="K1424" s="54">
        <v>0</v>
      </c>
      <c r="L1424" s="51">
        <v>1</v>
      </c>
      <c r="M1424" s="54">
        <v>9000</v>
      </c>
      <c r="N1424" s="53">
        <f t="shared" si="44"/>
        <v>-9000</v>
      </c>
      <c r="O1424" s="53">
        <f t="shared" si="45"/>
        <v>9000</v>
      </c>
    </row>
    <row r="1425" spans="1:15" x14ac:dyDescent="0.2">
      <c r="A1425" s="51" t="s">
        <v>3567</v>
      </c>
      <c r="B1425" s="51" t="s">
        <v>3568</v>
      </c>
      <c r="C1425" s="51" t="s">
        <v>3763</v>
      </c>
      <c r="D1425" s="51" t="s">
        <v>4346</v>
      </c>
      <c r="E1425" s="51" t="s">
        <v>4347</v>
      </c>
      <c r="F1425" s="52">
        <v>0.57928332380000003</v>
      </c>
      <c r="G1425" s="52">
        <v>0</v>
      </c>
      <c r="H1425" s="52">
        <v>0</v>
      </c>
      <c r="I1425" s="52">
        <v>0</v>
      </c>
      <c r="J1425" s="51">
        <v>0</v>
      </c>
      <c r="K1425" s="54">
        <v>0</v>
      </c>
      <c r="L1425" s="51">
        <v>0</v>
      </c>
      <c r="M1425" s="54">
        <v>0</v>
      </c>
      <c r="N1425" s="53">
        <f t="shared" si="44"/>
        <v>0</v>
      </c>
      <c r="O1425" s="53">
        <f t="shared" si="45"/>
        <v>0</v>
      </c>
    </row>
    <row r="1426" spans="1:15" x14ac:dyDescent="0.2">
      <c r="A1426" s="51" t="s">
        <v>3567</v>
      </c>
      <c r="B1426" s="51" t="s">
        <v>3568</v>
      </c>
      <c r="C1426" s="51" t="s">
        <v>65</v>
      </c>
      <c r="D1426" s="51" t="s">
        <v>4819</v>
      </c>
      <c r="E1426" s="51" t="s">
        <v>4820</v>
      </c>
      <c r="F1426" s="52">
        <v>9425.3585000000003</v>
      </c>
      <c r="G1426" s="52">
        <v>500</v>
      </c>
      <c r="H1426" s="52">
        <v>0</v>
      </c>
      <c r="I1426" s="52">
        <v>500</v>
      </c>
      <c r="J1426" s="51">
        <v>0</v>
      </c>
      <c r="K1426" s="54">
        <v>0</v>
      </c>
      <c r="L1426" s="51">
        <v>1</v>
      </c>
      <c r="M1426" s="54">
        <v>5000</v>
      </c>
      <c r="N1426" s="53">
        <f t="shared" si="44"/>
        <v>-5000</v>
      </c>
      <c r="O1426" s="53">
        <f t="shared" si="45"/>
        <v>5000</v>
      </c>
    </row>
    <row r="1427" spans="1:15" x14ac:dyDescent="0.2">
      <c r="A1427" s="51" t="s">
        <v>3567</v>
      </c>
      <c r="B1427" s="51" t="s">
        <v>3568</v>
      </c>
      <c r="C1427" s="51" t="s">
        <v>79</v>
      </c>
      <c r="D1427" s="51" t="s">
        <v>835</v>
      </c>
      <c r="E1427" s="51" t="s">
        <v>834</v>
      </c>
      <c r="F1427" s="52">
        <v>3594.5303596117928</v>
      </c>
      <c r="G1427" s="52">
        <v>0</v>
      </c>
      <c r="H1427" s="52">
        <v>0</v>
      </c>
      <c r="I1427" s="52">
        <v>0</v>
      </c>
      <c r="J1427" s="51">
        <v>0</v>
      </c>
      <c r="K1427" s="54">
        <v>0</v>
      </c>
      <c r="L1427" s="51">
        <v>1</v>
      </c>
      <c r="M1427" s="54">
        <v>10000</v>
      </c>
      <c r="N1427" s="53">
        <f t="shared" si="44"/>
        <v>-10000</v>
      </c>
      <c r="O1427" s="53">
        <f t="shared" si="45"/>
        <v>10000</v>
      </c>
    </row>
    <row r="1428" spans="1:15" x14ac:dyDescent="0.2">
      <c r="A1428" s="51" t="s">
        <v>3567</v>
      </c>
      <c r="B1428" s="51" t="s">
        <v>3568</v>
      </c>
      <c r="C1428" s="51" t="s">
        <v>86</v>
      </c>
      <c r="D1428" s="51" t="s">
        <v>1606</v>
      </c>
      <c r="E1428" s="51" t="s">
        <v>1605</v>
      </c>
      <c r="F1428" s="52">
        <v>1632.2902682178669</v>
      </c>
      <c r="G1428" s="52">
        <v>4560</v>
      </c>
      <c r="H1428" s="52">
        <v>45160</v>
      </c>
      <c r="I1428" s="52">
        <v>49720</v>
      </c>
      <c r="J1428" s="51">
        <v>0</v>
      </c>
      <c r="K1428" s="54">
        <v>0</v>
      </c>
      <c r="L1428" s="51">
        <v>3</v>
      </c>
      <c r="M1428" s="54">
        <v>70000</v>
      </c>
      <c r="N1428" s="53">
        <f t="shared" si="44"/>
        <v>-70000</v>
      </c>
      <c r="O1428" s="53">
        <f t="shared" si="45"/>
        <v>70000</v>
      </c>
    </row>
    <row r="1429" spans="1:15" x14ac:dyDescent="0.2">
      <c r="A1429" s="51" t="s">
        <v>3567</v>
      </c>
      <c r="B1429" s="51" t="s">
        <v>3568</v>
      </c>
      <c r="C1429" s="51" t="s">
        <v>70</v>
      </c>
      <c r="D1429" s="51" t="s">
        <v>666</v>
      </c>
      <c r="E1429" s="51" t="s">
        <v>665</v>
      </c>
      <c r="F1429" s="52">
        <v>24.842248000000001</v>
      </c>
      <c r="G1429" s="52">
        <v>100</v>
      </c>
      <c r="H1429" s="52">
        <v>0</v>
      </c>
      <c r="I1429" s="52">
        <v>100</v>
      </c>
      <c r="J1429" s="51">
        <v>1</v>
      </c>
      <c r="K1429" s="54">
        <v>5000</v>
      </c>
      <c r="L1429" s="51">
        <v>0</v>
      </c>
      <c r="M1429" s="54">
        <v>0</v>
      </c>
      <c r="N1429" s="53">
        <f t="shared" si="44"/>
        <v>5000</v>
      </c>
      <c r="O1429" s="53">
        <f t="shared" si="45"/>
        <v>-5000</v>
      </c>
    </row>
    <row r="1430" spans="1:15" x14ac:dyDescent="0.2">
      <c r="A1430" s="51" t="s">
        <v>3567</v>
      </c>
      <c r="B1430" s="51" t="s">
        <v>3568</v>
      </c>
      <c r="C1430" s="51" t="s">
        <v>76</v>
      </c>
      <c r="D1430" s="51" t="s">
        <v>4367</v>
      </c>
      <c r="E1430" s="51" t="s">
        <v>4368</v>
      </c>
      <c r="F1430" s="52">
        <v>6.4713061698304619</v>
      </c>
      <c r="G1430" s="52">
        <v>0</v>
      </c>
      <c r="H1430" s="52">
        <v>0</v>
      </c>
      <c r="I1430" s="52">
        <v>0</v>
      </c>
      <c r="J1430" s="51">
        <v>0</v>
      </c>
      <c r="K1430" s="54">
        <v>0</v>
      </c>
      <c r="L1430" s="51">
        <v>0</v>
      </c>
      <c r="M1430" s="54">
        <v>0</v>
      </c>
      <c r="N1430" s="53">
        <f t="shared" si="44"/>
        <v>0</v>
      </c>
      <c r="O1430" s="53">
        <f t="shared" si="45"/>
        <v>0</v>
      </c>
    </row>
    <row r="1431" spans="1:15" x14ac:dyDescent="0.2">
      <c r="A1431" s="51" t="s">
        <v>3567</v>
      </c>
      <c r="B1431" s="51" t="s">
        <v>3568</v>
      </c>
      <c r="C1431" s="51" t="s">
        <v>63</v>
      </c>
      <c r="D1431" s="51" t="s">
        <v>3527</v>
      </c>
      <c r="E1431" s="51" t="s">
        <v>3526</v>
      </c>
      <c r="F1431" s="52">
        <v>15880.2</v>
      </c>
      <c r="G1431" s="52">
        <v>1670</v>
      </c>
      <c r="H1431" s="52">
        <v>7800</v>
      </c>
      <c r="I1431" s="52">
        <v>9470</v>
      </c>
      <c r="J1431" s="51">
        <v>1</v>
      </c>
      <c r="K1431" s="54">
        <v>5000</v>
      </c>
      <c r="L1431" s="51">
        <v>0</v>
      </c>
      <c r="M1431" s="54">
        <v>0</v>
      </c>
      <c r="N1431" s="53">
        <f t="shared" si="44"/>
        <v>5000</v>
      </c>
      <c r="O1431" s="53">
        <f t="shared" si="45"/>
        <v>-5000</v>
      </c>
    </row>
    <row r="1432" spans="1:15" x14ac:dyDescent="0.2">
      <c r="A1432" s="51" t="s">
        <v>3567</v>
      </c>
      <c r="B1432" s="51" t="s">
        <v>3568</v>
      </c>
      <c r="C1432" s="51" t="s">
        <v>75</v>
      </c>
      <c r="D1432" s="51" t="s">
        <v>3485</v>
      </c>
      <c r="E1432" s="51" t="s">
        <v>3484</v>
      </c>
      <c r="F1432" s="52">
        <v>11358.912</v>
      </c>
      <c r="G1432" s="52">
        <v>0</v>
      </c>
      <c r="H1432" s="52">
        <v>0</v>
      </c>
      <c r="I1432" s="52">
        <v>0</v>
      </c>
      <c r="J1432" s="51">
        <v>1</v>
      </c>
      <c r="K1432" s="54">
        <v>6000</v>
      </c>
      <c r="L1432" s="51">
        <v>0</v>
      </c>
      <c r="M1432" s="54">
        <v>0</v>
      </c>
      <c r="N1432" s="53">
        <f t="shared" si="44"/>
        <v>6000</v>
      </c>
      <c r="O1432" s="53">
        <f t="shared" si="45"/>
        <v>-6000</v>
      </c>
    </row>
    <row r="1433" spans="1:15" x14ac:dyDescent="0.2">
      <c r="A1433" s="51" t="s">
        <v>3567</v>
      </c>
      <c r="B1433" s="51" t="s">
        <v>3568</v>
      </c>
      <c r="C1433" s="51" t="s">
        <v>58</v>
      </c>
      <c r="D1433" s="51" t="s">
        <v>599</v>
      </c>
      <c r="E1433" s="51" t="s">
        <v>598</v>
      </c>
      <c r="F1433" s="52">
        <v>645.88379999999995</v>
      </c>
      <c r="G1433" s="52">
        <v>9315</v>
      </c>
      <c r="H1433" s="52">
        <v>1500</v>
      </c>
      <c r="I1433" s="52">
        <v>10815</v>
      </c>
      <c r="J1433" s="51">
        <v>1</v>
      </c>
      <c r="K1433" s="54">
        <v>7000</v>
      </c>
      <c r="L1433" s="51">
        <v>0</v>
      </c>
      <c r="M1433" s="54">
        <v>0</v>
      </c>
      <c r="N1433" s="53">
        <f t="shared" si="44"/>
        <v>7000</v>
      </c>
      <c r="O1433" s="53">
        <f t="shared" si="45"/>
        <v>-7000</v>
      </c>
    </row>
    <row r="1434" spans="1:15" x14ac:dyDescent="0.2">
      <c r="A1434" s="51" t="s">
        <v>3567</v>
      </c>
      <c r="B1434" s="51" t="s">
        <v>3568</v>
      </c>
      <c r="C1434" s="51" t="s">
        <v>63</v>
      </c>
      <c r="D1434" s="51" t="s">
        <v>2766</v>
      </c>
      <c r="E1434" s="51" t="s">
        <v>2765</v>
      </c>
      <c r="F1434" s="52">
        <v>132.4074228489529</v>
      </c>
      <c r="G1434" s="52">
        <v>0</v>
      </c>
      <c r="H1434" s="52">
        <v>5000</v>
      </c>
      <c r="I1434" s="52">
        <v>5000</v>
      </c>
      <c r="J1434" s="51">
        <v>0</v>
      </c>
      <c r="K1434" s="54">
        <v>0</v>
      </c>
      <c r="L1434" s="51">
        <v>1</v>
      </c>
      <c r="M1434" s="54">
        <v>5000</v>
      </c>
      <c r="N1434" s="53">
        <f t="shared" si="44"/>
        <v>-5000</v>
      </c>
      <c r="O1434" s="53">
        <f t="shared" si="45"/>
        <v>5000</v>
      </c>
    </row>
    <row r="1435" spans="1:15" x14ac:dyDescent="0.2">
      <c r="A1435" s="51" t="s">
        <v>3567</v>
      </c>
      <c r="B1435" s="51" t="s">
        <v>3568</v>
      </c>
      <c r="C1435" s="51" t="s">
        <v>58</v>
      </c>
      <c r="D1435" s="51" t="s">
        <v>2423</v>
      </c>
      <c r="E1435" s="51" t="s">
        <v>2422</v>
      </c>
      <c r="F1435" s="52">
        <v>14942.1613000003</v>
      </c>
      <c r="G1435" s="52">
        <v>4200</v>
      </c>
      <c r="H1435" s="52">
        <v>320</v>
      </c>
      <c r="I1435" s="52">
        <v>4520</v>
      </c>
      <c r="J1435" s="51">
        <v>1</v>
      </c>
      <c r="K1435" s="54">
        <v>5000</v>
      </c>
      <c r="L1435" s="51">
        <v>0</v>
      </c>
      <c r="M1435" s="54">
        <v>0</v>
      </c>
      <c r="N1435" s="53">
        <f t="shared" si="44"/>
        <v>5000</v>
      </c>
      <c r="O1435" s="53">
        <f t="shared" si="45"/>
        <v>-5000</v>
      </c>
    </row>
    <row r="1436" spans="1:15" x14ac:dyDescent="0.2">
      <c r="A1436" s="51" t="s">
        <v>3567</v>
      </c>
      <c r="B1436" s="51" t="s">
        <v>3568</v>
      </c>
      <c r="C1436" s="51" t="s">
        <v>55</v>
      </c>
      <c r="D1436" s="51" t="s">
        <v>1608</v>
      </c>
      <c r="E1436" s="51" t="s">
        <v>1607</v>
      </c>
      <c r="F1436" s="52">
        <v>37.193488334134152</v>
      </c>
      <c r="G1436" s="52">
        <v>12630</v>
      </c>
      <c r="H1436" s="52">
        <v>19475</v>
      </c>
      <c r="I1436" s="52">
        <v>32105</v>
      </c>
      <c r="J1436" s="51">
        <v>0</v>
      </c>
      <c r="K1436" s="54">
        <v>0</v>
      </c>
      <c r="L1436" s="51">
        <v>2</v>
      </c>
      <c r="M1436" s="54">
        <v>13000</v>
      </c>
      <c r="N1436" s="53">
        <f t="shared" si="44"/>
        <v>-13000</v>
      </c>
      <c r="O1436" s="53">
        <f t="shared" si="45"/>
        <v>13000</v>
      </c>
    </row>
    <row r="1437" spans="1:15" x14ac:dyDescent="0.2">
      <c r="A1437" s="51" t="s">
        <v>3567</v>
      </c>
      <c r="B1437" s="51" t="s">
        <v>3568</v>
      </c>
      <c r="C1437" s="51" t="s">
        <v>77</v>
      </c>
      <c r="D1437" s="51" t="s">
        <v>1282</v>
      </c>
      <c r="E1437" s="51" t="s">
        <v>1281</v>
      </c>
      <c r="F1437" s="52">
        <v>21032.9473</v>
      </c>
      <c r="G1437" s="52">
        <v>500</v>
      </c>
      <c r="H1437" s="52">
        <v>12900</v>
      </c>
      <c r="I1437" s="52">
        <v>13400</v>
      </c>
      <c r="J1437" s="51">
        <v>1</v>
      </c>
      <c r="K1437" s="54">
        <v>5000</v>
      </c>
      <c r="L1437" s="51">
        <v>0</v>
      </c>
      <c r="M1437" s="54">
        <v>0</v>
      </c>
      <c r="N1437" s="53">
        <f t="shared" si="44"/>
        <v>5000</v>
      </c>
      <c r="O1437" s="53">
        <f t="shared" si="45"/>
        <v>-5000</v>
      </c>
    </row>
    <row r="1438" spans="1:15" x14ac:dyDescent="0.2">
      <c r="A1438" s="51" t="s">
        <v>3567</v>
      </c>
      <c r="B1438" s="51" t="s">
        <v>3568</v>
      </c>
      <c r="C1438" s="51" t="s">
        <v>83</v>
      </c>
      <c r="D1438" s="51" t="s">
        <v>2803</v>
      </c>
      <c r="E1438" s="51" t="s">
        <v>2802</v>
      </c>
      <c r="F1438" s="52">
        <v>0.53424678247141855</v>
      </c>
      <c r="G1438" s="52">
        <v>50</v>
      </c>
      <c r="H1438" s="52">
        <v>252</v>
      </c>
      <c r="I1438" s="52">
        <v>302</v>
      </c>
      <c r="J1438" s="51">
        <v>1</v>
      </c>
      <c r="K1438" s="54">
        <v>5000</v>
      </c>
      <c r="L1438" s="51">
        <v>1</v>
      </c>
      <c r="M1438" s="54">
        <v>9999</v>
      </c>
      <c r="N1438" s="53">
        <f t="shared" si="44"/>
        <v>-4999</v>
      </c>
      <c r="O1438" s="53">
        <f t="shared" si="45"/>
        <v>4999</v>
      </c>
    </row>
    <row r="1439" spans="1:15" x14ac:dyDescent="0.2">
      <c r="A1439" s="51" t="s">
        <v>3567</v>
      </c>
      <c r="B1439" s="51" t="s">
        <v>3568</v>
      </c>
      <c r="C1439" s="51" t="s">
        <v>3684</v>
      </c>
      <c r="D1439" s="51" t="s">
        <v>4309</v>
      </c>
      <c r="E1439" s="51" t="s">
        <v>4310</v>
      </c>
      <c r="F1439" s="52">
        <v>3.7683</v>
      </c>
      <c r="G1439" s="52">
        <v>0</v>
      </c>
      <c r="H1439" s="52">
        <v>0</v>
      </c>
      <c r="I1439" s="52">
        <v>0</v>
      </c>
      <c r="J1439" s="51">
        <v>0</v>
      </c>
      <c r="K1439" s="54">
        <v>0</v>
      </c>
      <c r="L1439" s="51">
        <v>0</v>
      </c>
      <c r="M1439" s="54">
        <v>0</v>
      </c>
      <c r="N1439" s="53">
        <f t="shared" si="44"/>
        <v>0</v>
      </c>
      <c r="O1439" s="53">
        <f t="shared" si="45"/>
        <v>0</v>
      </c>
    </row>
    <row r="1440" spans="1:15" x14ac:dyDescent="0.2">
      <c r="A1440" s="51" t="s">
        <v>3567</v>
      </c>
      <c r="B1440" s="51" t="s">
        <v>3568</v>
      </c>
      <c r="C1440" s="51" t="s">
        <v>3674</v>
      </c>
      <c r="D1440" s="51" t="s">
        <v>4321</v>
      </c>
      <c r="E1440" s="51" t="s">
        <v>4322</v>
      </c>
      <c r="F1440" s="52">
        <v>9.2657102639355511</v>
      </c>
      <c r="G1440" s="52">
        <v>0</v>
      </c>
      <c r="H1440" s="52">
        <v>0</v>
      </c>
      <c r="I1440" s="52">
        <v>0</v>
      </c>
      <c r="J1440" s="51">
        <v>0</v>
      </c>
      <c r="K1440" s="54">
        <v>0</v>
      </c>
      <c r="L1440" s="51">
        <v>0</v>
      </c>
      <c r="M1440" s="54">
        <v>0</v>
      </c>
      <c r="N1440" s="53">
        <f t="shared" si="44"/>
        <v>0</v>
      </c>
      <c r="O1440" s="53">
        <f t="shared" si="45"/>
        <v>0</v>
      </c>
    </row>
    <row r="1441" spans="1:15" x14ac:dyDescent="0.2">
      <c r="A1441" s="51" t="s">
        <v>3567</v>
      </c>
      <c r="B1441" s="51" t="s">
        <v>3568</v>
      </c>
      <c r="C1441" s="51" t="s">
        <v>75</v>
      </c>
      <c r="D1441" s="51" t="s">
        <v>932</v>
      </c>
      <c r="E1441" s="51" t="s">
        <v>931</v>
      </c>
      <c r="F1441" s="52">
        <v>3178.5311999999999</v>
      </c>
      <c r="G1441" s="52">
        <v>14700</v>
      </c>
      <c r="H1441" s="52">
        <v>1320</v>
      </c>
      <c r="I1441" s="52">
        <v>16020</v>
      </c>
      <c r="J1441" s="51">
        <v>2</v>
      </c>
      <c r="K1441" s="54">
        <v>10000</v>
      </c>
      <c r="L1441" s="51">
        <v>0</v>
      </c>
      <c r="M1441" s="54">
        <v>0</v>
      </c>
      <c r="N1441" s="53">
        <f t="shared" si="44"/>
        <v>10000</v>
      </c>
      <c r="O1441" s="53">
        <f t="shared" si="45"/>
        <v>-10000</v>
      </c>
    </row>
    <row r="1442" spans="1:15" x14ac:dyDescent="0.2">
      <c r="A1442" s="51" t="s">
        <v>3567</v>
      </c>
      <c r="B1442" s="51" t="s">
        <v>3568</v>
      </c>
      <c r="C1442" s="51" t="s">
        <v>53</v>
      </c>
      <c r="D1442" s="51" t="s">
        <v>1985</v>
      </c>
      <c r="E1442" s="51" t="s">
        <v>1984</v>
      </c>
      <c r="F1442" s="52">
        <v>14210.061398438909</v>
      </c>
      <c r="G1442" s="52">
        <v>16810</v>
      </c>
      <c r="H1442" s="52">
        <v>11705</v>
      </c>
      <c r="I1442" s="52">
        <v>28515</v>
      </c>
      <c r="J1442" s="51">
        <v>1</v>
      </c>
      <c r="K1442" s="54">
        <v>5000</v>
      </c>
      <c r="L1442" s="51">
        <v>0</v>
      </c>
      <c r="M1442" s="54">
        <v>0</v>
      </c>
      <c r="N1442" s="53">
        <f t="shared" si="44"/>
        <v>5000</v>
      </c>
      <c r="O1442" s="53">
        <f t="shared" si="45"/>
        <v>-5000</v>
      </c>
    </row>
    <row r="1443" spans="1:15" x14ac:dyDescent="0.2">
      <c r="A1443" s="51" t="s">
        <v>3567</v>
      </c>
      <c r="B1443" s="51" t="s">
        <v>3568</v>
      </c>
      <c r="C1443" s="51" t="s">
        <v>54</v>
      </c>
      <c r="D1443" s="51" t="s">
        <v>3023</v>
      </c>
      <c r="E1443" s="51" t="s">
        <v>3022</v>
      </c>
      <c r="F1443" s="52">
        <v>2183.6156900741039</v>
      </c>
      <c r="G1443" s="52">
        <v>4000</v>
      </c>
      <c r="H1443" s="52">
        <v>0</v>
      </c>
      <c r="I1443" s="52">
        <v>4000</v>
      </c>
      <c r="J1443" s="51">
        <v>1</v>
      </c>
      <c r="K1443" s="54">
        <v>5000</v>
      </c>
      <c r="L1443" s="51">
        <v>0</v>
      </c>
      <c r="M1443" s="54">
        <v>0</v>
      </c>
      <c r="N1443" s="53">
        <f t="shared" si="44"/>
        <v>5000</v>
      </c>
      <c r="O1443" s="53">
        <f t="shared" si="45"/>
        <v>-5000</v>
      </c>
    </row>
    <row r="1444" spans="1:15" x14ac:dyDescent="0.2">
      <c r="A1444" s="51" t="s">
        <v>3567</v>
      </c>
      <c r="B1444" s="51" t="s">
        <v>3568</v>
      </c>
      <c r="C1444" s="51" t="s">
        <v>84</v>
      </c>
      <c r="D1444" s="51" t="s">
        <v>3170</v>
      </c>
      <c r="E1444" s="51" t="s">
        <v>3169</v>
      </c>
      <c r="F1444" s="52">
        <v>5938.3826369751441</v>
      </c>
      <c r="G1444" s="52">
        <v>0</v>
      </c>
      <c r="H1444" s="52">
        <v>4500</v>
      </c>
      <c r="I1444" s="52">
        <v>4500</v>
      </c>
      <c r="J1444" s="51">
        <v>0</v>
      </c>
      <c r="K1444" s="54">
        <v>0</v>
      </c>
      <c r="L1444" s="51">
        <v>1</v>
      </c>
      <c r="M1444" s="54">
        <v>16000</v>
      </c>
      <c r="N1444" s="53">
        <f t="shared" si="44"/>
        <v>-16000</v>
      </c>
      <c r="O1444" s="53">
        <f t="shared" si="45"/>
        <v>16000</v>
      </c>
    </row>
    <row r="1445" spans="1:15" x14ac:dyDescent="0.2">
      <c r="A1445" s="51" t="s">
        <v>3567</v>
      </c>
      <c r="B1445" s="51" t="s">
        <v>3568</v>
      </c>
      <c r="C1445" s="51" t="s">
        <v>78</v>
      </c>
      <c r="D1445" s="51" t="s">
        <v>1549</v>
      </c>
      <c r="E1445" s="51" t="s">
        <v>1548</v>
      </c>
      <c r="F1445" s="52">
        <v>30.174727000000001</v>
      </c>
      <c r="G1445" s="52">
        <v>0</v>
      </c>
      <c r="H1445" s="52">
        <v>0</v>
      </c>
      <c r="I1445" s="52">
        <v>0</v>
      </c>
      <c r="J1445" s="51">
        <v>0</v>
      </c>
      <c r="K1445" s="54">
        <v>0</v>
      </c>
      <c r="L1445" s="51">
        <v>0</v>
      </c>
      <c r="M1445" s="54">
        <v>0</v>
      </c>
      <c r="N1445" s="53">
        <f t="shared" si="44"/>
        <v>0</v>
      </c>
      <c r="O1445" s="53">
        <f t="shared" si="45"/>
        <v>0</v>
      </c>
    </row>
    <row r="1446" spans="1:15" x14ac:dyDescent="0.2">
      <c r="A1446" s="51" t="s">
        <v>3567</v>
      </c>
      <c r="B1446" s="51" t="s">
        <v>3568</v>
      </c>
      <c r="C1446" s="51" t="s">
        <v>4149</v>
      </c>
      <c r="D1446" s="51" t="s">
        <v>4396</v>
      </c>
      <c r="E1446" s="51" t="s">
        <v>4397</v>
      </c>
      <c r="F1446" s="52">
        <v>53.300589549901566</v>
      </c>
      <c r="G1446" s="52">
        <v>0</v>
      </c>
      <c r="H1446" s="52">
        <v>0</v>
      </c>
      <c r="I1446" s="52">
        <v>0</v>
      </c>
      <c r="J1446" s="51">
        <v>0</v>
      </c>
      <c r="K1446" s="54">
        <v>0</v>
      </c>
      <c r="L1446" s="51">
        <v>0</v>
      </c>
      <c r="M1446" s="54">
        <v>0</v>
      </c>
      <c r="N1446" s="53">
        <f t="shared" si="44"/>
        <v>0</v>
      </c>
      <c r="O1446" s="53">
        <f t="shared" si="45"/>
        <v>0</v>
      </c>
    </row>
    <row r="1447" spans="1:15" x14ac:dyDescent="0.2">
      <c r="A1447" s="51" t="s">
        <v>3567</v>
      </c>
      <c r="B1447" s="51" t="s">
        <v>3568</v>
      </c>
      <c r="C1447" s="51" t="s">
        <v>3756</v>
      </c>
      <c r="D1447" s="51" t="s">
        <v>4335</v>
      </c>
      <c r="E1447" s="51" t="s">
        <v>4336</v>
      </c>
      <c r="F1447" s="52">
        <v>5.2756213369502873</v>
      </c>
      <c r="G1447" s="52">
        <v>0</v>
      </c>
      <c r="H1447" s="52">
        <v>0</v>
      </c>
      <c r="I1447" s="52">
        <v>0</v>
      </c>
      <c r="J1447" s="51">
        <v>0</v>
      </c>
      <c r="K1447" s="54">
        <v>0</v>
      </c>
      <c r="L1447" s="51">
        <v>0</v>
      </c>
      <c r="M1447" s="54">
        <v>0</v>
      </c>
      <c r="N1447" s="53">
        <f t="shared" si="44"/>
        <v>0</v>
      </c>
      <c r="O1447" s="53">
        <f t="shared" si="45"/>
        <v>0</v>
      </c>
    </row>
    <row r="1448" spans="1:15" x14ac:dyDescent="0.2">
      <c r="A1448" s="51" t="s">
        <v>3567</v>
      </c>
      <c r="B1448" s="51" t="s">
        <v>3568</v>
      </c>
      <c r="C1448" s="51" t="s">
        <v>93</v>
      </c>
      <c r="D1448" s="51" t="s">
        <v>552</v>
      </c>
      <c r="E1448" s="51" t="s">
        <v>551</v>
      </c>
      <c r="F1448" s="52">
        <v>1025.3809942166999</v>
      </c>
      <c r="G1448" s="52">
        <v>0</v>
      </c>
      <c r="H1448" s="52">
        <v>400</v>
      </c>
      <c r="I1448" s="52">
        <v>400</v>
      </c>
      <c r="J1448" s="51">
        <v>0</v>
      </c>
      <c r="K1448" s="54">
        <v>0</v>
      </c>
      <c r="L1448" s="51">
        <v>1</v>
      </c>
      <c r="M1448" s="54">
        <v>18000</v>
      </c>
      <c r="N1448" s="53">
        <f t="shared" si="44"/>
        <v>-18000</v>
      </c>
      <c r="O1448" s="53">
        <f t="shared" si="45"/>
        <v>18000</v>
      </c>
    </row>
    <row r="1449" spans="1:15" x14ac:dyDescent="0.2">
      <c r="A1449" s="51" t="s">
        <v>3567</v>
      </c>
      <c r="B1449" s="51" t="s">
        <v>3568</v>
      </c>
      <c r="C1449" s="51" t="s">
        <v>87</v>
      </c>
      <c r="D1449" s="51" t="s">
        <v>2536</v>
      </c>
      <c r="E1449" s="51" t="s">
        <v>2535</v>
      </c>
      <c r="F1449" s="52">
        <v>2518.373054900911</v>
      </c>
      <c r="G1449" s="52">
        <v>3125</v>
      </c>
      <c r="H1449" s="52">
        <v>6405</v>
      </c>
      <c r="I1449" s="52">
        <v>9530</v>
      </c>
      <c r="J1449" s="51">
        <v>0</v>
      </c>
      <c r="K1449" s="54">
        <v>0</v>
      </c>
      <c r="L1449" s="51">
        <v>1</v>
      </c>
      <c r="M1449" s="54">
        <v>7000</v>
      </c>
      <c r="N1449" s="53">
        <f t="shared" si="44"/>
        <v>-7000</v>
      </c>
      <c r="O1449" s="53">
        <f t="shared" si="45"/>
        <v>7000</v>
      </c>
    </row>
    <row r="1450" spans="1:15" x14ac:dyDescent="0.2">
      <c r="A1450" s="51" t="s">
        <v>3567</v>
      </c>
      <c r="B1450" s="51" t="s">
        <v>3568</v>
      </c>
      <c r="C1450" s="51" t="s">
        <v>64</v>
      </c>
      <c r="D1450" s="51" t="s">
        <v>1725</v>
      </c>
      <c r="E1450" s="51" t="s">
        <v>1724</v>
      </c>
      <c r="F1450" s="52">
        <v>4678.1722</v>
      </c>
      <c r="G1450" s="52">
        <v>250</v>
      </c>
      <c r="H1450" s="52">
        <v>0</v>
      </c>
      <c r="I1450" s="52">
        <v>250</v>
      </c>
      <c r="J1450" s="51">
        <v>0</v>
      </c>
      <c r="K1450" s="54">
        <v>0</v>
      </c>
      <c r="L1450" s="51">
        <v>1</v>
      </c>
      <c r="M1450" s="54">
        <v>5000</v>
      </c>
      <c r="N1450" s="53">
        <f t="shared" si="44"/>
        <v>-5000</v>
      </c>
      <c r="O1450" s="53">
        <f t="shared" si="45"/>
        <v>5000</v>
      </c>
    </row>
    <row r="1451" spans="1:15" x14ac:dyDescent="0.2">
      <c r="A1451" s="51" t="s">
        <v>3567</v>
      </c>
      <c r="B1451" s="51" t="s">
        <v>3568</v>
      </c>
      <c r="C1451" s="51" t="s">
        <v>3610</v>
      </c>
      <c r="D1451" s="51" t="s">
        <v>4389</v>
      </c>
      <c r="E1451" s="51" t="s">
        <v>4390</v>
      </c>
      <c r="F1451" s="52">
        <v>1.5669360151293339</v>
      </c>
      <c r="G1451" s="52">
        <v>0</v>
      </c>
      <c r="H1451" s="52">
        <v>0</v>
      </c>
      <c r="I1451" s="52">
        <v>0</v>
      </c>
      <c r="J1451" s="51">
        <v>0</v>
      </c>
      <c r="K1451" s="54">
        <v>0</v>
      </c>
      <c r="L1451" s="51">
        <v>0</v>
      </c>
      <c r="M1451" s="54">
        <v>0</v>
      </c>
      <c r="N1451" s="53">
        <f t="shared" si="44"/>
        <v>0</v>
      </c>
      <c r="O1451" s="53">
        <f t="shared" si="45"/>
        <v>0</v>
      </c>
    </row>
    <row r="1452" spans="1:15" x14ac:dyDescent="0.2">
      <c r="A1452" s="51" t="s">
        <v>3567</v>
      </c>
      <c r="B1452" s="51" t="s">
        <v>3568</v>
      </c>
      <c r="C1452" s="51" t="s">
        <v>3571</v>
      </c>
      <c r="D1452" s="51" t="s">
        <v>4356</v>
      </c>
      <c r="E1452" s="51" t="s">
        <v>4357</v>
      </c>
      <c r="F1452" s="52">
        <v>19.962800000000001</v>
      </c>
      <c r="G1452" s="52">
        <v>0</v>
      </c>
      <c r="H1452" s="52">
        <v>0</v>
      </c>
      <c r="I1452" s="52">
        <v>0</v>
      </c>
      <c r="J1452" s="51">
        <v>0</v>
      </c>
      <c r="K1452" s="54">
        <v>0</v>
      </c>
      <c r="L1452" s="51">
        <v>0</v>
      </c>
      <c r="M1452" s="54">
        <v>0</v>
      </c>
      <c r="N1452" s="53">
        <f t="shared" si="44"/>
        <v>0</v>
      </c>
      <c r="O1452" s="53">
        <f t="shared" si="45"/>
        <v>0</v>
      </c>
    </row>
    <row r="1453" spans="1:15" x14ac:dyDescent="0.2">
      <c r="A1453" s="51" t="s">
        <v>3567</v>
      </c>
      <c r="B1453" s="51" t="s">
        <v>3568</v>
      </c>
      <c r="C1453" s="51" t="s">
        <v>76</v>
      </c>
      <c r="D1453" s="51" t="s">
        <v>2917</v>
      </c>
      <c r="E1453" s="51" t="s">
        <v>2916</v>
      </c>
      <c r="F1453" s="52">
        <v>3592.209717257279</v>
      </c>
      <c r="G1453" s="52">
        <v>1350</v>
      </c>
      <c r="H1453" s="52">
        <v>35450</v>
      </c>
      <c r="I1453" s="52">
        <v>36800</v>
      </c>
      <c r="J1453" s="51">
        <v>0</v>
      </c>
      <c r="K1453" s="54">
        <v>0</v>
      </c>
      <c r="L1453" s="51">
        <v>2</v>
      </c>
      <c r="M1453" s="54">
        <v>45000</v>
      </c>
      <c r="N1453" s="53">
        <f t="shared" si="44"/>
        <v>-45000</v>
      </c>
      <c r="O1453" s="53">
        <f t="shared" si="45"/>
        <v>45000</v>
      </c>
    </row>
    <row r="1454" spans="1:15" x14ac:dyDescent="0.2">
      <c r="A1454" s="51" t="s">
        <v>3567</v>
      </c>
      <c r="B1454" s="51" t="s">
        <v>3568</v>
      </c>
      <c r="C1454" s="51" t="s">
        <v>3876</v>
      </c>
      <c r="D1454" s="51" t="s">
        <v>4268</v>
      </c>
      <c r="E1454" s="51" t="s">
        <v>4269</v>
      </c>
      <c r="F1454" s="52">
        <v>0.26234433687321301</v>
      </c>
      <c r="G1454" s="52">
        <v>0</v>
      </c>
      <c r="H1454" s="52">
        <v>0</v>
      </c>
      <c r="I1454" s="52">
        <v>0</v>
      </c>
      <c r="J1454" s="51">
        <v>0</v>
      </c>
      <c r="K1454" s="54">
        <v>0</v>
      </c>
      <c r="L1454" s="51">
        <v>0</v>
      </c>
      <c r="M1454" s="54">
        <v>0</v>
      </c>
      <c r="N1454" s="53">
        <f t="shared" si="44"/>
        <v>0</v>
      </c>
      <c r="O1454" s="53">
        <f t="shared" si="45"/>
        <v>0</v>
      </c>
    </row>
    <row r="1455" spans="1:15" x14ac:dyDescent="0.2">
      <c r="A1455" s="51" t="s">
        <v>3567</v>
      </c>
      <c r="B1455" s="51" t="s">
        <v>3568</v>
      </c>
      <c r="C1455" s="51" t="s">
        <v>85</v>
      </c>
      <c r="D1455" s="51" t="s">
        <v>3160</v>
      </c>
      <c r="E1455" s="51" t="s">
        <v>3159</v>
      </c>
      <c r="F1455" s="52">
        <v>2055.305714132312</v>
      </c>
      <c r="G1455" s="52">
        <v>19000</v>
      </c>
      <c r="H1455" s="52">
        <v>15900</v>
      </c>
      <c r="I1455" s="52">
        <v>34900</v>
      </c>
      <c r="J1455" s="51">
        <v>2</v>
      </c>
      <c r="K1455" s="54">
        <v>10000</v>
      </c>
      <c r="L1455" s="51">
        <v>1</v>
      </c>
      <c r="M1455" s="54">
        <v>15000</v>
      </c>
      <c r="N1455" s="53">
        <f t="shared" si="44"/>
        <v>-5000</v>
      </c>
      <c r="O1455" s="53">
        <f t="shared" si="45"/>
        <v>5000</v>
      </c>
    </row>
    <row r="1456" spans="1:15" x14ac:dyDescent="0.2">
      <c r="A1456" s="51" t="s">
        <v>3567</v>
      </c>
      <c r="B1456" s="51" t="s">
        <v>3568</v>
      </c>
      <c r="C1456" s="51" t="s">
        <v>3647</v>
      </c>
      <c r="D1456" s="51" t="s">
        <v>4276</v>
      </c>
      <c r="E1456" s="51" t="s">
        <v>4277</v>
      </c>
      <c r="F1456" s="52">
        <v>4.5945024280583153</v>
      </c>
      <c r="G1456" s="52">
        <v>0</v>
      </c>
      <c r="H1456" s="52">
        <v>0</v>
      </c>
      <c r="I1456" s="52">
        <v>0</v>
      </c>
      <c r="J1456" s="51">
        <v>0</v>
      </c>
      <c r="K1456" s="54">
        <v>0</v>
      </c>
      <c r="L1456" s="51">
        <v>0</v>
      </c>
      <c r="M1456" s="54">
        <v>0</v>
      </c>
      <c r="N1456" s="53">
        <f t="shared" si="44"/>
        <v>0</v>
      </c>
      <c r="O1456" s="53">
        <f t="shared" si="45"/>
        <v>0</v>
      </c>
    </row>
    <row r="1457" spans="1:15" x14ac:dyDescent="0.2">
      <c r="A1457" s="51" t="s">
        <v>3567</v>
      </c>
      <c r="B1457" s="51" t="s">
        <v>3568</v>
      </c>
      <c r="C1457" s="51" t="s">
        <v>3580</v>
      </c>
      <c r="D1457" s="51" t="s">
        <v>4400</v>
      </c>
      <c r="E1457" s="51" t="s">
        <v>4401</v>
      </c>
      <c r="F1457" s="52">
        <v>9.215988436025782</v>
      </c>
      <c r="G1457" s="52">
        <v>0</v>
      </c>
      <c r="H1457" s="52">
        <v>0</v>
      </c>
      <c r="I1457" s="52">
        <v>0</v>
      </c>
      <c r="J1457" s="51">
        <v>0</v>
      </c>
      <c r="K1457" s="54">
        <v>0</v>
      </c>
      <c r="L1457" s="51">
        <v>0</v>
      </c>
      <c r="M1457" s="54">
        <v>0</v>
      </c>
      <c r="N1457" s="53">
        <f t="shared" si="44"/>
        <v>0</v>
      </c>
      <c r="O1457" s="53">
        <f t="shared" si="45"/>
        <v>0</v>
      </c>
    </row>
    <row r="1458" spans="1:15" x14ac:dyDescent="0.2">
      <c r="A1458" s="51" t="s">
        <v>3567</v>
      </c>
      <c r="B1458" s="51" t="s">
        <v>3568</v>
      </c>
      <c r="C1458" s="51" t="s">
        <v>78</v>
      </c>
      <c r="D1458" s="51" t="s">
        <v>3511</v>
      </c>
      <c r="E1458" s="51" t="s">
        <v>3510</v>
      </c>
      <c r="F1458" s="52">
        <v>1571.1031</v>
      </c>
      <c r="G1458" s="52">
        <v>5380</v>
      </c>
      <c r="H1458" s="52">
        <v>1775</v>
      </c>
      <c r="I1458" s="52">
        <v>7155</v>
      </c>
      <c r="J1458" s="51">
        <v>1</v>
      </c>
      <c r="K1458" s="54">
        <v>5000</v>
      </c>
      <c r="L1458" s="51">
        <v>0</v>
      </c>
      <c r="M1458" s="54">
        <v>0</v>
      </c>
      <c r="N1458" s="53">
        <f t="shared" si="44"/>
        <v>5000</v>
      </c>
      <c r="O1458" s="53">
        <f t="shared" si="45"/>
        <v>-5000</v>
      </c>
    </row>
    <row r="1459" spans="1:15" x14ac:dyDescent="0.2">
      <c r="A1459" s="51" t="s">
        <v>3567</v>
      </c>
      <c r="B1459" s="51" t="s">
        <v>3568</v>
      </c>
      <c r="C1459" s="51" t="s">
        <v>65</v>
      </c>
      <c r="D1459" s="51" t="s">
        <v>184</v>
      </c>
      <c r="E1459" s="51" t="s">
        <v>183</v>
      </c>
      <c r="F1459" s="52">
        <v>29902.555700000001</v>
      </c>
      <c r="G1459" s="52">
        <v>0</v>
      </c>
      <c r="H1459" s="52">
        <v>23300</v>
      </c>
      <c r="I1459" s="52">
        <v>23300</v>
      </c>
      <c r="J1459" s="51">
        <v>1</v>
      </c>
      <c r="K1459" s="54">
        <v>5000</v>
      </c>
      <c r="L1459" s="51">
        <v>0</v>
      </c>
      <c r="M1459" s="54">
        <v>0</v>
      </c>
      <c r="N1459" s="53">
        <f t="shared" si="44"/>
        <v>5000</v>
      </c>
      <c r="O1459" s="53">
        <f t="shared" si="45"/>
        <v>-5000</v>
      </c>
    </row>
    <row r="1460" spans="1:15" x14ac:dyDescent="0.2">
      <c r="A1460" s="51" t="s">
        <v>3567</v>
      </c>
      <c r="B1460" s="51" t="s">
        <v>3568</v>
      </c>
      <c r="C1460" s="51" t="s">
        <v>80</v>
      </c>
      <c r="D1460" s="51" t="s">
        <v>2801</v>
      </c>
      <c r="E1460" s="51" t="s">
        <v>2800</v>
      </c>
      <c r="F1460" s="52">
        <v>17849.463318006321</v>
      </c>
      <c r="G1460" s="52">
        <v>3970</v>
      </c>
      <c r="H1460" s="52">
        <v>17700</v>
      </c>
      <c r="I1460" s="52">
        <v>21670</v>
      </c>
      <c r="J1460" s="51">
        <v>0</v>
      </c>
      <c r="K1460" s="54">
        <v>0</v>
      </c>
      <c r="L1460" s="51">
        <v>1</v>
      </c>
      <c r="M1460" s="54">
        <v>25000</v>
      </c>
      <c r="N1460" s="53">
        <f t="shared" si="44"/>
        <v>-25000</v>
      </c>
      <c r="O1460" s="53">
        <f t="shared" si="45"/>
        <v>25000</v>
      </c>
    </row>
    <row r="1461" spans="1:15" x14ac:dyDescent="0.2">
      <c r="A1461" s="51" t="s">
        <v>3567</v>
      </c>
      <c r="B1461" s="51" t="s">
        <v>3568</v>
      </c>
      <c r="C1461" s="51" t="s">
        <v>57</v>
      </c>
      <c r="D1461" s="51" t="s">
        <v>1165</v>
      </c>
      <c r="E1461" s="51" t="s">
        <v>1164</v>
      </c>
      <c r="F1461" s="52">
        <v>3801.944162410146</v>
      </c>
      <c r="G1461" s="52">
        <v>0</v>
      </c>
      <c r="H1461" s="52">
        <v>2200</v>
      </c>
      <c r="I1461" s="52">
        <v>2200</v>
      </c>
      <c r="J1461" s="51">
        <v>0</v>
      </c>
      <c r="K1461" s="54">
        <v>0</v>
      </c>
      <c r="L1461" s="51">
        <v>1</v>
      </c>
      <c r="M1461" s="54">
        <v>5000</v>
      </c>
      <c r="N1461" s="53">
        <f t="shared" si="44"/>
        <v>-5000</v>
      </c>
      <c r="O1461" s="53">
        <f t="shared" si="45"/>
        <v>5000</v>
      </c>
    </row>
    <row r="1462" spans="1:15" x14ac:dyDescent="0.2">
      <c r="A1462" s="51" t="s">
        <v>3567</v>
      </c>
      <c r="B1462" s="51" t="s">
        <v>3568</v>
      </c>
      <c r="C1462" s="51" t="s">
        <v>53</v>
      </c>
      <c r="D1462" s="51" t="s">
        <v>303</v>
      </c>
      <c r="E1462" s="51" t="s">
        <v>302</v>
      </c>
      <c r="F1462" s="52">
        <v>12573.688713717909</v>
      </c>
      <c r="G1462" s="52">
        <v>1000</v>
      </c>
      <c r="H1462" s="52">
        <v>1500</v>
      </c>
      <c r="I1462" s="52">
        <v>2500</v>
      </c>
      <c r="J1462" s="51">
        <v>1</v>
      </c>
      <c r="K1462" s="54">
        <v>6000</v>
      </c>
      <c r="L1462" s="51">
        <v>0</v>
      </c>
      <c r="M1462" s="54">
        <v>0</v>
      </c>
      <c r="N1462" s="53">
        <f t="shared" si="44"/>
        <v>6000</v>
      </c>
      <c r="O1462" s="53">
        <f t="shared" si="45"/>
        <v>-6000</v>
      </c>
    </row>
    <row r="1463" spans="1:15" x14ac:dyDescent="0.2">
      <c r="A1463" s="51" t="s">
        <v>3567</v>
      </c>
      <c r="B1463" s="51" t="s">
        <v>3568</v>
      </c>
      <c r="C1463" s="51" t="s">
        <v>3876</v>
      </c>
      <c r="D1463" s="51" t="s">
        <v>4369</v>
      </c>
      <c r="E1463" s="51" t="s">
        <v>4370</v>
      </c>
      <c r="F1463" s="52">
        <v>17.251986359460759</v>
      </c>
      <c r="G1463" s="52">
        <v>0</v>
      </c>
      <c r="H1463" s="52">
        <v>0</v>
      </c>
      <c r="I1463" s="52">
        <v>0</v>
      </c>
      <c r="J1463" s="51">
        <v>0</v>
      </c>
      <c r="K1463" s="54">
        <v>0</v>
      </c>
      <c r="L1463" s="51">
        <v>0</v>
      </c>
      <c r="M1463" s="54">
        <v>0</v>
      </c>
      <c r="N1463" s="53">
        <f t="shared" si="44"/>
        <v>0</v>
      </c>
      <c r="O1463" s="53">
        <f t="shared" si="45"/>
        <v>0</v>
      </c>
    </row>
    <row r="1464" spans="1:15" x14ac:dyDescent="0.2">
      <c r="A1464" s="51" t="s">
        <v>3567</v>
      </c>
      <c r="B1464" s="51" t="s">
        <v>3568</v>
      </c>
      <c r="C1464" s="51" t="s">
        <v>65</v>
      </c>
      <c r="D1464" s="51" t="s">
        <v>944</v>
      </c>
      <c r="E1464" s="51" t="s">
        <v>943</v>
      </c>
      <c r="F1464" s="52">
        <v>23884.102094287719</v>
      </c>
      <c r="G1464" s="52">
        <v>29530</v>
      </c>
      <c r="H1464" s="52">
        <v>38110</v>
      </c>
      <c r="I1464" s="52">
        <v>67640</v>
      </c>
      <c r="J1464" s="51">
        <v>2</v>
      </c>
      <c r="K1464" s="54">
        <v>15000</v>
      </c>
      <c r="L1464" s="51">
        <v>0</v>
      </c>
      <c r="M1464" s="54">
        <v>0</v>
      </c>
      <c r="N1464" s="53">
        <f t="shared" si="44"/>
        <v>15000</v>
      </c>
      <c r="O1464" s="53">
        <f t="shared" si="45"/>
        <v>-15000</v>
      </c>
    </row>
    <row r="1465" spans="1:15" x14ac:dyDescent="0.2">
      <c r="A1465" s="51" t="s">
        <v>3567</v>
      </c>
      <c r="B1465" s="51" t="s">
        <v>3568</v>
      </c>
      <c r="C1465" s="51" t="s">
        <v>3876</v>
      </c>
      <c r="D1465" s="51" t="s">
        <v>4406</v>
      </c>
      <c r="E1465" s="51" t="s">
        <v>4407</v>
      </c>
      <c r="F1465" s="52">
        <v>3.7133601391750921</v>
      </c>
      <c r="G1465" s="52">
        <v>0</v>
      </c>
      <c r="H1465" s="52">
        <v>0</v>
      </c>
      <c r="I1465" s="52">
        <v>0</v>
      </c>
      <c r="J1465" s="51">
        <v>0</v>
      </c>
      <c r="K1465" s="54">
        <v>0</v>
      </c>
      <c r="L1465" s="51">
        <v>0</v>
      </c>
      <c r="M1465" s="54">
        <v>0</v>
      </c>
      <c r="N1465" s="53">
        <f t="shared" si="44"/>
        <v>0</v>
      </c>
      <c r="O1465" s="53">
        <f t="shared" si="45"/>
        <v>0</v>
      </c>
    </row>
    <row r="1466" spans="1:15" x14ac:dyDescent="0.2">
      <c r="A1466" s="51" t="s">
        <v>3567</v>
      </c>
      <c r="B1466" s="51" t="s">
        <v>3568</v>
      </c>
      <c r="C1466" s="51" t="s">
        <v>68</v>
      </c>
      <c r="D1466" s="51" t="s">
        <v>1989</v>
      </c>
      <c r="E1466" s="51" t="s">
        <v>1988</v>
      </c>
      <c r="F1466" s="52">
        <v>49939.888421901633</v>
      </c>
      <c r="G1466" s="52">
        <v>46445</v>
      </c>
      <c r="H1466" s="52">
        <v>37870</v>
      </c>
      <c r="I1466" s="52">
        <v>84315</v>
      </c>
      <c r="J1466" s="51">
        <v>1</v>
      </c>
      <c r="K1466" s="54">
        <v>30000</v>
      </c>
      <c r="L1466" s="51">
        <v>0</v>
      </c>
      <c r="M1466" s="54">
        <v>0</v>
      </c>
      <c r="N1466" s="53">
        <f t="shared" si="44"/>
        <v>30000</v>
      </c>
      <c r="O1466" s="53">
        <f t="shared" si="45"/>
        <v>-30000</v>
      </c>
    </row>
    <row r="1467" spans="1:15" x14ac:dyDescent="0.2">
      <c r="A1467" s="51" t="s">
        <v>3567</v>
      </c>
      <c r="B1467" s="51" t="s">
        <v>3568</v>
      </c>
      <c r="C1467" s="51" t="s">
        <v>64</v>
      </c>
      <c r="D1467" s="51" t="s">
        <v>4358</v>
      </c>
      <c r="E1467" s="51" t="s">
        <v>1666</v>
      </c>
      <c r="F1467" s="52">
        <v>5.6178444194678478</v>
      </c>
      <c r="G1467" s="52">
        <v>0</v>
      </c>
      <c r="H1467" s="52">
        <v>0</v>
      </c>
      <c r="I1467" s="52">
        <v>0</v>
      </c>
      <c r="J1467" s="51">
        <v>0</v>
      </c>
      <c r="K1467" s="54">
        <v>0</v>
      </c>
      <c r="L1467" s="51">
        <v>0</v>
      </c>
      <c r="M1467" s="54">
        <v>0</v>
      </c>
      <c r="N1467" s="53">
        <f t="shared" si="44"/>
        <v>0</v>
      </c>
      <c r="O1467" s="53">
        <f t="shared" si="45"/>
        <v>0</v>
      </c>
    </row>
    <row r="1468" spans="1:15" x14ac:dyDescent="0.2">
      <c r="A1468" s="51" t="s">
        <v>3567</v>
      </c>
      <c r="B1468" s="51" t="s">
        <v>3568</v>
      </c>
      <c r="C1468" s="51" t="s">
        <v>65</v>
      </c>
      <c r="D1468" s="51" t="s">
        <v>1221</v>
      </c>
      <c r="E1468" s="51" t="s">
        <v>1220</v>
      </c>
      <c r="F1468" s="52">
        <v>6035.2725</v>
      </c>
      <c r="G1468" s="52">
        <v>0</v>
      </c>
      <c r="H1468" s="52">
        <v>1970</v>
      </c>
      <c r="I1468" s="52">
        <v>1970</v>
      </c>
      <c r="J1468" s="51">
        <v>0</v>
      </c>
      <c r="K1468" s="54">
        <v>0</v>
      </c>
      <c r="L1468" s="51">
        <v>2</v>
      </c>
      <c r="M1468" s="54">
        <v>35000</v>
      </c>
      <c r="N1468" s="53">
        <f t="shared" si="44"/>
        <v>-35000</v>
      </c>
      <c r="O1468" s="53">
        <f t="shared" si="45"/>
        <v>35000</v>
      </c>
    </row>
    <row r="1469" spans="1:15" x14ac:dyDescent="0.2">
      <c r="A1469" s="51" t="s">
        <v>3567</v>
      </c>
      <c r="B1469" s="51" t="s">
        <v>3568</v>
      </c>
      <c r="C1469" s="51" t="s">
        <v>72</v>
      </c>
      <c r="D1469" s="51" t="s">
        <v>2435</v>
      </c>
      <c r="E1469" s="51" t="s">
        <v>2434</v>
      </c>
      <c r="F1469" s="52">
        <v>35425.5743</v>
      </c>
      <c r="G1469" s="52">
        <v>10030</v>
      </c>
      <c r="H1469" s="52">
        <v>156579</v>
      </c>
      <c r="I1469" s="52">
        <v>166609</v>
      </c>
      <c r="J1469" s="51">
        <v>0</v>
      </c>
      <c r="K1469" s="54">
        <v>0</v>
      </c>
      <c r="L1469" s="51">
        <v>1</v>
      </c>
      <c r="M1469" s="54">
        <v>200000</v>
      </c>
      <c r="N1469" s="53">
        <f t="shared" si="44"/>
        <v>-200000</v>
      </c>
      <c r="O1469" s="53">
        <f t="shared" si="45"/>
        <v>200000</v>
      </c>
    </row>
    <row r="1470" spans="1:15" x14ac:dyDescent="0.2">
      <c r="A1470" s="51" t="s">
        <v>3567</v>
      </c>
      <c r="B1470" s="51" t="s">
        <v>3568</v>
      </c>
      <c r="C1470" s="51" t="s">
        <v>59</v>
      </c>
      <c r="D1470" s="51" t="s">
        <v>3390</v>
      </c>
      <c r="E1470" s="51" t="s">
        <v>3389</v>
      </c>
      <c r="F1470" s="52">
        <v>26853.82938109613</v>
      </c>
      <c r="G1470" s="52">
        <v>1350</v>
      </c>
      <c r="H1470" s="52">
        <v>13980</v>
      </c>
      <c r="I1470" s="52">
        <v>15330</v>
      </c>
      <c r="J1470" s="51">
        <v>1</v>
      </c>
      <c r="K1470" s="54">
        <v>5000</v>
      </c>
      <c r="L1470" s="51">
        <v>0</v>
      </c>
      <c r="M1470" s="54">
        <v>0</v>
      </c>
      <c r="N1470" s="53">
        <f t="shared" si="44"/>
        <v>5000</v>
      </c>
      <c r="O1470" s="53">
        <f t="shared" si="45"/>
        <v>-5000</v>
      </c>
    </row>
    <row r="1471" spans="1:15" x14ac:dyDescent="0.2">
      <c r="A1471" s="51" t="s">
        <v>3567</v>
      </c>
      <c r="B1471" s="51" t="s">
        <v>3568</v>
      </c>
      <c r="C1471" s="51" t="s">
        <v>60</v>
      </c>
      <c r="D1471" s="51" t="s">
        <v>2593</v>
      </c>
      <c r="E1471" s="51" t="s">
        <v>2592</v>
      </c>
      <c r="F1471" s="52">
        <v>4710.0842379056603</v>
      </c>
      <c r="G1471" s="52">
        <v>0</v>
      </c>
      <c r="H1471" s="52">
        <v>0</v>
      </c>
      <c r="I1471" s="52">
        <v>0</v>
      </c>
      <c r="J1471" s="51">
        <v>1</v>
      </c>
      <c r="K1471" s="54">
        <v>5000</v>
      </c>
      <c r="L1471" s="51">
        <v>0</v>
      </c>
      <c r="M1471" s="54">
        <v>0</v>
      </c>
      <c r="N1471" s="53">
        <f t="shared" si="44"/>
        <v>5000</v>
      </c>
      <c r="O1471" s="53">
        <f t="shared" si="45"/>
        <v>-5000</v>
      </c>
    </row>
    <row r="1472" spans="1:15" x14ac:dyDescent="0.2">
      <c r="A1472" s="51" t="s">
        <v>3567</v>
      </c>
      <c r="B1472" s="51" t="s">
        <v>3568</v>
      </c>
      <c r="C1472" s="51" t="s">
        <v>3590</v>
      </c>
      <c r="D1472" s="51" t="s">
        <v>4410</v>
      </c>
      <c r="E1472" s="51" t="s">
        <v>4411</v>
      </c>
      <c r="F1472" s="52">
        <v>7.0116595563033828</v>
      </c>
      <c r="G1472" s="52">
        <v>0</v>
      </c>
      <c r="H1472" s="52">
        <v>0</v>
      </c>
      <c r="I1472" s="52">
        <v>0</v>
      </c>
      <c r="J1472" s="51">
        <v>0</v>
      </c>
      <c r="K1472" s="54">
        <v>0</v>
      </c>
      <c r="L1472" s="51">
        <v>0</v>
      </c>
      <c r="M1472" s="54">
        <v>0</v>
      </c>
      <c r="N1472" s="53">
        <f t="shared" si="44"/>
        <v>0</v>
      </c>
      <c r="O1472" s="53">
        <f t="shared" si="45"/>
        <v>0</v>
      </c>
    </row>
    <row r="1473" spans="1:15" x14ac:dyDescent="0.2">
      <c r="A1473" s="51" t="s">
        <v>3567</v>
      </c>
      <c r="B1473" s="51" t="s">
        <v>3568</v>
      </c>
      <c r="C1473" s="51" t="s">
        <v>52</v>
      </c>
      <c r="D1473" s="51" t="s">
        <v>1531</v>
      </c>
      <c r="E1473" s="51" t="s">
        <v>1530</v>
      </c>
      <c r="F1473" s="52">
        <v>4951.8318499999996</v>
      </c>
      <c r="G1473" s="52">
        <v>0</v>
      </c>
      <c r="H1473" s="52">
        <v>1650</v>
      </c>
      <c r="I1473" s="52">
        <v>1650</v>
      </c>
      <c r="J1473" s="51">
        <v>1</v>
      </c>
      <c r="K1473" s="54">
        <v>3000</v>
      </c>
      <c r="L1473" s="51">
        <v>1</v>
      </c>
      <c r="M1473" s="54">
        <v>23000</v>
      </c>
      <c r="N1473" s="53">
        <f t="shared" si="44"/>
        <v>-20000</v>
      </c>
      <c r="O1473" s="53">
        <f t="shared" si="45"/>
        <v>20000</v>
      </c>
    </row>
    <row r="1474" spans="1:15" x14ac:dyDescent="0.2">
      <c r="A1474" s="51" t="s">
        <v>3567</v>
      </c>
      <c r="B1474" s="51" t="s">
        <v>3568</v>
      </c>
      <c r="C1474" s="51" t="s">
        <v>86</v>
      </c>
      <c r="D1474" s="51" t="s">
        <v>3450</v>
      </c>
      <c r="E1474" s="51" t="s">
        <v>3449</v>
      </c>
      <c r="F1474" s="52">
        <v>11533.059800000001</v>
      </c>
      <c r="G1474" s="52">
        <v>14415</v>
      </c>
      <c r="H1474" s="52">
        <v>4500</v>
      </c>
      <c r="I1474" s="52">
        <v>18915</v>
      </c>
      <c r="J1474" s="51">
        <v>3</v>
      </c>
      <c r="K1474" s="54">
        <v>30000</v>
      </c>
      <c r="L1474" s="51">
        <v>1</v>
      </c>
      <c r="M1474" s="54">
        <v>10000</v>
      </c>
      <c r="N1474" s="53">
        <f t="shared" si="44"/>
        <v>20000</v>
      </c>
      <c r="O1474" s="53">
        <f t="shared" si="45"/>
        <v>-20000</v>
      </c>
    </row>
    <row r="1475" spans="1:15" x14ac:dyDescent="0.2">
      <c r="A1475" s="51" t="s">
        <v>3567</v>
      </c>
      <c r="B1475" s="51" t="s">
        <v>3568</v>
      </c>
      <c r="C1475" s="51" t="s">
        <v>54</v>
      </c>
      <c r="D1475" s="51" t="s">
        <v>4825</v>
      </c>
      <c r="E1475" s="51" t="s">
        <v>4826</v>
      </c>
      <c r="F1475" s="52">
        <v>5521.7969999999996</v>
      </c>
      <c r="G1475" s="52">
        <v>100</v>
      </c>
      <c r="H1475" s="52">
        <v>0</v>
      </c>
      <c r="I1475" s="52">
        <v>100</v>
      </c>
      <c r="J1475" s="51">
        <v>0</v>
      </c>
      <c r="K1475" s="54">
        <v>0</v>
      </c>
      <c r="L1475" s="51">
        <v>1</v>
      </c>
      <c r="M1475" s="54">
        <v>5000</v>
      </c>
      <c r="N1475" s="53">
        <f t="shared" ref="N1475:N1538" si="46">K1475-M1475</f>
        <v>-5000</v>
      </c>
      <c r="O1475" s="53">
        <f t="shared" ref="O1475:O1538" si="47">M1475-K1475</f>
        <v>5000</v>
      </c>
    </row>
    <row r="1476" spans="1:15" x14ac:dyDescent="0.2">
      <c r="A1476" s="51" t="s">
        <v>3567</v>
      </c>
      <c r="B1476" s="51" t="s">
        <v>3568</v>
      </c>
      <c r="C1476" s="51" t="s">
        <v>77</v>
      </c>
      <c r="D1476" s="51" t="s">
        <v>4385</v>
      </c>
      <c r="E1476" s="51" t="s">
        <v>4386</v>
      </c>
      <c r="F1476" s="52">
        <v>25.198699999999999</v>
      </c>
      <c r="G1476" s="52">
        <v>0</v>
      </c>
      <c r="H1476" s="52">
        <v>0</v>
      </c>
      <c r="I1476" s="52">
        <v>0</v>
      </c>
      <c r="J1476" s="51">
        <v>0</v>
      </c>
      <c r="K1476" s="54">
        <v>0</v>
      </c>
      <c r="L1476" s="51">
        <v>0</v>
      </c>
      <c r="M1476" s="54">
        <v>0</v>
      </c>
      <c r="N1476" s="53">
        <f t="shared" si="46"/>
        <v>0</v>
      </c>
      <c r="O1476" s="53">
        <f t="shared" si="47"/>
        <v>0</v>
      </c>
    </row>
    <row r="1477" spans="1:15" x14ac:dyDescent="0.2">
      <c r="A1477" s="51" t="s">
        <v>3567</v>
      </c>
      <c r="B1477" s="51" t="s">
        <v>3568</v>
      </c>
      <c r="C1477" s="51" t="s">
        <v>78</v>
      </c>
      <c r="D1477" s="51" t="s">
        <v>2110</v>
      </c>
      <c r="E1477" s="51" t="s">
        <v>2109</v>
      </c>
      <c r="F1477" s="52">
        <v>151.28022065565409</v>
      </c>
      <c r="G1477" s="52">
        <v>0</v>
      </c>
      <c r="H1477" s="52">
        <v>0</v>
      </c>
      <c r="I1477" s="52">
        <v>0</v>
      </c>
      <c r="J1477" s="51">
        <v>1</v>
      </c>
      <c r="K1477" s="54">
        <v>5000</v>
      </c>
      <c r="L1477" s="51">
        <v>1</v>
      </c>
      <c r="M1477" s="54">
        <v>16000</v>
      </c>
      <c r="N1477" s="53">
        <f t="shared" si="46"/>
        <v>-11000</v>
      </c>
      <c r="O1477" s="53">
        <f t="shared" si="47"/>
        <v>11000</v>
      </c>
    </row>
    <row r="1478" spans="1:15" x14ac:dyDescent="0.2">
      <c r="A1478" s="51" t="s">
        <v>3567</v>
      </c>
      <c r="B1478" s="51" t="s">
        <v>3568</v>
      </c>
      <c r="C1478" s="51" t="s">
        <v>76</v>
      </c>
      <c r="D1478" s="51" t="s">
        <v>1767</v>
      </c>
      <c r="E1478" s="51" t="s">
        <v>1766</v>
      </c>
      <c r="F1478" s="52">
        <v>4600.4911000000002</v>
      </c>
      <c r="G1478" s="52">
        <v>450</v>
      </c>
      <c r="H1478" s="52">
        <v>0</v>
      </c>
      <c r="I1478" s="52">
        <v>450</v>
      </c>
      <c r="J1478" s="51">
        <v>1</v>
      </c>
      <c r="K1478" s="54">
        <v>5000</v>
      </c>
      <c r="L1478" s="51">
        <v>0</v>
      </c>
      <c r="M1478" s="54">
        <v>0</v>
      </c>
      <c r="N1478" s="53">
        <f t="shared" si="46"/>
        <v>5000</v>
      </c>
      <c r="O1478" s="53">
        <f t="shared" si="47"/>
        <v>-5000</v>
      </c>
    </row>
    <row r="1479" spans="1:15" x14ac:dyDescent="0.2">
      <c r="A1479" s="51" t="s">
        <v>3567</v>
      </c>
      <c r="B1479" s="51" t="s">
        <v>3568</v>
      </c>
      <c r="C1479" s="51" t="s">
        <v>70</v>
      </c>
      <c r="D1479" s="51" t="s">
        <v>4325</v>
      </c>
      <c r="E1479" s="51" t="s">
        <v>4326</v>
      </c>
      <c r="F1479" s="52">
        <v>0.41999352274867102</v>
      </c>
      <c r="G1479" s="52">
        <v>0</v>
      </c>
      <c r="H1479" s="52">
        <v>0</v>
      </c>
      <c r="I1479" s="52">
        <v>0</v>
      </c>
      <c r="J1479" s="51">
        <v>0</v>
      </c>
      <c r="K1479" s="54">
        <v>0</v>
      </c>
      <c r="L1479" s="51">
        <v>0</v>
      </c>
      <c r="M1479" s="54">
        <v>0</v>
      </c>
      <c r="N1479" s="53">
        <f t="shared" si="46"/>
        <v>0</v>
      </c>
      <c r="O1479" s="53">
        <f t="shared" si="47"/>
        <v>0</v>
      </c>
    </row>
    <row r="1480" spans="1:15" x14ac:dyDescent="0.2">
      <c r="A1480" s="51" t="s">
        <v>3567</v>
      </c>
      <c r="B1480" s="51" t="s">
        <v>3568</v>
      </c>
      <c r="C1480" s="51" t="s">
        <v>3786</v>
      </c>
      <c r="D1480" s="51" t="s">
        <v>4359</v>
      </c>
      <c r="E1480" s="51" t="s">
        <v>4360</v>
      </c>
      <c r="F1480" s="52">
        <v>6.3316685642194468</v>
      </c>
      <c r="G1480" s="52">
        <v>0</v>
      </c>
      <c r="H1480" s="52">
        <v>0</v>
      </c>
      <c r="I1480" s="52">
        <v>0</v>
      </c>
      <c r="J1480" s="51">
        <v>0</v>
      </c>
      <c r="K1480" s="54">
        <v>0</v>
      </c>
      <c r="L1480" s="51">
        <v>0</v>
      </c>
      <c r="M1480" s="54">
        <v>0</v>
      </c>
      <c r="N1480" s="53">
        <f t="shared" si="46"/>
        <v>0</v>
      </c>
      <c r="O1480" s="53">
        <f t="shared" si="47"/>
        <v>0</v>
      </c>
    </row>
    <row r="1481" spans="1:15" x14ac:dyDescent="0.2">
      <c r="A1481" s="51" t="s">
        <v>3567</v>
      </c>
      <c r="B1481" s="51" t="s">
        <v>3568</v>
      </c>
      <c r="C1481" s="51" t="s">
        <v>73</v>
      </c>
      <c r="D1481" s="51" t="s">
        <v>3312</v>
      </c>
      <c r="E1481" s="51" t="s">
        <v>3311</v>
      </c>
      <c r="F1481" s="52">
        <v>364.47</v>
      </c>
      <c r="G1481" s="52">
        <v>0</v>
      </c>
      <c r="H1481" s="52">
        <v>0</v>
      </c>
      <c r="I1481" s="52">
        <v>0</v>
      </c>
      <c r="J1481" s="51">
        <v>0</v>
      </c>
      <c r="K1481" s="54">
        <v>0</v>
      </c>
      <c r="L1481" s="51">
        <v>1</v>
      </c>
      <c r="M1481" s="54">
        <v>5000</v>
      </c>
      <c r="N1481" s="53">
        <f t="shared" si="46"/>
        <v>-5000</v>
      </c>
      <c r="O1481" s="53">
        <f t="shared" si="47"/>
        <v>5000</v>
      </c>
    </row>
    <row r="1482" spans="1:15" x14ac:dyDescent="0.2">
      <c r="A1482" s="51" t="s">
        <v>3567</v>
      </c>
      <c r="B1482" s="51" t="s">
        <v>3568</v>
      </c>
      <c r="C1482" s="51" t="s">
        <v>64</v>
      </c>
      <c r="D1482" s="51" t="s">
        <v>4422</v>
      </c>
      <c r="E1482" s="51" t="s">
        <v>4423</v>
      </c>
      <c r="F1482" s="52">
        <v>27.832100000000001</v>
      </c>
      <c r="G1482" s="52">
        <v>0</v>
      </c>
      <c r="H1482" s="52">
        <v>0</v>
      </c>
      <c r="I1482" s="52">
        <v>0</v>
      </c>
      <c r="J1482" s="51">
        <v>0</v>
      </c>
      <c r="K1482" s="54">
        <v>0</v>
      </c>
      <c r="L1482" s="51">
        <v>0</v>
      </c>
      <c r="M1482" s="54">
        <v>0</v>
      </c>
      <c r="N1482" s="53">
        <f t="shared" si="46"/>
        <v>0</v>
      </c>
      <c r="O1482" s="53">
        <f t="shared" si="47"/>
        <v>0</v>
      </c>
    </row>
    <row r="1483" spans="1:15" x14ac:dyDescent="0.2">
      <c r="A1483" s="51" t="s">
        <v>3567</v>
      </c>
      <c r="B1483" s="51" t="s">
        <v>3568</v>
      </c>
      <c r="C1483" s="51" t="s">
        <v>3630</v>
      </c>
      <c r="D1483" s="51" t="s">
        <v>4365</v>
      </c>
      <c r="E1483" s="51" t="s">
        <v>4366</v>
      </c>
      <c r="F1483" s="52">
        <v>5.4493895195313948</v>
      </c>
      <c r="G1483" s="52">
        <v>0</v>
      </c>
      <c r="H1483" s="52">
        <v>0</v>
      </c>
      <c r="I1483" s="52">
        <v>0</v>
      </c>
      <c r="J1483" s="51">
        <v>0</v>
      </c>
      <c r="K1483" s="54">
        <v>0</v>
      </c>
      <c r="L1483" s="51">
        <v>0</v>
      </c>
      <c r="M1483" s="54">
        <v>0</v>
      </c>
      <c r="N1483" s="53">
        <f t="shared" si="46"/>
        <v>0</v>
      </c>
      <c r="O1483" s="53">
        <f t="shared" si="47"/>
        <v>0</v>
      </c>
    </row>
    <row r="1484" spans="1:15" x14ac:dyDescent="0.2">
      <c r="A1484" s="51" t="s">
        <v>3567</v>
      </c>
      <c r="B1484" s="51" t="s">
        <v>3568</v>
      </c>
      <c r="C1484" s="51" t="s">
        <v>84</v>
      </c>
      <c r="D1484" s="51" t="s">
        <v>3247</v>
      </c>
      <c r="E1484" s="51" t="s">
        <v>3246</v>
      </c>
      <c r="F1484" s="52">
        <v>1730.5792500504999</v>
      </c>
      <c r="G1484" s="52">
        <v>0</v>
      </c>
      <c r="H1484" s="52">
        <v>1880</v>
      </c>
      <c r="I1484" s="52">
        <v>1880</v>
      </c>
      <c r="J1484" s="51">
        <v>0</v>
      </c>
      <c r="K1484" s="54">
        <v>0</v>
      </c>
      <c r="L1484" s="51">
        <v>1</v>
      </c>
      <c r="M1484" s="54">
        <v>5000</v>
      </c>
      <c r="N1484" s="53">
        <f t="shared" si="46"/>
        <v>-5000</v>
      </c>
      <c r="O1484" s="53">
        <f t="shared" si="47"/>
        <v>5000</v>
      </c>
    </row>
    <row r="1485" spans="1:15" x14ac:dyDescent="0.2">
      <c r="A1485" s="51" t="s">
        <v>3567</v>
      </c>
      <c r="B1485" s="51" t="s">
        <v>3568</v>
      </c>
      <c r="C1485" s="51" t="s">
        <v>71</v>
      </c>
      <c r="D1485" s="51" t="s">
        <v>3275</v>
      </c>
      <c r="E1485" s="51" t="s">
        <v>3274</v>
      </c>
      <c r="F1485" s="52">
        <v>12873.84451153816</v>
      </c>
      <c r="G1485" s="52">
        <v>500</v>
      </c>
      <c r="H1485" s="52">
        <v>28700</v>
      </c>
      <c r="I1485" s="52">
        <v>29200</v>
      </c>
      <c r="J1485" s="51">
        <v>2</v>
      </c>
      <c r="K1485" s="54">
        <v>35000</v>
      </c>
      <c r="L1485" s="51">
        <v>2</v>
      </c>
      <c r="M1485" s="54">
        <v>80000</v>
      </c>
      <c r="N1485" s="53">
        <f t="shared" si="46"/>
        <v>-45000</v>
      </c>
      <c r="O1485" s="53">
        <f t="shared" si="47"/>
        <v>45000</v>
      </c>
    </row>
    <row r="1486" spans="1:15" x14ac:dyDescent="0.2">
      <c r="A1486" s="51" t="s">
        <v>3567</v>
      </c>
      <c r="B1486" s="51" t="s">
        <v>3568</v>
      </c>
      <c r="C1486" s="51" t="s">
        <v>3630</v>
      </c>
      <c r="D1486" s="51" t="s">
        <v>4402</v>
      </c>
      <c r="E1486" s="51" t="s">
        <v>4403</v>
      </c>
      <c r="F1486" s="52">
        <v>0.33587497835559199</v>
      </c>
      <c r="G1486" s="52">
        <v>0</v>
      </c>
      <c r="H1486" s="52">
        <v>0</v>
      </c>
      <c r="I1486" s="52">
        <v>0</v>
      </c>
      <c r="J1486" s="51">
        <v>0</v>
      </c>
      <c r="K1486" s="54">
        <v>0</v>
      </c>
      <c r="L1486" s="51">
        <v>0</v>
      </c>
      <c r="M1486" s="54">
        <v>0</v>
      </c>
      <c r="N1486" s="53">
        <f t="shared" si="46"/>
        <v>0</v>
      </c>
      <c r="O1486" s="53">
        <f t="shared" si="47"/>
        <v>0</v>
      </c>
    </row>
    <row r="1487" spans="1:15" x14ac:dyDescent="0.2">
      <c r="A1487" s="51" t="s">
        <v>3567</v>
      </c>
      <c r="B1487" s="51" t="s">
        <v>3568</v>
      </c>
      <c r="C1487" s="51" t="s">
        <v>63</v>
      </c>
      <c r="D1487" s="51" t="s">
        <v>448</v>
      </c>
      <c r="E1487" s="51" t="s">
        <v>447</v>
      </c>
      <c r="F1487" s="52">
        <v>33918.2451</v>
      </c>
      <c r="G1487" s="52">
        <v>19085</v>
      </c>
      <c r="H1487" s="52">
        <v>15950</v>
      </c>
      <c r="I1487" s="52">
        <v>35035</v>
      </c>
      <c r="J1487" s="51">
        <v>0</v>
      </c>
      <c r="K1487" s="54">
        <v>0</v>
      </c>
      <c r="L1487" s="51">
        <v>1</v>
      </c>
      <c r="M1487" s="54">
        <v>17000</v>
      </c>
      <c r="N1487" s="53">
        <f t="shared" si="46"/>
        <v>-17000</v>
      </c>
      <c r="O1487" s="53">
        <f t="shared" si="47"/>
        <v>17000</v>
      </c>
    </row>
    <row r="1488" spans="1:15" x14ac:dyDescent="0.2">
      <c r="A1488" s="51" t="s">
        <v>3567</v>
      </c>
      <c r="B1488" s="51" t="s">
        <v>3568</v>
      </c>
      <c r="C1488" s="51" t="s">
        <v>59</v>
      </c>
      <c r="D1488" s="51" t="s">
        <v>4371</v>
      </c>
      <c r="E1488" s="51" t="s">
        <v>4372</v>
      </c>
      <c r="F1488" s="52">
        <v>0.61990838579495855</v>
      </c>
      <c r="G1488" s="52">
        <v>0</v>
      </c>
      <c r="H1488" s="52">
        <v>0</v>
      </c>
      <c r="I1488" s="52">
        <v>0</v>
      </c>
      <c r="J1488" s="51">
        <v>0</v>
      </c>
      <c r="K1488" s="54">
        <v>0</v>
      </c>
      <c r="L1488" s="51">
        <v>0</v>
      </c>
      <c r="M1488" s="54">
        <v>0</v>
      </c>
      <c r="N1488" s="53">
        <f t="shared" si="46"/>
        <v>0</v>
      </c>
      <c r="O1488" s="53">
        <f t="shared" si="47"/>
        <v>0</v>
      </c>
    </row>
    <row r="1489" spans="1:15" x14ac:dyDescent="0.2">
      <c r="A1489" s="51" t="s">
        <v>3567</v>
      </c>
      <c r="B1489" s="51" t="s">
        <v>3568</v>
      </c>
      <c r="C1489" s="51" t="s">
        <v>3684</v>
      </c>
      <c r="D1489" s="51" t="s">
        <v>4352</v>
      </c>
      <c r="E1489" s="51" t="s">
        <v>4353</v>
      </c>
      <c r="F1489" s="52">
        <v>58.046900123224098</v>
      </c>
      <c r="G1489" s="52">
        <v>0</v>
      </c>
      <c r="H1489" s="52">
        <v>0</v>
      </c>
      <c r="I1489" s="52">
        <v>0</v>
      </c>
      <c r="J1489" s="51">
        <v>0</v>
      </c>
      <c r="K1489" s="54">
        <v>0</v>
      </c>
      <c r="L1489" s="51">
        <v>0</v>
      </c>
      <c r="M1489" s="54">
        <v>0</v>
      </c>
      <c r="N1489" s="53">
        <f t="shared" si="46"/>
        <v>0</v>
      </c>
      <c r="O1489" s="53">
        <f t="shared" si="47"/>
        <v>0</v>
      </c>
    </row>
    <row r="1490" spans="1:15" x14ac:dyDescent="0.2">
      <c r="A1490" s="51" t="s">
        <v>3567</v>
      </c>
      <c r="B1490" s="51" t="s">
        <v>3568</v>
      </c>
      <c r="C1490" s="51" t="s">
        <v>56</v>
      </c>
      <c r="D1490" s="51" t="s">
        <v>2719</v>
      </c>
      <c r="E1490" s="51" t="s">
        <v>2718</v>
      </c>
      <c r="F1490" s="52">
        <v>53.740911967070048</v>
      </c>
      <c r="G1490" s="52">
        <v>0</v>
      </c>
      <c r="H1490" s="52">
        <v>9953</v>
      </c>
      <c r="I1490" s="52">
        <v>9953</v>
      </c>
      <c r="J1490" s="51">
        <v>0</v>
      </c>
      <c r="K1490" s="54">
        <v>0</v>
      </c>
      <c r="L1490" s="51">
        <v>1</v>
      </c>
      <c r="M1490" s="54">
        <v>10000</v>
      </c>
      <c r="N1490" s="53">
        <f t="shared" si="46"/>
        <v>-10000</v>
      </c>
      <c r="O1490" s="53">
        <f t="shared" si="47"/>
        <v>10000</v>
      </c>
    </row>
    <row r="1491" spans="1:15" x14ac:dyDescent="0.2">
      <c r="A1491" s="51" t="s">
        <v>3567</v>
      </c>
      <c r="B1491" s="51" t="s">
        <v>3568</v>
      </c>
      <c r="C1491" s="51" t="s">
        <v>87</v>
      </c>
      <c r="D1491" s="51" t="s">
        <v>1467</v>
      </c>
      <c r="E1491" s="51" t="s">
        <v>1466</v>
      </c>
      <c r="F1491" s="52">
        <v>23666.428118209678</v>
      </c>
      <c r="G1491" s="52">
        <v>47200</v>
      </c>
      <c r="H1491" s="52">
        <v>43270</v>
      </c>
      <c r="I1491" s="52">
        <v>90470</v>
      </c>
      <c r="J1491" s="51">
        <v>1</v>
      </c>
      <c r="K1491" s="54">
        <v>5000</v>
      </c>
      <c r="L1491" s="51">
        <v>0</v>
      </c>
      <c r="M1491" s="54">
        <v>0</v>
      </c>
      <c r="N1491" s="53">
        <f t="shared" si="46"/>
        <v>5000</v>
      </c>
      <c r="O1491" s="53">
        <f t="shared" si="47"/>
        <v>-5000</v>
      </c>
    </row>
    <row r="1492" spans="1:15" x14ac:dyDescent="0.2">
      <c r="A1492" s="51" t="s">
        <v>3567</v>
      </c>
      <c r="B1492" s="51" t="s">
        <v>3568</v>
      </c>
      <c r="C1492" s="51" t="s">
        <v>87</v>
      </c>
      <c r="D1492" s="51" t="s">
        <v>682</v>
      </c>
      <c r="E1492" s="51" t="s">
        <v>681</v>
      </c>
      <c r="F1492" s="52">
        <v>6719.4251941191342</v>
      </c>
      <c r="G1492" s="52">
        <v>1015</v>
      </c>
      <c r="H1492" s="52">
        <v>0</v>
      </c>
      <c r="I1492" s="52">
        <v>1015</v>
      </c>
      <c r="J1492" s="51">
        <v>1</v>
      </c>
      <c r="K1492" s="54">
        <v>5000</v>
      </c>
      <c r="L1492" s="51">
        <v>0</v>
      </c>
      <c r="M1492" s="54">
        <v>0</v>
      </c>
      <c r="N1492" s="53">
        <f t="shared" si="46"/>
        <v>5000</v>
      </c>
      <c r="O1492" s="53">
        <f t="shared" si="47"/>
        <v>-5000</v>
      </c>
    </row>
    <row r="1493" spans="1:15" x14ac:dyDescent="0.2">
      <c r="A1493" s="51" t="s">
        <v>3567</v>
      </c>
      <c r="B1493" s="51" t="s">
        <v>3568</v>
      </c>
      <c r="C1493" s="51" t="s">
        <v>53</v>
      </c>
      <c r="D1493" s="51" t="s">
        <v>2999</v>
      </c>
      <c r="E1493" s="51" t="s">
        <v>881</v>
      </c>
      <c r="F1493" s="52">
        <v>3154.0012000000002</v>
      </c>
      <c r="G1493" s="52">
        <v>8100</v>
      </c>
      <c r="H1493" s="52">
        <v>5392</v>
      </c>
      <c r="I1493" s="52">
        <v>13492</v>
      </c>
      <c r="J1493" s="51">
        <v>0</v>
      </c>
      <c r="K1493" s="54">
        <v>0</v>
      </c>
      <c r="L1493" s="51">
        <v>1</v>
      </c>
      <c r="M1493" s="54">
        <v>5000</v>
      </c>
      <c r="N1493" s="53">
        <f t="shared" si="46"/>
        <v>-5000</v>
      </c>
      <c r="O1493" s="53">
        <f t="shared" si="47"/>
        <v>5000</v>
      </c>
    </row>
    <row r="1494" spans="1:15" x14ac:dyDescent="0.2">
      <c r="A1494" s="51" t="s">
        <v>3567</v>
      </c>
      <c r="B1494" s="51" t="s">
        <v>3568</v>
      </c>
      <c r="C1494" s="51" t="s">
        <v>78</v>
      </c>
      <c r="D1494" s="51" t="s">
        <v>3233</v>
      </c>
      <c r="E1494" s="51" t="s">
        <v>3232</v>
      </c>
      <c r="F1494" s="52">
        <v>14429.9069</v>
      </c>
      <c r="G1494" s="52">
        <v>0</v>
      </c>
      <c r="H1494" s="52">
        <v>2500</v>
      </c>
      <c r="I1494" s="52">
        <v>2500</v>
      </c>
      <c r="J1494" s="51">
        <v>0</v>
      </c>
      <c r="K1494" s="54">
        <v>0</v>
      </c>
      <c r="L1494" s="51">
        <v>1</v>
      </c>
      <c r="M1494" s="54">
        <v>20000</v>
      </c>
      <c r="N1494" s="53">
        <f t="shared" si="46"/>
        <v>-20000</v>
      </c>
      <c r="O1494" s="53">
        <f t="shared" si="47"/>
        <v>20000</v>
      </c>
    </row>
    <row r="1495" spans="1:15" x14ac:dyDescent="0.2">
      <c r="A1495" s="51" t="s">
        <v>3567</v>
      </c>
      <c r="B1495" s="51" t="s">
        <v>3568</v>
      </c>
      <c r="C1495" s="51" t="s">
        <v>93</v>
      </c>
      <c r="D1495" s="51" t="s">
        <v>2793</v>
      </c>
      <c r="E1495" s="51" t="s">
        <v>2792</v>
      </c>
      <c r="F1495" s="52">
        <v>15831.697550000001</v>
      </c>
      <c r="G1495" s="52">
        <v>9380</v>
      </c>
      <c r="H1495" s="52">
        <v>5850</v>
      </c>
      <c r="I1495" s="52">
        <v>15230</v>
      </c>
      <c r="J1495" s="51">
        <v>1</v>
      </c>
      <c r="K1495" s="54">
        <v>5000</v>
      </c>
      <c r="L1495" s="51">
        <v>0</v>
      </c>
      <c r="M1495" s="54">
        <v>0</v>
      </c>
      <c r="N1495" s="53">
        <f t="shared" si="46"/>
        <v>5000</v>
      </c>
      <c r="O1495" s="53">
        <f t="shared" si="47"/>
        <v>-5000</v>
      </c>
    </row>
    <row r="1496" spans="1:15" x14ac:dyDescent="0.2">
      <c r="A1496" s="51" t="s">
        <v>3567</v>
      </c>
      <c r="B1496" s="51" t="s">
        <v>3568</v>
      </c>
      <c r="C1496" s="51" t="s">
        <v>71</v>
      </c>
      <c r="D1496" s="51" t="s">
        <v>1592</v>
      </c>
      <c r="E1496" s="51" t="s">
        <v>1591</v>
      </c>
      <c r="F1496" s="52">
        <v>32978.1708</v>
      </c>
      <c r="G1496" s="52">
        <v>3715</v>
      </c>
      <c r="H1496" s="52">
        <v>14070</v>
      </c>
      <c r="I1496" s="52">
        <v>17785</v>
      </c>
      <c r="J1496" s="51">
        <v>1</v>
      </c>
      <c r="K1496" s="54">
        <v>20000</v>
      </c>
      <c r="L1496" s="51">
        <v>0</v>
      </c>
      <c r="M1496" s="54">
        <v>0</v>
      </c>
      <c r="N1496" s="53">
        <f t="shared" si="46"/>
        <v>20000</v>
      </c>
      <c r="O1496" s="53">
        <f t="shared" si="47"/>
        <v>-20000</v>
      </c>
    </row>
    <row r="1497" spans="1:15" x14ac:dyDescent="0.2">
      <c r="A1497" s="51" t="s">
        <v>3567</v>
      </c>
      <c r="B1497" s="51" t="s">
        <v>3568</v>
      </c>
      <c r="C1497" s="51" t="s">
        <v>86</v>
      </c>
      <c r="D1497" s="51" t="s">
        <v>4350</v>
      </c>
      <c r="E1497" s="51" t="s">
        <v>4351</v>
      </c>
      <c r="F1497" s="52">
        <v>101.947585703665</v>
      </c>
      <c r="G1497" s="52">
        <v>0</v>
      </c>
      <c r="H1497" s="52">
        <v>0</v>
      </c>
      <c r="I1497" s="52">
        <v>0</v>
      </c>
      <c r="J1497" s="51">
        <v>0</v>
      </c>
      <c r="K1497" s="54">
        <v>0</v>
      </c>
      <c r="L1497" s="51">
        <v>0</v>
      </c>
      <c r="M1497" s="54">
        <v>0</v>
      </c>
      <c r="N1497" s="53">
        <f t="shared" si="46"/>
        <v>0</v>
      </c>
      <c r="O1497" s="53">
        <f t="shared" si="47"/>
        <v>0</v>
      </c>
    </row>
    <row r="1498" spans="1:15" x14ac:dyDescent="0.2">
      <c r="A1498" s="51" t="s">
        <v>3567</v>
      </c>
      <c r="B1498" s="51" t="s">
        <v>3568</v>
      </c>
      <c r="C1498" s="51" t="s">
        <v>87</v>
      </c>
      <c r="D1498" s="51" t="s">
        <v>4408</v>
      </c>
      <c r="E1498" s="51" t="s">
        <v>4409</v>
      </c>
      <c r="F1498" s="52">
        <v>1.3803851439855399</v>
      </c>
      <c r="G1498" s="52">
        <v>0</v>
      </c>
      <c r="H1498" s="52">
        <v>0</v>
      </c>
      <c r="I1498" s="52">
        <v>0</v>
      </c>
      <c r="J1498" s="51">
        <v>0</v>
      </c>
      <c r="K1498" s="54">
        <v>0</v>
      </c>
      <c r="L1498" s="51">
        <v>0</v>
      </c>
      <c r="M1498" s="54">
        <v>0</v>
      </c>
      <c r="N1498" s="53">
        <f t="shared" si="46"/>
        <v>0</v>
      </c>
      <c r="O1498" s="53">
        <f t="shared" si="47"/>
        <v>0</v>
      </c>
    </row>
    <row r="1499" spans="1:15" x14ac:dyDescent="0.2">
      <c r="A1499" s="51" t="s">
        <v>3567</v>
      </c>
      <c r="B1499" s="51" t="s">
        <v>3568</v>
      </c>
      <c r="C1499" s="51" t="s">
        <v>57</v>
      </c>
      <c r="D1499" s="51" t="s">
        <v>1084</v>
      </c>
      <c r="E1499" s="51" t="s">
        <v>1083</v>
      </c>
      <c r="F1499" s="52">
        <v>11137.2193674231</v>
      </c>
      <c r="G1499" s="52">
        <v>1000</v>
      </c>
      <c r="H1499" s="52">
        <v>18030</v>
      </c>
      <c r="I1499" s="52">
        <v>19030</v>
      </c>
      <c r="J1499" s="51">
        <v>0</v>
      </c>
      <c r="K1499" s="54">
        <v>0</v>
      </c>
      <c r="L1499" s="51">
        <v>1</v>
      </c>
      <c r="M1499" s="54">
        <v>10000</v>
      </c>
      <c r="N1499" s="53">
        <f t="shared" si="46"/>
        <v>-10000</v>
      </c>
      <c r="O1499" s="53">
        <f t="shared" si="47"/>
        <v>10000</v>
      </c>
    </row>
    <row r="1500" spans="1:15" x14ac:dyDescent="0.2">
      <c r="A1500" s="51" t="s">
        <v>3567</v>
      </c>
      <c r="B1500" s="51" t="s">
        <v>3568</v>
      </c>
      <c r="C1500" s="51" t="s">
        <v>72</v>
      </c>
      <c r="D1500" s="51" t="s">
        <v>2261</v>
      </c>
      <c r="E1500" s="51" t="s">
        <v>2260</v>
      </c>
      <c r="F1500" s="52">
        <v>3261.2563655820732</v>
      </c>
      <c r="G1500" s="52">
        <v>4740</v>
      </c>
      <c r="H1500" s="52">
        <v>395</v>
      </c>
      <c r="I1500" s="52">
        <v>5135</v>
      </c>
      <c r="J1500" s="51">
        <v>1</v>
      </c>
      <c r="K1500" s="54">
        <v>6000</v>
      </c>
      <c r="L1500" s="51">
        <v>0</v>
      </c>
      <c r="M1500" s="54">
        <v>0</v>
      </c>
      <c r="N1500" s="53">
        <f t="shared" si="46"/>
        <v>6000</v>
      </c>
      <c r="O1500" s="53">
        <f t="shared" si="47"/>
        <v>-6000</v>
      </c>
    </row>
    <row r="1501" spans="1:15" x14ac:dyDescent="0.2">
      <c r="A1501" s="51" t="s">
        <v>3567</v>
      </c>
      <c r="B1501" s="51" t="s">
        <v>3568</v>
      </c>
      <c r="C1501" s="51" t="s">
        <v>79</v>
      </c>
      <c r="D1501" s="51" t="s">
        <v>2848</v>
      </c>
      <c r="E1501" s="51" t="s">
        <v>2847</v>
      </c>
      <c r="F1501" s="52">
        <v>10389.33029163699</v>
      </c>
      <c r="G1501" s="52">
        <v>0</v>
      </c>
      <c r="H1501" s="52">
        <v>95</v>
      </c>
      <c r="I1501" s="52">
        <v>95</v>
      </c>
      <c r="J1501" s="51">
        <v>1</v>
      </c>
      <c r="K1501" s="54">
        <v>5000</v>
      </c>
      <c r="L1501" s="51">
        <v>0</v>
      </c>
      <c r="M1501" s="54">
        <v>0</v>
      </c>
      <c r="N1501" s="53">
        <f t="shared" si="46"/>
        <v>5000</v>
      </c>
      <c r="O1501" s="53">
        <f t="shared" si="47"/>
        <v>-5000</v>
      </c>
    </row>
    <row r="1502" spans="1:15" x14ac:dyDescent="0.2">
      <c r="A1502" s="51" t="s">
        <v>3567</v>
      </c>
      <c r="B1502" s="51" t="s">
        <v>3568</v>
      </c>
      <c r="C1502" s="51" t="s">
        <v>68</v>
      </c>
      <c r="D1502" s="51" t="s">
        <v>1402</v>
      </c>
      <c r="E1502" s="51" t="s">
        <v>1401</v>
      </c>
      <c r="F1502" s="52">
        <v>4419.2456161758673</v>
      </c>
      <c r="G1502" s="52">
        <v>5330</v>
      </c>
      <c r="H1502" s="52">
        <v>14525</v>
      </c>
      <c r="I1502" s="52">
        <v>19855</v>
      </c>
      <c r="J1502" s="51">
        <v>1</v>
      </c>
      <c r="K1502" s="54">
        <v>5000</v>
      </c>
      <c r="L1502" s="51">
        <v>2</v>
      </c>
      <c r="M1502" s="54">
        <v>15000</v>
      </c>
      <c r="N1502" s="53">
        <f t="shared" si="46"/>
        <v>-10000</v>
      </c>
      <c r="O1502" s="53">
        <f t="shared" si="47"/>
        <v>10000</v>
      </c>
    </row>
    <row r="1503" spans="1:15" x14ac:dyDescent="0.2">
      <c r="A1503" s="51" t="s">
        <v>3567</v>
      </c>
      <c r="B1503" s="51" t="s">
        <v>3568</v>
      </c>
      <c r="C1503" s="51" t="s">
        <v>63</v>
      </c>
      <c r="D1503" s="51" t="s">
        <v>2194</v>
      </c>
      <c r="E1503" s="51" t="s">
        <v>2193</v>
      </c>
      <c r="F1503" s="52">
        <v>3011.467565902321</v>
      </c>
      <c r="G1503" s="52">
        <v>19240</v>
      </c>
      <c r="H1503" s="52">
        <v>3300</v>
      </c>
      <c r="I1503" s="52">
        <v>22540</v>
      </c>
      <c r="J1503" s="51">
        <v>3</v>
      </c>
      <c r="K1503" s="54">
        <v>15000</v>
      </c>
      <c r="L1503" s="51">
        <v>0</v>
      </c>
      <c r="M1503" s="54">
        <v>0</v>
      </c>
      <c r="N1503" s="53">
        <f t="shared" si="46"/>
        <v>15000</v>
      </c>
      <c r="O1503" s="53">
        <f t="shared" si="47"/>
        <v>-15000</v>
      </c>
    </row>
    <row r="1504" spans="1:15" x14ac:dyDescent="0.2">
      <c r="A1504" s="51" t="s">
        <v>3567</v>
      </c>
      <c r="B1504" s="51" t="s">
        <v>3568</v>
      </c>
      <c r="C1504" s="51" t="s">
        <v>3590</v>
      </c>
      <c r="D1504" s="51" t="s">
        <v>4373</v>
      </c>
      <c r="E1504" s="51" t="s">
        <v>4374</v>
      </c>
      <c r="F1504" s="52">
        <v>8.2817000049999994</v>
      </c>
      <c r="G1504" s="52">
        <v>0</v>
      </c>
      <c r="H1504" s="52">
        <v>0</v>
      </c>
      <c r="I1504" s="52">
        <v>0</v>
      </c>
      <c r="J1504" s="51">
        <v>0</v>
      </c>
      <c r="K1504" s="54">
        <v>0</v>
      </c>
      <c r="L1504" s="51">
        <v>0</v>
      </c>
      <c r="M1504" s="54">
        <v>0</v>
      </c>
      <c r="N1504" s="53">
        <f t="shared" si="46"/>
        <v>0</v>
      </c>
      <c r="O1504" s="53">
        <f t="shared" si="47"/>
        <v>0</v>
      </c>
    </row>
    <row r="1505" spans="1:15" x14ac:dyDescent="0.2">
      <c r="A1505" s="51" t="s">
        <v>3567</v>
      </c>
      <c r="B1505" s="51" t="s">
        <v>3568</v>
      </c>
      <c r="C1505" s="51" t="s">
        <v>76</v>
      </c>
      <c r="D1505" s="51" t="s">
        <v>2540</v>
      </c>
      <c r="E1505" s="51" t="s">
        <v>2539</v>
      </c>
      <c r="F1505" s="52">
        <v>840.65464999999995</v>
      </c>
      <c r="G1505" s="52">
        <v>3710</v>
      </c>
      <c r="H1505" s="52">
        <v>48830</v>
      </c>
      <c r="I1505" s="52">
        <v>52540</v>
      </c>
      <c r="J1505" s="51">
        <v>1</v>
      </c>
      <c r="K1505" s="54">
        <v>5000</v>
      </c>
      <c r="L1505" s="51">
        <v>1</v>
      </c>
      <c r="M1505" s="54">
        <v>50000</v>
      </c>
      <c r="N1505" s="53">
        <f t="shared" si="46"/>
        <v>-45000</v>
      </c>
      <c r="O1505" s="53">
        <f t="shared" si="47"/>
        <v>45000</v>
      </c>
    </row>
    <row r="1506" spans="1:15" x14ac:dyDescent="0.2">
      <c r="A1506" s="51" t="s">
        <v>3567</v>
      </c>
      <c r="B1506" s="51" t="s">
        <v>3568</v>
      </c>
      <c r="C1506" s="51" t="s">
        <v>3647</v>
      </c>
      <c r="D1506" s="51" t="s">
        <v>4377</v>
      </c>
      <c r="E1506" s="51" t="s">
        <v>2153</v>
      </c>
      <c r="F1506" s="52">
        <v>4.4356499999999999</v>
      </c>
      <c r="G1506" s="52">
        <v>0</v>
      </c>
      <c r="H1506" s="52">
        <v>0</v>
      </c>
      <c r="I1506" s="52">
        <v>0</v>
      </c>
      <c r="J1506" s="51">
        <v>0</v>
      </c>
      <c r="K1506" s="54">
        <v>0</v>
      </c>
      <c r="L1506" s="51">
        <v>0</v>
      </c>
      <c r="M1506" s="54">
        <v>0</v>
      </c>
      <c r="N1506" s="53">
        <f t="shared" si="46"/>
        <v>0</v>
      </c>
      <c r="O1506" s="53">
        <f t="shared" si="47"/>
        <v>0</v>
      </c>
    </row>
    <row r="1507" spans="1:15" x14ac:dyDescent="0.2">
      <c r="A1507" s="51" t="s">
        <v>3567</v>
      </c>
      <c r="B1507" s="51" t="s">
        <v>3568</v>
      </c>
      <c r="C1507" s="51" t="s">
        <v>3707</v>
      </c>
      <c r="D1507" s="51" t="s">
        <v>4398</v>
      </c>
      <c r="E1507" s="51" t="s">
        <v>4399</v>
      </c>
      <c r="F1507" s="52">
        <v>1.5218</v>
      </c>
      <c r="G1507" s="52">
        <v>0</v>
      </c>
      <c r="H1507" s="52">
        <v>0</v>
      </c>
      <c r="I1507" s="52">
        <v>0</v>
      </c>
      <c r="J1507" s="51">
        <v>0</v>
      </c>
      <c r="K1507" s="54">
        <v>0</v>
      </c>
      <c r="L1507" s="51">
        <v>0</v>
      </c>
      <c r="M1507" s="54">
        <v>0</v>
      </c>
      <c r="N1507" s="53">
        <f t="shared" si="46"/>
        <v>0</v>
      </c>
      <c r="O1507" s="53">
        <f t="shared" si="47"/>
        <v>0</v>
      </c>
    </row>
    <row r="1508" spans="1:15" x14ac:dyDescent="0.2">
      <c r="A1508" s="51" t="s">
        <v>3567</v>
      </c>
      <c r="B1508" s="51" t="s">
        <v>3568</v>
      </c>
      <c r="C1508" s="51" t="s">
        <v>87</v>
      </c>
      <c r="D1508" s="51" t="s">
        <v>420</v>
      </c>
      <c r="E1508" s="51" t="s">
        <v>419</v>
      </c>
      <c r="F1508" s="52">
        <v>4954.4030270000003</v>
      </c>
      <c r="G1508" s="52">
        <v>2830</v>
      </c>
      <c r="H1508" s="52">
        <v>2150</v>
      </c>
      <c r="I1508" s="52">
        <v>4980</v>
      </c>
      <c r="J1508" s="51">
        <v>1</v>
      </c>
      <c r="K1508" s="54">
        <v>5000</v>
      </c>
      <c r="L1508" s="51">
        <v>0</v>
      </c>
      <c r="M1508" s="54">
        <v>0</v>
      </c>
      <c r="N1508" s="53">
        <f t="shared" si="46"/>
        <v>5000</v>
      </c>
      <c r="O1508" s="53">
        <f t="shared" si="47"/>
        <v>-5000</v>
      </c>
    </row>
    <row r="1509" spans="1:15" x14ac:dyDescent="0.2">
      <c r="A1509" s="51" t="s">
        <v>3567</v>
      </c>
      <c r="B1509" s="51" t="s">
        <v>3568</v>
      </c>
      <c r="C1509" s="51" t="s">
        <v>62</v>
      </c>
      <c r="D1509" s="51" t="s">
        <v>1127</v>
      </c>
      <c r="E1509" s="51" t="s">
        <v>1126</v>
      </c>
      <c r="F1509" s="52">
        <v>11519.298976346379</v>
      </c>
      <c r="G1509" s="52">
        <v>10450</v>
      </c>
      <c r="H1509" s="52">
        <v>9900</v>
      </c>
      <c r="I1509" s="52">
        <v>20350</v>
      </c>
      <c r="J1509" s="51">
        <v>0</v>
      </c>
      <c r="K1509" s="54">
        <v>0</v>
      </c>
      <c r="L1509" s="51">
        <v>1</v>
      </c>
      <c r="M1509" s="54">
        <v>15000</v>
      </c>
      <c r="N1509" s="53">
        <f t="shared" si="46"/>
        <v>-15000</v>
      </c>
      <c r="O1509" s="53">
        <f t="shared" si="47"/>
        <v>15000</v>
      </c>
    </row>
    <row r="1510" spans="1:15" x14ac:dyDescent="0.2">
      <c r="A1510" s="51" t="s">
        <v>3567</v>
      </c>
      <c r="B1510" s="51" t="s">
        <v>3568</v>
      </c>
      <c r="C1510" s="51" t="s">
        <v>74</v>
      </c>
      <c r="D1510" s="51" t="s">
        <v>317</v>
      </c>
      <c r="E1510" s="51" t="s">
        <v>316</v>
      </c>
      <c r="F1510" s="52">
        <v>16872.45185801269</v>
      </c>
      <c r="G1510" s="52">
        <v>0</v>
      </c>
      <c r="H1510" s="52">
        <v>0</v>
      </c>
      <c r="I1510" s="52">
        <v>0</v>
      </c>
      <c r="J1510" s="51">
        <v>1</v>
      </c>
      <c r="K1510" s="54">
        <v>6000</v>
      </c>
      <c r="L1510" s="51">
        <v>0</v>
      </c>
      <c r="M1510" s="54">
        <v>0</v>
      </c>
      <c r="N1510" s="53">
        <f t="shared" si="46"/>
        <v>6000</v>
      </c>
      <c r="O1510" s="53">
        <f t="shared" si="47"/>
        <v>-6000</v>
      </c>
    </row>
    <row r="1511" spans="1:15" x14ac:dyDescent="0.2">
      <c r="A1511" s="51" t="s">
        <v>3567</v>
      </c>
      <c r="B1511" s="51" t="s">
        <v>3568</v>
      </c>
      <c r="C1511" s="51" t="s">
        <v>3684</v>
      </c>
      <c r="D1511" s="51" t="s">
        <v>4380</v>
      </c>
      <c r="E1511" s="51" t="s">
        <v>1155</v>
      </c>
      <c r="F1511" s="52">
        <v>27.748525649739911</v>
      </c>
      <c r="G1511" s="52">
        <v>0</v>
      </c>
      <c r="H1511" s="52">
        <v>0</v>
      </c>
      <c r="I1511" s="52">
        <v>0</v>
      </c>
      <c r="J1511" s="51">
        <v>0</v>
      </c>
      <c r="K1511" s="54">
        <v>0</v>
      </c>
      <c r="L1511" s="51">
        <v>0</v>
      </c>
      <c r="M1511" s="54">
        <v>0</v>
      </c>
      <c r="N1511" s="53">
        <f t="shared" si="46"/>
        <v>0</v>
      </c>
      <c r="O1511" s="53">
        <f t="shared" si="47"/>
        <v>0</v>
      </c>
    </row>
    <row r="1512" spans="1:15" x14ac:dyDescent="0.2">
      <c r="A1512" s="51" t="s">
        <v>3567</v>
      </c>
      <c r="B1512" s="51" t="s">
        <v>3568</v>
      </c>
      <c r="C1512" s="51" t="s">
        <v>73</v>
      </c>
      <c r="D1512" s="51" t="s">
        <v>890</v>
      </c>
      <c r="E1512" s="51" t="s">
        <v>889</v>
      </c>
      <c r="F1512" s="52">
        <v>435.15517940392567</v>
      </c>
      <c r="G1512" s="52">
        <v>0</v>
      </c>
      <c r="H1512" s="52">
        <v>0</v>
      </c>
      <c r="I1512" s="52">
        <v>0</v>
      </c>
      <c r="J1512" s="51">
        <v>0</v>
      </c>
      <c r="K1512" s="54">
        <v>0</v>
      </c>
      <c r="L1512" s="51">
        <v>0</v>
      </c>
      <c r="M1512" s="54">
        <v>0</v>
      </c>
      <c r="N1512" s="53">
        <f t="shared" si="46"/>
        <v>0</v>
      </c>
      <c r="O1512" s="53">
        <f t="shared" si="47"/>
        <v>0</v>
      </c>
    </row>
    <row r="1513" spans="1:15" x14ac:dyDescent="0.2">
      <c r="A1513" s="51" t="s">
        <v>3567</v>
      </c>
      <c r="B1513" s="51" t="s">
        <v>3568</v>
      </c>
      <c r="C1513" s="51" t="s">
        <v>3876</v>
      </c>
      <c r="D1513" s="51" t="s">
        <v>4424</v>
      </c>
      <c r="E1513" s="51" t="s">
        <v>4425</v>
      </c>
      <c r="F1513" s="52">
        <v>30.769835335289692</v>
      </c>
      <c r="G1513" s="52">
        <v>0</v>
      </c>
      <c r="H1513" s="52">
        <v>0</v>
      </c>
      <c r="I1513" s="52">
        <v>0</v>
      </c>
      <c r="J1513" s="51">
        <v>0</v>
      </c>
      <c r="K1513" s="54">
        <v>0</v>
      </c>
      <c r="L1513" s="51">
        <v>0</v>
      </c>
      <c r="M1513" s="54">
        <v>0</v>
      </c>
      <c r="N1513" s="53">
        <f t="shared" si="46"/>
        <v>0</v>
      </c>
      <c r="O1513" s="53">
        <f t="shared" si="47"/>
        <v>0</v>
      </c>
    </row>
    <row r="1514" spans="1:15" x14ac:dyDescent="0.2">
      <c r="A1514" s="51" t="s">
        <v>3567</v>
      </c>
      <c r="B1514" s="51" t="s">
        <v>3568</v>
      </c>
      <c r="C1514" s="51" t="s">
        <v>86</v>
      </c>
      <c r="D1514" s="51" t="s">
        <v>323</v>
      </c>
      <c r="E1514" s="51" t="s">
        <v>322</v>
      </c>
      <c r="F1514" s="52">
        <v>2401.4748924655369</v>
      </c>
      <c r="G1514" s="52">
        <v>350</v>
      </c>
      <c r="H1514" s="52">
        <v>1450</v>
      </c>
      <c r="I1514" s="52">
        <v>1800</v>
      </c>
      <c r="J1514" s="51">
        <v>0</v>
      </c>
      <c r="K1514" s="54">
        <v>0</v>
      </c>
      <c r="L1514" s="51">
        <v>1</v>
      </c>
      <c r="M1514" s="54">
        <v>5000</v>
      </c>
      <c r="N1514" s="53">
        <f t="shared" si="46"/>
        <v>-5000</v>
      </c>
      <c r="O1514" s="53">
        <f t="shared" si="47"/>
        <v>5000</v>
      </c>
    </row>
    <row r="1515" spans="1:15" x14ac:dyDescent="0.2">
      <c r="A1515" s="51" t="s">
        <v>3567</v>
      </c>
      <c r="B1515" s="51" t="s">
        <v>3568</v>
      </c>
      <c r="C1515" s="51" t="s">
        <v>84</v>
      </c>
      <c r="D1515" s="51" t="s">
        <v>1571</v>
      </c>
      <c r="E1515" s="51" t="s">
        <v>1570</v>
      </c>
      <c r="F1515" s="52">
        <v>1677.9648</v>
      </c>
      <c r="G1515" s="52">
        <v>16295</v>
      </c>
      <c r="H1515" s="52">
        <v>800</v>
      </c>
      <c r="I1515" s="52">
        <v>17095</v>
      </c>
      <c r="J1515" s="51">
        <v>0</v>
      </c>
      <c r="K1515" s="54">
        <v>0</v>
      </c>
      <c r="L1515" s="51">
        <v>0</v>
      </c>
      <c r="M1515" s="54">
        <v>0</v>
      </c>
      <c r="N1515" s="53">
        <f t="shared" si="46"/>
        <v>0</v>
      </c>
      <c r="O1515" s="53">
        <f t="shared" si="47"/>
        <v>0</v>
      </c>
    </row>
    <row r="1516" spans="1:15" x14ac:dyDescent="0.2">
      <c r="A1516" s="51" t="s">
        <v>3567</v>
      </c>
      <c r="B1516" s="51" t="s">
        <v>3568</v>
      </c>
      <c r="C1516" s="51" t="s">
        <v>52</v>
      </c>
      <c r="D1516" s="51" t="s">
        <v>2265</v>
      </c>
      <c r="E1516" s="51" t="s">
        <v>2264</v>
      </c>
      <c r="F1516" s="52">
        <v>92.219039083135257</v>
      </c>
      <c r="G1516" s="52">
        <v>0</v>
      </c>
      <c r="H1516" s="52">
        <v>0</v>
      </c>
      <c r="I1516" s="52">
        <v>0</v>
      </c>
      <c r="J1516" s="51">
        <v>0</v>
      </c>
      <c r="K1516" s="54">
        <v>0</v>
      </c>
      <c r="L1516" s="51">
        <v>0</v>
      </c>
      <c r="M1516" s="54">
        <v>0</v>
      </c>
      <c r="N1516" s="53">
        <f t="shared" si="46"/>
        <v>0</v>
      </c>
      <c r="O1516" s="53">
        <f t="shared" si="47"/>
        <v>0</v>
      </c>
    </row>
    <row r="1517" spans="1:15" x14ac:dyDescent="0.2">
      <c r="A1517" s="51" t="s">
        <v>3567</v>
      </c>
      <c r="B1517" s="51" t="s">
        <v>3568</v>
      </c>
      <c r="C1517" s="51" t="s">
        <v>3684</v>
      </c>
      <c r="D1517" s="51" t="s">
        <v>4435</v>
      </c>
      <c r="E1517" s="51" t="s">
        <v>4436</v>
      </c>
      <c r="F1517" s="52">
        <v>2.092009590603825</v>
      </c>
      <c r="G1517" s="52">
        <v>0</v>
      </c>
      <c r="H1517" s="52">
        <v>0</v>
      </c>
      <c r="I1517" s="52">
        <v>0</v>
      </c>
      <c r="J1517" s="51">
        <v>0</v>
      </c>
      <c r="K1517" s="54">
        <v>0</v>
      </c>
      <c r="L1517" s="51">
        <v>0</v>
      </c>
      <c r="M1517" s="54">
        <v>0</v>
      </c>
      <c r="N1517" s="53">
        <f t="shared" si="46"/>
        <v>0</v>
      </c>
      <c r="O1517" s="53">
        <f t="shared" si="47"/>
        <v>0</v>
      </c>
    </row>
    <row r="1518" spans="1:15" x14ac:dyDescent="0.2">
      <c r="A1518" s="51" t="s">
        <v>3567</v>
      </c>
      <c r="B1518" s="51" t="s">
        <v>3568</v>
      </c>
      <c r="C1518" s="51" t="s">
        <v>56</v>
      </c>
      <c r="D1518" s="51" t="s">
        <v>536</v>
      </c>
      <c r="E1518" s="51" t="s">
        <v>535</v>
      </c>
      <c r="F1518" s="52">
        <v>0.1331</v>
      </c>
      <c r="G1518" s="52">
        <v>0</v>
      </c>
      <c r="H1518" s="52">
        <v>0</v>
      </c>
      <c r="I1518" s="52">
        <v>0</v>
      </c>
      <c r="J1518" s="51">
        <v>0</v>
      </c>
      <c r="K1518" s="54">
        <v>0</v>
      </c>
      <c r="L1518" s="51">
        <v>0</v>
      </c>
      <c r="M1518" s="54">
        <v>0</v>
      </c>
      <c r="N1518" s="53">
        <f t="shared" si="46"/>
        <v>0</v>
      </c>
      <c r="O1518" s="53">
        <f t="shared" si="47"/>
        <v>0</v>
      </c>
    </row>
    <row r="1519" spans="1:15" x14ac:dyDescent="0.2">
      <c r="A1519" s="51" t="s">
        <v>3567</v>
      </c>
      <c r="B1519" s="51" t="s">
        <v>3568</v>
      </c>
      <c r="C1519" s="51" t="s">
        <v>55</v>
      </c>
      <c r="D1519" s="51" t="s">
        <v>4414</v>
      </c>
      <c r="E1519" s="51" t="s">
        <v>4415</v>
      </c>
      <c r="F1519" s="52">
        <v>8.6067</v>
      </c>
      <c r="G1519" s="52">
        <v>0</v>
      </c>
      <c r="H1519" s="52">
        <v>0</v>
      </c>
      <c r="I1519" s="52">
        <v>0</v>
      </c>
      <c r="J1519" s="51">
        <v>0</v>
      </c>
      <c r="K1519" s="54">
        <v>0</v>
      </c>
      <c r="L1519" s="51">
        <v>0</v>
      </c>
      <c r="M1519" s="54">
        <v>0</v>
      </c>
      <c r="N1519" s="53">
        <f t="shared" si="46"/>
        <v>0</v>
      </c>
      <c r="O1519" s="53">
        <f t="shared" si="47"/>
        <v>0</v>
      </c>
    </row>
    <row r="1520" spans="1:15" x14ac:dyDescent="0.2">
      <c r="A1520" s="51" t="s">
        <v>3567</v>
      </c>
      <c r="B1520" s="51" t="s">
        <v>3568</v>
      </c>
      <c r="C1520" s="51" t="s">
        <v>3864</v>
      </c>
      <c r="D1520" s="51" t="s">
        <v>4432</v>
      </c>
      <c r="E1520" s="51" t="s">
        <v>726</v>
      </c>
      <c r="F1520" s="52">
        <v>8.1894983104169993E-3</v>
      </c>
      <c r="G1520" s="52">
        <v>0</v>
      </c>
      <c r="H1520" s="52">
        <v>0</v>
      </c>
      <c r="I1520" s="52">
        <v>0</v>
      </c>
      <c r="J1520" s="51">
        <v>0</v>
      </c>
      <c r="K1520" s="54">
        <v>0</v>
      </c>
      <c r="L1520" s="51">
        <v>0</v>
      </c>
      <c r="M1520" s="54">
        <v>0</v>
      </c>
      <c r="N1520" s="53">
        <f t="shared" si="46"/>
        <v>0</v>
      </c>
      <c r="O1520" s="53">
        <f t="shared" si="47"/>
        <v>0</v>
      </c>
    </row>
    <row r="1521" spans="1:15" x14ac:dyDescent="0.2">
      <c r="A1521" s="51" t="s">
        <v>3567</v>
      </c>
      <c r="B1521" s="51" t="s">
        <v>3568</v>
      </c>
      <c r="C1521" s="51" t="s">
        <v>3653</v>
      </c>
      <c r="D1521" s="51" t="s">
        <v>4387</v>
      </c>
      <c r="E1521" s="51" t="s">
        <v>4388</v>
      </c>
      <c r="F1521" s="52">
        <v>44.165801110979139</v>
      </c>
      <c r="G1521" s="52">
        <v>0</v>
      </c>
      <c r="H1521" s="52">
        <v>0</v>
      </c>
      <c r="I1521" s="52">
        <v>0</v>
      </c>
      <c r="J1521" s="51">
        <v>0</v>
      </c>
      <c r="K1521" s="54">
        <v>0</v>
      </c>
      <c r="L1521" s="51">
        <v>0</v>
      </c>
      <c r="M1521" s="54">
        <v>0</v>
      </c>
      <c r="N1521" s="53">
        <f t="shared" si="46"/>
        <v>0</v>
      </c>
      <c r="O1521" s="53">
        <f t="shared" si="47"/>
        <v>0</v>
      </c>
    </row>
    <row r="1522" spans="1:15" x14ac:dyDescent="0.2">
      <c r="A1522" s="51" t="s">
        <v>3567</v>
      </c>
      <c r="B1522" s="51" t="s">
        <v>3568</v>
      </c>
      <c r="C1522" s="51" t="s">
        <v>66</v>
      </c>
      <c r="D1522" s="51" t="s">
        <v>962</v>
      </c>
      <c r="E1522" s="51" t="s">
        <v>961</v>
      </c>
      <c r="F1522" s="52">
        <v>7650.0142710329037</v>
      </c>
      <c r="G1522" s="52">
        <v>39300</v>
      </c>
      <c r="H1522" s="52">
        <v>25870</v>
      </c>
      <c r="I1522" s="52">
        <v>65170</v>
      </c>
      <c r="J1522" s="51">
        <v>1</v>
      </c>
      <c r="K1522" s="54">
        <v>5000</v>
      </c>
      <c r="L1522" s="51">
        <v>0</v>
      </c>
      <c r="M1522" s="54">
        <v>0</v>
      </c>
      <c r="N1522" s="53">
        <f t="shared" si="46"/>
        <v>5000</v>
      </c>
      <c r="O1522" s="53">
        <f t="shared" si="47"/>
        <v>-5000</v>
      </c>
    </row>
    <row r="1523" spans="1:15" x14ac:dyDescent="0.2">
      <c r="A1523" s="51" t="s">
        <v>3567</v>
      </c>
      <c r="B1523" s="51" t="s">
        <v>3568</v>
      </c>
      <c r="C1523" s="51" t="s">
        <v>55</v>
      </c>
      <c r="D1523" s="51" t="s">
        <v>3139</v>
      </c>
      <c r="E1523" s="51" t="s">
        <v>3138</v>
      </c>
      <c r="F1523" s="52">
        <v>1605.5513320422599</v>
      </c>
      <c r="G1523" s="52">
        <v>0</v>
      </c>
      <c r="H1523" s="52">
        <v>0</v>
      </c>
      <c r="I1523" s="52">
        <v>0</v>
      </c>
      <c r="J1523" s="51">
        <v>0</v>
      </c>
      <c r="K1523" s="54">
        <v>0</v>
      </c>
      <c r="L1523" s="51">
        <v>0</v>
      </c>
      <c r="M1523" s="54">
        <v>0</v>
      </c>
      <c r="N1523" s="53">
        <f t="shared" si="46"/>
        <v>0</v>
      </c>
      <c r="O1523" s="53">
        <f t="shared" si="47"/>
        <v>0</v>
      </c>
    </row>
    <row r="1524" spans="1:15" x14ac:dyDescent="0.2">
      <c r="A1524" s="51" t="s">
        <v>3567</v>
      </c>
      <c r="B1524" s="51" t="s">
        <v>3568</v>
      </c>
      <c r="C1524" s="51" t="s">
        <v>60</v>
      </c>
      <c r="D1524" s="51" t="s">
        <v>3206</v>
      </c>
      <c r="E1524" s="51" t="s">
        <v>3205</v>
      </c>
      <c r="F1524" s="52">
        <v>82325.340400000001</v>
      </c>
      <c r="G1524" s="52">
        <v>34310</v>
      </c>
      <c r="H1524" s="52">
        <v>22355</v>
      </c>
      <c r="I1524" s="52">
        <v>56665</v>
      </c>
      <c r="J1524" s="51">
        <v>1</v>
      </c>
      <c r="K1524" s="54">
        <v>7000</v>
      </c>
      <c r="L1524" s="51">
        <v>0</v>
      </c>
      <c r="M1524" s="54">
        <v>0</v>
      </c>
      <c r="N1524" s="53">
        <f t="shared" si="46"/>
        <v>7000</v>
      </c>
      <c r="O1524" s="53">
        <f t="shared" si="47"/>
        <v>-7000</v>
      </c>
    </row>
    <row r="1525" spans="1:15" x14ac:dyDescent="0.2">
      <c r="A1525" s="51" t="s">
        <v>3567</v>
      </c>
      <c r="B1525" s="51" t="s">
        <v>3568</v>
      </c>
      <c r="C1525" s="51" t="s">
        <v>75</v>
      </c>
      <c r="D1525" s="51" t="s">
        <v>3029</v>
      </c>
      <c r="E1525" s="51" t="s">
        <v>3028</v>
      </c>
      <c r="F1525" s="52">
        <v>9984.0931722760033</v>
      </c>
      <c r="G1525" s="52">
        <v>1250</v>
      </c>
      <c r="H1525" s="52">
        <v>4850</v>
      </c>
      <c r="I1525" s="52">
        <v>6100</v>
      </c>
      <c r="J1525" s="51">
        <v>0</v>
      </c>
      <c r="K1525" s="54">
        <v>0</v>
      </c>
      <c r="L1525" s="51">
        <v>1</v>
      </c>
      <c r="M1525" s="54">
        <v>15000</v>
      </c>
      <c r="N1525" s="53">
        <f t="shared" si="46"/>
        <v>-15000</v>
      </c>
      <c r="O1525" s="53">
        <f t="shared" si="47"/>
        <v>15000</v>
      </c>
    </row>
    <row r="1526" spans="1:15" x14ac:dyDescent="0.2">
      <c r="A1526" s="51" t="s">
        <v>3567</v>
      </c>
      <c r="B1526" s="51" t="s">
        <v>3568</v>
      </c>
      <c r="C1526" s="51" t="s">
        <v>3574</v>
      </c>
      <c r="D1526" s="51" t="s">
        <v>4383</v>
      </c>
      <c r="E1526" s="51" t="s">
        <v>4384</v>
      </c>
      <c r="F1526" s="52">
        <v>1682.2775706215509</v>
      </c>
      <c r="G1526" s="52">
        <v>0</v>
      </c>
      <c r="H1526" s="52">
        <v>0</v>
      </c>
      <c r="I1526" s="52">
        <v>0</v>
      </c>
      <c r="J1526" s="51">
        <v>0</v>
      </c>
      <c r="K1526" s="54">
        <v>0</v>
      </c>
      <c r="L1526" s="51">
        <v>0</v>
      </c>
      <c r="M1526" s="54">
        <v>0</v>
      </c>
      <c r="N1526" s="53">
        <f t="shared" si="46"/>
        <v>0</v>
      </c>
      <c r="O1526" s="53">
        <f t="shared" si="47"/>
        <v>0</v>
      </c>
    </row>
    <row r="1527" spans="1:15" x14ac:dyDescent="0.2">
      <c r="A1527" s="51" t="s">
        <v>3567</v>
      </c>
      <c r="B1527" s="51" t="s">
        <v>3568</v>
      </c>
      <c r="C1527" s="51" t="s">
        <v>3698</v>
      </c>
      <c r="D1527" s="51" t="s">
        <v>4428</v>
      </c>
      <c r="E1527" s="51" t="s">
        <v>4429</v>
      </c>
      <c r="F1527" s="52">
        <v>73.889499999999998</v>
      </c>
      <c r="G1527" s="52">
        <v>0</v>
      </c>
      <c r="H1527" s="52">
        <v>0</v>
      </c>
      <c r="I1527" s="52">
        <v>0</v>
      </c>
      <c r="J1527" s="51">
        <v>0</v>
      </c>
      <c r="K1527" s="54">
        <v>0</v>
      </c>
      <c r="L1527" s="51">
        <v>0</v>
      </c>
      <c r="M1527" s="54">
        <v>0</v>
      </c>
      <c r="N1527" s="53">
        <f t="shared" si="46"/>
        <v>0</v>
      </c>
      <c r="O1527" s="53">
        <f t="shared" si="47"/>
        <v>0</v>
      </c>
    </row>
    <row r="1528" spans="1:15" x14ac:dyDescent="0.2">
      <c r="A1528" s="51" t="s">
        <v>3567</v>
      </c>
      <c r="B1528" s="51" t="s">
        <v>3568</v>
      </c>
      <c r="C1528" s="51" t="s">
        <v>85</v>
      </c>
      <c r="D1528" s="51" t="s">
        <v>2228</v>
      </c>
      <c r="E1528" s="51" t="s">
        <v>2227</v>
      </c>
      <c r="F1528" s="52">
        <v>1.488550002</v>
      </c>
      <c r="G1528" s="52">
        <v>6030</v>
      </c>
      <c r="H1528" s="52">
        <v>0</v>
      </c>
      <c r="I1528" s="52">
        <v>6030</v>
      </c>
      <c r="J1528" s="51">
        <v>2</v>
      </c>
      <c r="K1528" s="54">
        <v>6000</v>
      </c>
      <c r="L1528" s="51">
        <v>0</v>
      </c>
      <c r="M1528" s="54">
        <v>0</v>
      </c>
      <c r="N1528" s="53">
        <f t="shared" si="46"/>
        <v>6000</v>
      </c>
      <c r="O1528" s="53">
        <f t="shared" si="47"/>
        <v>-6000</v>
      </c>
    </row>
    <row r="1529" spans="1:15" x14ac:dyDescent="0.2">
      <c r="A1529" s="51" t="s">
        <v>3567</v>
      </c>
      <c r="B1529" s="51" t="s">
        <v>3568</v>
      </c>
      <c r="C1529" s="51" t="s">
        <v>3650</v>
      </c>
      <c r="D1529" s="51" t="s">
        <v>4418</v>
      </c>
      <c r="E1529" s="51" t="s">
        <v>4419</v>
      </c>
      <c r="F1529" s="52">
        <v>4.4897549999999997</v>
      </c>
      <c r="G1529" s="52">
        <v>0</v>
      </c>
      <c r="H1529" s="52">
        <v>0</v>
      </c>
      <c r="I1529" s="52">
        <v>0</v>
      </c>
      <c r="J1529" s="51">
        <v>0</v>
      </c>
      <c r="K1529" s="54">
        <v>0</v>
      </c>
      <c r="L1529" s="51">
        <v>0</v>
      </c>
      <c r="M1529" s="54">
        <v>0</v>
      </c>
      <c r="N1529" s="53">
        <f t="shared" si="46"/>
        <v>0</v>
      </c>
      <c r="O1529" s="53">
        <f t="shared" si="47"/>
        <v>0</v>
      </c>
    </row>
    <row r="1530" spans="1:15" x14ac:dyDescent="0.2">
      <c r="A1530" s="51" t="s">
        <v>3567</v>
      </c>
      <c r="B1530" s="51" t="s">
        <v>3568</v>
      </c>
      <c r="C1530" s="51" t="s">
        <v>56</v>
      </c>
      <c r="D1530" s="51" t="s">
        <v>3057</v>
      </c>
      <c r="E1530" s="51" t="s">
        <v>3056</v>
      </c>
      <c r="F1530" s="52">
        <v>7916.7810386818483</v>
      </c>
      <c r="G1530" s="52">
        <v>1355</v>
      </c>
      <c r="H1530" s="52">
        <v>6200</v>
      </c>
      <c r="I1530" s="52">
        <v>7555</v>
      </c>
      <c r="J1530" s="51">
        <v>0</v>
      </c>
      <c r="K1530" s="54">
        <v>0</v>
      </c>
      <c r="L1530" s="51">
        <v>1</v>
      </c>
      <c r="M1530" s="54">
        <v>8000</v>
      </c>
      <c r="N1530" s="53">
        <f t="shared" si="46"/>
        <v>-8000</v>
      </c>
      <c r="O1530" s="53">
        <f t="shared" si="47"/>
        <v>8000</v>
      </c>
    </row>
    <row r="1531" spans="1:15" x14ac:dyDescent="0.2">
      <c r="A1531" s="51" t="s">
        <v>3567</v>
      </c>
      <c r="B1531" s="51" t="s">
        <v>3568</v>
      </c>
      <c r="C1531" s="51" t="s">
        <v>3590</v>
      </c>
      <c r="D1531" s="51" t="s">
        <v>4394</v>
      </c>
      <c r="E1531" s="51" t="s">
        <v>4395</v>
      </c>
      <c r="F1531" s="52">
        <v>15323.327205697091</v>
      </c>
      <c r="G1531" s="52">
        <v>0</v>
      </c>
      <c r="H1531" s="52">
        <v>0</v>
      </c>
      <c r="I1531" s="52">
        <v>0</v>
      </c>
      <c r="J1531" s="51">
        <v>0</v>
      </c>
      <c r="K1531" s="54">
        <v>0</v>
      </c>
      <c r="L1531" s="51">
        <v>0</v>
      </c>
      <c r="M1531" s="54">
        <v>0</v>
      </c>
      <c r="N1531" s="53">
        <f t="shared" si="46"/>
        <v>0</v>
      </c>
      <c r="O1531" s="53">
        <f t="shared" si="47"/>
        <v>0</v>
      </c>
    </row>
    <row r="1532" spans="1:15" x14ac:dyDescent="0.2">
      <c r="A1532" s="51" t="s">
        <v>3567</v>
      </c>
      <c r="B1532" s="51" t="s">
        <v>3568</v>
      </c>
      <c r="C1532" s="51" t="s">
        <v>4391</v>
      </c>
      <c r="D1532" s="51" t="s">
        <v>4392</v>
      </c>
      <c r="E1532" s="51" t="s">
        <v>4393</v>
      </c>
      <c r="F1532" s="52">
        <v>3.3769999999999998</v>
      </c>
      <c r="G1532" s="52">
        <v>0</v>
      </c>
      <c r="H1532" s="52">
        <v>0</v>
      </c>
      <c r="I1532" s="52">
        <v>0</v>
      </c>
      <c r="J1532" s="51">
        <v>0</v>
      </c>
      <c r="K1532" s="54">
        <v>0</v>
      </c>
      <c r="L1532" s="51">
        <v>0</v>
      </c>
      <c r="M1532" s="54">
        <v>0</v>
      </c>
      <c r="N1532" s="53">
        <f t="shared" si="46"/>
        <v>0</v>
      </c>
      <c r="O1532" s="53">
        <f t="shared" si="47"/>
        <v>0</v>
      </c>
    </row>
    <row r="1533" spans="1:15" x14ac:dyDescent="0.2">
      <c r="A1533" s="51" t="s">
        <v>3567</v>
      </c>
      <c r="B1533" s="51" t="s">
        <v>3568</v>
      </c>
      <c r="C1533" s="51" t="s">
        <v>69</v>
      </c>
      <c r="D1533" s="51" t="s">
        <v>2757</v>
      </c>
      <c r="E1533" s="51" t="s">
        <v>2756</v>
      </c>
      <c r="F1533" s="52">
        <v>233.76169999999999</v>
      </c>
      <c r="G1533" s="52">
        <v>91600</v>
      </c>
      <c r="H1533" s="52">
        <v>77730</v>
      </c>
      <c r="I1533" s="52">
        <v>169330</v>
      </c>
      <c r="J1533" s="51">
        <v>0</v>
      </c>
      <c r="K1533" s="54">
        <v>0</v>
      </c>
      <c r="L1533" s="51">
        <v>0</v>
      </c>
      <c r="M1533" s="54">
        <v>0</v>
      </c>
      <c r="N1533" s="53">
        <f t="shared" si="46"/>
        <v>0</v>
      </c>
      <c r="O1533" s="53">
        <f t="shared" si="47"/>
        <v>0</v>
      </c>
    </row>
    <row r="1534" spans="1:15" x14ac:dyDescent="0.2">
      <c r="A1534" s="51" t="s">
        <v>3567</v>
      </c>
      <c r="B1534" s="51" t="s">
        <v>3568</v>
      </c>
      <c r="C1534" s="51" t="s">
        <v>59</v>
      </c>
      <c r="D1534" s="51" t="s">
        <v>688</v>
      </c>
      <c r="E1534" s="51" t="s">
        <v>687</v>
      </c>
      <c r="F1534" s="52">
        <v>21046.412199999999</v>
      </c>
      <c r="G1534" s="52">
        <v>1500</v>
      </c>
      <c r="H1534" s="52">
        <v>0</v>
      </c>
      <c r="I1534" s="52">
        <v>1500</v>
      </c>
      <c r="J1534" s="51">
        <v>1</v>
      </c>
      <c r="K1534" s="54">
        <v>5000</v>
      </c>
      <c r="L1534" s="51">
        <v>0</v>
      </c>
      <c r="M1534" s="54">
        <v>0</v>
      </c>
      <c r="N1534" s="53">
        <f t="shared" si="46"/>
        <v>5000</v>
      </c>
      <c r="O1534" s="53">
        <f t="shared" si="47"/>
        <v>-5000</v>
      </c>
    </row>
    <row r="1535" spans="1:15" x14ac:dyDescent="0.2">
      <c r="A1535" s="51" t="s">
        <v>3567</v>
      </c>
      <c r="B1535" s="51" t="s">
        <v>3568</v>
      </c>
      <c r="C1535" s="51" t="s">
        <v>58</v>
      </c>
      <c r="D1535" s="51" t="s">
        <v>3132</v>
      </c>
      <c r="E1535" s="51" t="s">
        <v>3131</v>
      </c>
      <c r="F1535" s="52">
        <v>23177.388610355181</v>
      </c>
      <c r="G1535" s="52">
        <v>10430</v>
      </c>
      <c r="H1535" s="52">
        <v>5690</v>
      </c>
      <c r="I1535" s="52">
        <v>16120</v>
      </c>
      <c r="J1535" s="51">
        <v>2</v>
      </c>
      <c r="K1535" s="54">
        <v>10000</v>
      </c>
      <c r="L1535" s="51">
        <v>0</v>
      </c>
      <c r="M1535" s="54">
        <v>0</v>
      </c>
      <c r="N1535" s="53">
        <f t="shared" si="46"/>
        <v>10000</v>
      </c>
      <c r="O1535" s="53">
        <f t="shared" si="47"/>
        <v>-10000</v>
      </c>
    </row>
    <row r="1536" spans="1:15" x14ac:dyDescent="0.2">
      <c r="A1536" s="51" t="s">
        <v>3567</v>
      </c>
      <c r="B1536" s="51" t="s">
        <v>3568</v>
      </c>
      <c r="C1536" s="51" t="s">
        <v>80</v>
      </c>
      <c r="D1536" s="51" t="s">
        <v>1932</v>
      </c>
      <c r="E1536" s="51" t="s">
        <v>1931</v>
      </c>
      <c r="F1536" s="52">
        <v>6731.0378437116988</v>
      </c>
      <c r="G1536" s="52">
        <v>4800</v>
      </c>
      <c r="H1536" s="52">
        <v>6590</v>
      </c>
      <c r="I1536" s="52">
        <v>11390</v>
      </c>
      <c r="J1536" s="51">
        <v>0</v>
      </c>
      <c r="K1536" s="54">
        <v>0</v>
      </c>
      <c r="L1536" s="51">
        <v>1</v>
      </c>
      <c r="M1536" s="54">
        <v>5000</v>
      </c>
      <c r="N1536" s="53">
        <f t="shared" si="46"/>
        <v>-5000</v>
      </c>
      <c r="O1536" s="53">
        <f t="shared" si="47"/>
        <v>5000</v>
      </c>
    </row>
    <row r="1537" spans="1:15" x14ac:dyDescent="0.2">
      <c r="A1537" s="51" t="s">
        <v>3567</v>
      </c>
      <c r="B1537" s="51" t="s">
        <v>3568</v>
      </c>
      <c r="C1537" s="51" t="s">
        <v>79</v>
      </c>
      <c r="D1537" s="51" t="s">
        <v>1567</v>
      </c>
      <c r="E1537" s="51" t="s">
        <v>1566</v>
      </c>
      <c r="F1537" s="52">
        <v>50706.284274020501</v>
      </c>
      <c r="G1537" s="52">
        <v>3460</v>
      </c>
      <c r="H1537" s="52">
        <v>18100</v>
      </c>
      <c r="I1537" s="52">
        <v>21560</v>
      </c>
      <c r="J1537" s="51">
        <v>1</v>
      </c>
      <c r="K1537" s="54">
        <v>5000</v>
      </c>
      <c r="L1537" s="51">
        <v>0</v>
      </c>
      <c r="M1537" s="54">
        <v>0</v>
      </c>
      <c r="N1537" s="53">
        <f t="shared" si="46"/>
        <v>5000</v>
      </c>
      <c r="O1537" s="53">
        <f t="shared" si="47"/>
        <v>-5000</v>
      </c>
    </row>
    <row r="1538" spans="1:15" x14ac:dyDescent="0.2">
      <c r="A1538" s="51" t="s">
        <v>3567</v>
      </c>
      <c r="B1538" s="51" t="s">
        <v>3568</v>
      </c>
      <c r="C1538" s="51" t="s">
        <v>62</v>
      </c>
      <c r="D1538" s="51" t="s">
        <v>4433</v>
      </c>
      <c r="E1538" s="51" t="s">
        <v>4434</v>
      </c>
      <c r="F1538" s="52">
        <v>2.0740340691389632</v>
      </c>
      <c r="G1538" s="52">
        <v>0</v>
      </c>
      <c r="H1538" s="52">
        <v>0</v>
      </c>
      <c r="I1538" s="52">
        <v>0</v>
      </c>
      <c r="J1538" s="51">
        <v>0</v>
      </c>
      <c r="K1538" s="54">
        <v>0</v>
      </c>
      <c r="L1538" s="51">
        <v>0</v>
      </c>
      <c r="M1538" s="54">
        <v>0</v>
      </c>
      <c r="N1538" s="53">
        <f t="shared" si="46"/>
        <v>0</v>
      </c>
      <c r="O1538" s="53">
        <f t="shared" si="47"/>
        <v>0</v>
      </c>
    </row>
    <row r="1539" spans="1:15" x14ac:dyDescent="0.2">
      <c r="A1539" s="51" t="s">
        <v>3567</v>
      </c>
      <c r="B1539" s="51" t="s">
        <v>3568</v>
      </c>
      <c r="C1539" s="51" t="s">
        <v>77</v>
      </c>
      <c r="D1539" s="51" t="s">
        <v>1246</v>
      </c>
      <c r="E1539" s="51" t="s">
        <v>1245</v>
      </c>
      <c r="F1539" s="52">
        <v>37064.381517595437</v>
      </c>
      <c r="G1539" s="52">
        <v>0</v>
      </c>
      <c r="H1539" s="52">
        <v>10000</v>
      </c>
      <c r="I1539" s="52">
        <v>10000</v>
      </c>
      <c r="J1539" s="51">
        <v>0</v>
      </c>
      <c r="K1539" s="54">
        <v>0</v>
      </c>
      <c r="L1539" s="51">
        <v>0</v>
      </c>
      <c r="M1539" s="54">
        <v>0</v>
      </c>
      <c r="N1539" s="53">
        <f t="shared" ref="N1539:N1602" si="48">K1539-M1539</f>
        <v>0</v>
      </c>
      <c r="O1539" s="53">
        <f t="shared" ref="O1539:O1602" si="49">M1539-K1539</f>
        <v>0</v>
      </c>
    </row>
    <row r="1540" spans="1:15" x14ac:dyDescent="0.2">
      <c r="A1540" s="51" t="s">
        <v>3567</v>
      </c>
      <c r="B1540" s="51" t="s">
        <v>3568</v>
      </c>
      <c r="C1540" s="51" t="s">
        <v>78</v>
      </c>
      <c r="D1540" s="51" t="s">
        <v>1777</v>
      </c>
      <c r="E1540" s="51" t="s">
        <v>1776</v>
      </c>
      <c r="F1540" s="52">
        <v>6.4812959104698882</v>
      </c>
      <c r="G1540" s="52">
        <v>0</v>
      </c>
      <c r="H1540" s="52">
        <v>0</v>
      </c>
      <c r="I1540" s="52">
        <v>0</v>
      </c>
      <c r="J1540" s="51">
        <v>0</v>
      </c>
      <c r="K1540" s="54">
        <v>0</v>
      </c>
      <c r="L1540" s="51">
        <v>0</v>
      </c>
      <c r="M1540" s="54">
        <v>0</v>
      </c>
      <c r="N1540" s="53">
        <f t="shared" si="48"/>
        <v>0</v>
      </c>
      <c r="O1540" s="53">
        <f t="shared" si="49"/>
        <v>0</v>
      </c>
    </row>
    <row r="1541" spans="1:15" x14ac:dyDescent="0.2">
      <c r="A1541" s="51" t="s">
        <v>3567</v>
      </c>
      <c r="B1541" s="51" t="s">
        <v>3568</v>
      </c>
      <c r="C1541" s="51" t="s">
        <v>72</v>
      </c>
      <c r="D1541" s="51" t="s">
        <v>1032</v>
      </c>
      <c r="E1541" s="51" t="s">
        <v>1031</v>
      </c>
      <c r="F1541" s="52">
        <v>52418.213542258447</v>
      </c>
      <c r="G1541" s="52">
        <v>1100</v>
      </c>
      <c r="H1541" s="52">
        <v>56055</v>
      </c>
      <c r="I1541" s="52">
        <v>57155</v>
      </c>
      <c r="J1541" s="51">
        <v>0</v>
      </c>
      <c r="K1541" s="54">
        <v>0</v>
      </c>
      <c r="L1541" s="51">
        <v>1</v>
      </c>
      <c r="M1541" s="54">
        <v>80000</v>
      </c>
      <c r="N1541" s="53">
        <f t="shared" si="48"/>
        <v>-80000</v>
      </c>
      <c r="O1541" s="53">
        <f t="shared" si="49"/>
        <v>80000</v>
      </c>
    </row>
    <row r="1542" spans="1:15" x14ac:dyDescent="0.2">
      <c r="A1542" s="51" t="s">
        <v>3567</v>
      </c>
      <c r="B1542" s="51" t="s">
        <v>3568</v>
      </c>
      <c r="C1542" s="51" t="s">
        <v>64</v>
      </c>
      <c r="D1542" s="51" t="s">
        <v>540</v>
      </c>
      <c r="E1542" s="51" t="s">
        <v>539</v>
      </c>
      <c r="F1542" s="52">
        <v>402.40146777069992</v>
      </c>
      <c r="G1542" s="52">
        <v>0</v>
      </c>
      <c r="H1542" s="52">
        <v>0</v>
      </c>
      <c r="I1542" s="52">
        <v>0</v>
      </c>
      <c r="J1542" s="51">
        <v>0</v>
      </c>
      <c r="K1542" s="54">
        <v>0</v>
      </c>
      <c r="L1542" s="51">
        <v>0</v>
      </c>
      <c r="M1542" s="54">
        <v>0</v>
      </c>
      <c r="N1542" s="53">
        <f t="shared" si="48"/>
        <v>0</v>
      </c>
      <c r="O1542" s="53">
        <f t="shared" si="49"/>
        <v>0</v>
      </c>
    </row>
    <row r="1543" spans="1:15" x14ac:dyDescent="0.2">
      <c r="A1543" s="51" t="s">
        <v>3567</v>
      </c>
      <c r="B1543" s="51" t="s">
        <v>3568</v>
      </c>
      <c r="C1543" s="51" t="s">
        <v>86</v>
      </c>
      <c r="D1543" s="51" t="s">
        <v>3546</v>
      </c>
      <c r="E1543" s="51" t="s">
        <v>3545</v>
      </c>
      <c r="F1543" s="52">
        <v>12542.918100000001</v>
      </c>
      <c r="G1543" s="52">
        <v>0</v>
      </c>
      <c r="H1543" s="52">
        <v>5730</v>
      </c>
      <c r="I1543" s="52">
        <v>5730</v>
      </c>
      <c r="J1543" s="51">
        <v>1</v>
      </c>
      <c r="K1543" s="54">
        <v>5000</v>
      </c>
      <c r="L1543" s="51">
        <v>0</v>
      </c>
      <c r="M1543" s="54">
        <v>0</v>
      </c>
      <c r="N1543" s="53">
        <f t="shared" si="48"/>
        <v>5000</v>
      </c>
      <c r="O1543" s="53">
        <f t="shared" si="49"/>
        <v>-5000</v>
      </c>
    </row>
    <row r="1544" spans="1:15" x14ac:dyDescent="0.2">
      <c r="A1544" s="51" t="s">
        <v>3567</v>
      </c>
      <c r="B1544" s="51" t="s">
        <v>3568</v>
      </c>
      <c r="C1544" s="51" t="s">
        <v>58</v>
      </c>
      <c r="D1544" s="51" t="s">
        <v>4381</v>
      </c>
      <c r="E1544" s="51" t="s">
        <v>4382</v>
      </c>
      <c r="F1544" s="52">
        <v>371.39420000000001</v>
      </c>
      <c r="G1544" s="52">
        <v>0</v>
      </c>
      <c r="H1544" s="52">
        <v>0</v>
      </c>
      <c r="I1544" s="52">
        <v>0</v>
      </c>
      <c r="J1544" s="51">
        <v>0</v>
      </c>
      <c r="K1544" s="54">
        <v>0</v>
      </c>
      <c r="L1544" s="51">
        <v>0</v>
      </c>
      <c r="M1544" s="54">
        <v>0</v>
      </c>
      <c r="N1544" s="53">
        <f t="shared" si="48"/>
        <v>0</v>
      </c>
      <c r="O1544" s="53">
        <f t="shared" si="49"/>
        <v>0</v>
      </c>
    </row>
    <row r="1545" spans="1:15" x14ac:dyDescent="0.2">
      <c r="A1545" s="51" t="s">
        <v>3567</v>
      </c>
      <c r="B1545" s="51" t="s">
        <v>3568</v>
      </c>
      <c r="C1545" s="51" t="s">
        <v>52</v>
      </c>
      <c r="D1545" s="51" t="s">
        <v>869</v>
      </c>
      <c r="E1545" s="51" t="s">
        <v>868</v>
      </c>
      <c r="F1545" s="52">
        <v>7048.2802608695001</v>
      </c>
      <c r="G1545" s="52">
        <v>14630</v>
      </c>
      <c r="H1545" s="52">
        <v>3690</v>
      </c>
      <c r="I1545" s="52">
        <v>18320</v>
      </c>
      <c r="J1545" s="51">
        <v>1</v>
      </c>
      <c r="K1545" s="54">
        <v>5000</v>
      </c>
      <c r="L1545" s="51">
        <v>0</v>
      </c>
      <c r="M1545" s="54">
        <v>0</v>
      </c>
      <c r="N1545" s="53">
        <f t="shared" si="48"/>
        <v>5000</v>
      </c>
      <c r="O1545" s="53">
        <f t="shared" si="49"/>
        <v>-5000</v>
      </c>
    </row>
    <row r="1546" spans="1:15" x14ac:dyDescent="0.2">
      <c r="A1546" s="51" t="s">
        <v>3567</v>
      </c>
      <c r="B1546" s="51" t="s">
        <v>3568</v>
      </c>
      <c r="C1546" s="51" t="s">
        <v>57</v>
      </c>
      <c r="D1546" s="51" t="s">
        <v>1844</v>
      </c>
      <c r="E1546" s="51" t="s">
        <v>1843</v>
      </c>
      <c r="F1546" s="52">
        <v>12.2049552174</v>
      </c>
      <c r="G1546" s="52">
        <v>0</v>
      </c>
      <c r="H1546" s="52">
        <v>2920</v>
      </c>
      <c r="I1546" s="52">
        <v>2920</v>
      </c>
      <c r="J1546" s="51">
        <v>0</v>
      </c>
      <c r="K1546" s="54">
        <v>0</v>
      </c>
      <c r="L1546" s="51">
        <v>1</v>
      </c>
      <c r="M1546" s="54">
        <v>4950</v>
      </c>
      <c r="N1546" s="53">
        <f t="shared" si="48"/>
        <v>-4950</v>
      </c>
      <c r="O1546" s="53">
        <f t="shared" si="49"/>
        <v>4950</v>
      </c>
    </row>
    <row r="1547" spans="1:15" x14ac:dyDescent="0.2">
      <c r="A1547" s="51" t="s">
        <v>3567</v>
      </c>
      <c r="B1547" s="51" t="s">
        <v>3568</v>
      </c>
      <c r="C1547" s="51" t="s">
        <v>72</v>
      </c>
      <c r="D1547" s="51" t="s">
        <v>662</v>
      </c>
      <c r="E1547" s="51" t="s">
        <v>661</v>
      </c>
      <c r="F1547" s="52">
        <v>7702.768496812977</v>
      </c>
      <c r="G1547" s="52">
        <v>2960</v>
      </c>
      <c r="H1547" s="52">
        <v>8016</v>
      </c>
      <c r="I1547" s="52">
        <v>10976</v>
      </c>
      <c r="J1547" s="51">
        <v>0</v>
      </c>
      <c r="K1547" s="54">
        <v>0</v>
      </c>
      <c r="L1547" s="51">
        <v>1</v>
      </c>
      <c r="M1547" s="54">
        <v>30000</v>
      </c>
      <c r="N1547" s="53">
        <f t="shared" si="48"/>
        <v>-30000</v>
      </c>
      <c r="O1547" s="53">
        <f t="shared" si="49"/>
        <v>30000</v>
      </c>
    </row>
    <row r="1548" spans="1:15" x14ac:dyDescent="0.2">
      <c r="A1548" s="51" t="s">
        <v>3567</v>
      </c>
      <c r="B1548" s="51" t="s">
        <v>3568</v>
      </c>
      <c r="C1548" s="51" t="s">
        <v>3650</v>
      </c>
      <c r="D1548" s="51" t="s">
        <v>4375</v>
      </c>
      <c r="E1548" s="51" t="s">
        <v>4376</v>
      </c>
      <c r="F1548" s="52">
        <v>23.99755379759797</v>
      </c>
      <c r="G1548" s="52">
        <v>0</v>
      </c>
      <c r="H1548" s="52">
        <v>0</v>
      </c>
      <c r="I1548" s="52">
        <v>0</v>
      </c>
      <c r="J1548" s="51">
        <v>0</v>
      </c>
      <c r="K1548" s="54">
        <v>0</v>
      </c>
      <c r="L1548" s="51">
        <v>0</v>
      </c>
      <c r="M1548" s="54">
        <v>0</v>
      </c>
      <c r="N1548" s="53">
        <f t="shared" si="48"/>
        <v>0</v>
      </c>
      <c r="O1548" s="53">
        <f t="shared" si="49"/>
        <v>0</v>
      </c>
    </row>
    <row r="1549" spans="1:15" x14ac:dyDescent="0.2">
      <c r="A1549" s="51" t="s">
        <v>3567</v>
      </c>
      <c r="B1549" s="51" t="s">
        <v>3568</v>
      </c>
      <c r="C1549" s="51" t="s">
        <v>79</v>
      </c>
      <c r="D1549" s="51" t="s">
        <v>259</v>
      </c>
      <c r="E1549" s="51" t="s">
        <v>258</v>
      </c>
      <c r="F1549" s="52">
        <v>2.8199670000000001</v>
      </c>
      <c r="G1549" s="52">
        <v>0</v>
      </c>
      <c r="H1549" s="52">
        <v>0</v>
      </c>
      <c r="I1549" s="52">
        <v>0</v>
      </c>
      <c r="J1549" s="51">
        <v>0</v>
      </c>
      <c r="K1549" s="54">
        <v>0</v>
      </c>
      <c r="L1549" s="51">
        <v>0</v>
      </c>
      <c r="M1549" s="54">
        <v>0</v>
      </c>
      <c r="N1549" s="53">
        <f t="shared" si="48"/>
        <v>0</v>
      </c>
      <c r="O1549" s="53">
        <f t="shared" si="49"/>
        <v>0</v>
      </c>
    </row>
    <row r="1550" spans="1:15" x14ac:dyDescent="0.2">
      <c r="A1550" s="51" t="s">
        <v>3567</v>
      </c>
      <c r="B1550" s="51" t="s">
        <v>3568</v>
      </c>
      <c r="C1550" s="51" t="s">
        <v>78</v>
      </c>
      <c r="D1550" s="51" t="s">
        <v>867</v>
      </c>
      <c r="E1550" s="51" t="s">
        <v>866</v>
      </c>
      <c r="F1550" s="52">
        <v>1566.7150396825471</v>
      </c>
      <c r="G1550" s="52">
        <v>0</v>
      </c>
      <c r="H1550" s="52">
        <v>2250</v>
      </c>
      <c r="I1550" s="52">
        <v>2250</v>
      </c>
      <c r="J1550" s="51">
        <v>0</v>
      </c>
      <c r="K1550" s="54">
        <v>0</v>
      </c>
      <c r="L1550" s="51">
        <v>1</v>
      </c>
      <c r="M1550" s="54">
        <v>6000</v>
      </c>
      <c r="N1550" s="53">
        <f t="shared" si="48"/>
        <v>-6000</v>
      </c>
      <c r="O1550" s="53">
        <f t="shared" si="49"/>
        <v>6000</v>
      </c>
    </row>
    <row r="1551" spans="1:15" x14ac:dyDescent="0.2">
      <c r="A1551" s="51" t="s">
        <v>3567</v>
      </c>
      <c r="B1551" s="51" t="s">
        <v>3568</v>
      </c>
      <c r="C1551" s="51" t="s">
        <v>82</v>
      </c>
      <c r="D1551" s="51" t="s">
        <v>2040</v>
      </c>
      <c r="E1551" s="51" t="s">
        <v>2039</v>
      </c>
      <c r="F1551" s="52">
        <v>5078.3864999999996</v>
      </c>
      <c r="G1551" s="52">
        <v>0</v>
      </c>
      <c r="H1551" s="52">
        <v>0</v>
      </c>
      <c r="I1551" s="52">
        <v>0</v>
      </c>
      <c r="J1551" s="51">
        <v>1</v>
      </c>
      <c r="K1551" s="54">
        <v>5000</v>
      </c>
      <c r="L1551" s="51">
        <v>0</v>
      </c>
      <c r="M1551" s="54">
        <v>0</v>
      </c>
      <c r="N1551" s="53">
        <f t="shared" si="48"/>
        <v>5000</v>
      </c>
      <c r="O1551" s="53">
        <f t="shared" si="49"/>
        <v>-5000</v>
      </c>
    </row>
    <row r="1552" spans="1:15" x14ac:dyDescent="0.2">
      <c r="A1552" s="51" t="s">
        <v>3567</v>
      </c>
      <c r="B1552" s="51" t="s">
        <v>3568</v>
      </c>
      <c r="C1552" s="51" t="s">
        <v>80</v>
      </c>
      <c r="D1552" s="51" t="s">
        <v>2190</v>
      </c>
      <c r="E1552" s="51" t="s">
        <v>2189</v>
      </c>
      <c r="F1552" s="52">
        <v>4.5340838987568413</v>
      </c>
      <c r="G1552" s="52">
        <v>0</v>
      </c>
      <c r="H1552" s="52">
        <v>0</v>
      </c>
      <c r="I1552" s="52">
        <v>0</v>
      </c>
      <c r="J1552" s="51">
        <v>0</v>
      </c>
      <c r="K1552" s="54">
        <v>0</v>
      </c>
      <c r="L1552" s="51">
        <v>0</v>
      </c>
      <c r="M1552" s="54">
        <v>0</v>
      </c>
      <c r="N1552" s="53">
        <f t="shared" si="48"/>
        <v>0</v>
      </c>
      <c r="O1552" s="53">
        <f t="shared" si="49"/>
        <v>0</v>
      </c>
    </row>
    <row r="1553" spans="1:15" x14ac:dyDescent="0.2">
      <c r="A1553" s="51" t="s">
        <v>3567</v>
      </c>
      <c r="B1553" s="51" t="s">
        <v>3568</v>
      </c>
      <c r="C1553" s="51" t="s">
        <v>3571</v>
      </c>
      <c r="D1553" s="51" t="s">
        <v>4378</v>
      </c>
      <c r="E1553" s="51" t="s">
        <v>4379</v>
      </c>
      <c r="F1553" s="52">
        <v>21.44803674985458</v>
      </c>
      <c r="G1553" s="52">
        <v>0</v>
      </c>
      <c r="H1553" s="52">
        <v>0</v>
      </c>
      <c r="I1553" s="52">
        <v>0</v>
      </c>
      <c r="J1553" s="51">
        <v>0</v>
      </c>
      <c r="K1553" s="54">
        <v>0</v>
      </c>
      <c r="L1553" s="51">
        <v>0</v>
      </c>
      <c r="M1553" s="54">
        <v>0</v>
      </c>
      <c r="N1553" s="53">
        <f t="shared" si="48"/>
        <v>0</v>
      </c>
      <c r="O1553" s="53">
        <f t="shared" si="49"/>
        <v>0</v>
      </c>
    </row>
    <row r="1554" spans="1:15" x14ac:dyDescent="0.2">
      <c r="A1554" s="51" t="s">
        <v>3567</v>
      </c>
      <c r="B1554" s="51" t="s">
        <v>3568</v>
      </c>
      <c r="C1554" s="51" t="s">
        <v>71</v>
      </c>
      <c r="D1554" s="51" t="s">
        <v>1948</v>
      </c>
      <c r="E1554" s="51" t="s">
        <v>1947</v>
      </c>
      <c r="F1554" s="52">
        <v>5448.5019000000002</v>
      </c>
      <c r="G1554" s="52">
        <v>0</v>
      </c>
      <c r="H1554" s="52">
        <v>0</v>
      </c>
      <c r="I1554" s="52">
        <v>0</v>
      </c>
      <c r="J1554" s="51">
        <v>1</v>
      </c>
      <c r="K1554" s="54">
        <v>5000</v>
      </c>
      <c r="L1554" s="51">
        <v>0</v>
      </c>
      <c r="M1554" s="54">
        <v>0</v>
      </c>
      <c r="N1554" s="53">
        <f t="shared" si="48"/>
        <v>5000</v>
      </c>
      <c r="O1554" s="53">
        <f t="shared" si="49"/>
        <v>-5000</v>
      </c>
    </row>
    <row r="1555" spans="1:15" x14ac:dyDescent="0.2">
      <c r="A1555" s="51" t="s">
        <v>3567</v>
      </c>
      <c r="B1555" s="51" t="s">
        <v>3568</v>
      </c>
      <c r="C1555" s="51" t="s">
        <v>54</v>
      </c>
      <c r="D1555" s="51" t="s">
        <v>813</v>
      </c>
      <c r="E1555" s="51" t="s">
        <v>812</v>
      </c>
      <c r="F1555" s="52">
        <v>7662.5288921296251</v>
      </c>
      <c r="G1555" s="52">
        <v>2965</v>
      </c>
      <c r="H1555" s="52">
        <v>500</v>
      </c>
      <c r="I1555" s="52">
        <v>3465</v>
      </c>
      <c r="J1555" s="51">
        <v>1</v>
      </c>
      <c r="K1555" s="54">
        <v>5000</v>
      </c>
      <c r="L1555" s="51">
        <v>0</v>
      </c>
      <c r="M1555" s="54">
        <v>0</v>
      </c>
      <c r="N1555" s="53">
        <f t="shared" si="48"/>
        <v>5000</v>
      </c>
      <c r="O1555" s="53">
        <f t="shared" si="49"/>
        <v>-5000</v>
      </c>
    </row>
    <row r="1556" spans="1:15" x14ac:dyDescent="0.2">
      <c r="A1556" s="51" t="s">
        <v>3567</v>
      </c>
      <c r="B1556" s="51" t="s">
        <v>3568</v>
      </c>
      <c r="C1556" s="51" t="s">
        <v>77</v>
      </c>
      <c r="D1556" s="51" t="s">
        <v>1408</v>
      </c>
      <c r="E1556" s="51" t="s">
        <v>1407</v>
      </c>
      <c r="F1556" s="52">
        <v>22007.813600000001</v>
      </c>
      <c r="G1556" s="52">
        <v>2190</v>
      </c>
      <c r="H1556" s="52">
        <v>1650</v>
      </c>
      <c r="I1556" s="52">
        <v>3840</v>
      </c>
      <c r="J1556" s="51">
        <v>1</v>
      </c>
      <c r="K1556" s="54">
        <v>6000</v>
      </c>
      <c r="L1556" s="51">
        <v>0</v>
      </c>
      <c r="M1556" s="54">
        <v>0</v>
      </c>
      <c r="N1556" s="53">
        <f t="shared" si="48"/>
        <v>6000</v>
      </c>
      <c r="O1556" s="53">
        <f t="shared" si="49"/>
        <v>-6000</v>
      </c>
    </row>
    <row r="1557" spans="1:15" x14ac:dyDescent="0.2">
      <c r="A1557" s="51" t="s">
        <v>3567</v>
      </c>
      <c r="B1557" s="51" t="s">
        <v>3568</v>
      </c>
      <c r="C1557" s="51" t="s">
        <v>65</v>
      </c>
      <c r="D1557" s="51" t="s">
        <v>633</v>
      </c>
      <c r="E1557" s="51" t="s">
        <v>632</v>
      </c>
      <c r="F1557" s="52">
        <v>3387.1507632887051</v>
      </c>
      <c r="G1557" s="52">
        <v>15540</v>
      </c>
      <c r="H1557" s="52">
        <v>12590</v>
      </c>
      <c r="I1557" s="52">
        <v>28130</v>
      </c>
      <c r="J1557" s="51">
        <v>1</v>
      </c>
      <c r="K1557" s="54">
        <v>5000</v>
      </c>
      <c r="L1557" s="51">
        <v>0</v>
      </c>
      <c r="M1557" s="54">
        <v>0</v>
      </c>
      <c r="N1557" s="53">
        <f t="shared" si="48"/>
        <v>5000</v>
      </c>
      <c r="O1557" s="53">
        <f t="shared" si="49"/>
        <v>-5000</v>
      </c>
    </row>
    <row r="1558" spans="1:15" x14ac:dyDescent="0.2">
      <c r="A1558" s="51" t="s">
        <v>3567</v>
      </c>
      <c r="B1558" s="51" t="s">
        <v>3568</v>
      </c>
      <c r="C1558" s="51" t="s">
        <v>55</v>
      </c>
      <c r="D1558" s="51" t="s">
        <v>2514</v>
      </c>
      <c r="E1558" s="51" t="s">
        <v>2513</v>
      </c>
      <c r="F1558" s="52">
        <v>46251.404300000002</v>
      </c>
      <c r="G1558" s="52">
        <v>0</v>
      </c>
      <c r="H1558" s="52">
        <v>0</v>
      </c>
      <c r="I1558" s="52">
        <v>0</v>
      </c>
      <c r="J1558" s="51">
        <v>0</v>
      </c>
      <c r="K1558" s="54">
        <v>0</v>
      </c>
      <c r="L1558" s="51">
        <v>0</v>
      </c>
      <c r="M1558" s="54">
        <v>0</v>
      </c>
      <c r="N1558" s="53">
        <f t="shared" si="48"/>
        <v>0</v>
      </c>
      <c r="O1558" s="53">
        <f t="shared" si="49"/>
        <v>0</v>
      </c>
    </row>
    <row r="1559" spans="1:15" x14ac:dyDescent="0.2">
      <c r="A1559" s="51" t="s">
        <v>3567</v>
      </c>
      <c r="B1559" s="51" t="s">
        <v>3568</v>
      </c>
      <c r="C1559" s="51" t="s">
        <v>59</v>
      </c>
      <c r="D1559" s="51" t="s">
        <v>1717</v>
      </c>
      <c r="E1559" s="51" t="s">
        <v>1716</v>
      </c>
      <c r="F1559" s="52">
        <v>5022.9697756619335</v>
      </c>
      <c r="G1559" s="52">
        <v>0</v>
      </c>
      <c r="H1559" s="52">
        <v>0</v>
      </c>
      <c r="I1559" s="52">
        <v>0</v>
      </c>
      <c r="J1559" s="51">
        <v>1</v>
      </c>
      <c r="K1559" s="54">
        <v>5000</v>
      </c>
      <c r="L1559" s="51">
        <v>0</v>
      </c>
      <c r="M1559" s="54">
        <v>0</v>
      </c>
      <c r="N1559" s="53">
        <f t="shared" si="48"/>
        <v>5000</v>
      </c>
      <c r="O1559" s="53">
        <f t="shared" si="49"/>
        <v>-5000</v>
      </c>
    </row>
    <row r="1560" spans="1:15" x14ac:dyDescent="0.2">
      <c r="A1560" s="51" t="s">
        <v>3567</v>
      </c>
      <c r="B1560" s="51" t="s">
        <v>3568</v>
      </c>
      <c r="C1560" s="51" t="s">
        <v>75</v>
      </c>
      <c r="D1560" s="51" t="s">
        <v>2829</v>
      </c>
      <c r="E1560" s="51" t="s">
        <v>2828</v>
      </c>
      <c r="F1560" s="52">
        <v>29680.275711695929</v>
      </c>
      <c r="G1560" s="52">
        <v>0</v>
      </c>
      <c r="H1560" s="52">
        <v>0</v>
      </c>
      <c r="I1560" s="52">
        <v>0</v>
      </c>
      <c r="J1560" s="51">
        <v>1</v>
      </c>
      <c r="K1560" s="54">
        <v>5000</v>
      </c>
      <c r="L1560" s="51">
        <v>0</v>
      </c>
      <c r="M1560" s="54">
        <v>0</v>
      </c>
      <c r="N1560" s="53">
        <f t="shared" si="48"/>
        <v>5000</v>
      </c>
      <c r="O1560" s="53">
        <f t="shared" si="49"/>
        <v>-5000</v>
      </c>
    </row>
    <row r="1561" spans="1:15" x14ac:dyDescent="0.2">
      <c r="A1561" s="51" t="s">
        <v>3567</v>
      </c>
      <c r="B1561" s="51" t="s">
        <v>3568</v>
      </c>
      <c r="C1561" s="51" t="s">
        <v>84</v>
      </c>
      <c r="D1561" s="51" t="s">
        <v>2895</v>
      </c>
      <c r="E1561" s="51" t="s">
        <v>2894</v>
      </c>
      <c r="F1561" s="52">
        <v>253.21143453018939</v>
      </c>
      <c r="G1561" s="52">
        <v>5130</v>
      </c>
      <c r="H1561" s="52">
        <v>8332</v>
      </c>
      <c r="I1561" s="52">
        <v>13462</v>
      </c>
      <c r="J1561" s="51">
        <v>1</v>
      </c>
      <c r="K1561" s="54">
        <v>5000</v>
      </c>
      <c r="L1561" s="51">
        <v>1</v>
      </c>
      <c r="M1561" s="54">
        <v>10000</v>
      </c>
      <c r="N1561" s="53">
        <f t="shared" si="48"/>
        <v>-5000</v>
      </c>
      <c r="O1561" s="53">
        <f t="shared" si="49"/>
        <v>5000</v>
      </c>
    </row>
    <row r="1562" spans="1:15" x14ac:dyDescent="0.2">
      <c r="A1562" s="51" t="s">
        <v>3567</v>
      </c>
      <c r="B1562" s="51" t="s">
        <v>3568</v>
      </c>
      <c r="C1562" s="51" t="s">
        <v>71</v>
      </c>
      <c r="D1562" s="51" t="s">
        <v>232</v>
      </c>
      <c r="E1562" s="51" t="s">
        <v>231</v>
      </c>
      <c r="F1562" s="52">
        <v>0.66503482163446237</v>
      </c>
      <c r="G1562" s="52">
        <v>0</v>
      </c>
      <c r="H1562" s="52">
        <v>0</v>
      </c>
      <c r="I1562" s="52">
        <v>0</v>
      </c>
      <c r="J1562" s="51">
        <v>0</v>
      </c>
      <c r="K1562" s="54">
        <v>0</v>
      </c>
      <c r="L1562" s="51">
        <v>0</v>
      </c>
      <c r="M1562" s="54">
        <v>0</v>
      </c>
      <c r="N1562" s="53">
        <f t="shared" si="48"/>
        <v>0</v>
      </c>
      <c r="O1562" s="53">
        <f t="shared" si="49"/>
        <v>0</v>
      </c>
    </row>
    <row r="1563" spans="1:15" x14ac:dyDescent="0.2">
      <c r="A1563" s="51" t="s">
        <v>3567</v>
      </c>
      <c r="B1563" s="51" t="s">
        <v>3568</v>
      </c>
      <c r="C1563" s="51" t="s">
        <v>66</v>
      </c>
      <c r="D1563" s="51" t="s">
        <v>1447</v>
      </c>
      <c r="E1563" s="51" t="s">
        <v>1446</v>
      </c>
      <c r="F1563" s="52">
        <v>1833.419866</v>
      </c>
      <c r="G1563" s="52">
        <v>17180</v>
      </c>
      <c r="H1563" s="52">
        <v>9280</v>
      </c>
      <c r="I1563" s="52">
        <v>26460</v>
      </c>
      <c r="J1563" s="51">
        <v>0</v>
      </c>
      <c r="K1563" s="54">
        <v>0</v>
      </c>
      <c r="L1563" s="51">
        <v>1</v>
      </c>
      <c r="M1563" s="54">
        <v>5000</v>
      </c>
      <c r="N1563" s="53">
        <f t="shared" si="48"/>
        <v>-5000</v>
      </c>
      <c r="O1563" s="53">
        <f t="shared" si="49"/>
        <v>5000</v>
      </c>
    </row>
    <row r="1564" spans="1:15" x14ac:dyDescent="0.2">
      <c r="A1564" s="51" t="s">
        <v>3567</v>
      </c>
      <c r="B1564" s="51" t="s">
        <v>3568</v>
      </c>
      <c r="C1564" s="51" t="s">
        <v>56</v>
      </c>
      <c r="D1564" s="51" t="s">
        <v>2464</v>
      </c>
      <c r="E1564" s="51" t="s">
        <v>2463</v>
      </c>
      <c r="F1564" s="52">
        <v>49.414499999999997</v>
      </c>
      <c r="G1564" s="52">
        <v>0</v>
      </c>
      <c r="H1564" s="52">
        <v>0</v>
      </c>
      <c r="I1564" s="52">
        <v>0</v>
      </c>
      <c r="J1564" s="51">
        <v>0</v>
      </c>
      <c r="K1564" s="54">
        <v>0</v>
      </c>
      <c r="L1564" s="51">
        <v>0</v>
      </c>
      <c r="M1564" s="54">
        <v>0</v>
      </c>
      <c r="N1564" s="53">
        <f t="shared" si="48"/>
        <v>0</v>
      </c>
      <c r="O1564" s="53">
        <f t="shared" si="49"/>
        <v>0</v>
      </c>
    </row>
    <row r="1565" spans="1:15" x14ac:dyDescent="0.2">
      <c r="A1565" s="51" t="s">
        <v>3567</v>
      </c>
      <c r="B1565" s="51" t="s">
        <v>3568</v>
      </c>
      <c r="C1565" s="51" t="s">
        <v>87</v>
      </c>
      <c r="D1565" s="51" t="s">
        <v>2009</v>
      </c>
      <c r="E1565" s="51" t="s">
        <v>2008</v>
      </c>
      <c r="F1565" s="52">
        <v>11721.86120614187</v>
      </c>
      <c r="G1565" s="52">
        <v>8610</v>
      </c>
      <c r="H1565" s="52">
        <v>5480</v>
      </c>
      <c r="I1565" s="52">
        <v>14090</v>
      </c>
      <c r="J1565" s="51">
        <v>2</v>
      </c>
      <c r="K1565" s="54">
        <v>15000</v>
      </c>
      <c r="L1565" s="51">
        <v>0</v>
      </c>
      <c r="M1565" s="54">
        <v>0</v>
      </c>
      <c r="N1565" s="53">
        <f t="shared" si="48"/>
        <v>15000</v>
      </c>
      <c r="O1565" s="53">
        <f t="shared" si="49"/>
        <v>-15000</v>
      </c>
    </row>
    <row r="1566" spans="1:15" x14ac:dyDescent="0.2">
      <c r="A1566" s="51" t="s">
        <v>3567</v>
      </c>
      <c r="B1566" s="51" t="s">
        <v>3568</v>
      </c>
      <c r="C1566" s="51" t="s">
        <v>65</v>
      </c>
      <c r="D1566" s="51" t="s">
        <v>4442</v>
      </c>
      <c r="E1566" s="51" t="s">
        <v>4443</v>
      </c>
      <c r="F1566" s="52">
        <v>8.8191840351876299E-2</v>
      </c>
      <c r="G1566" s="52">
        <v>0</v>
      </c>
      <c r="H1566" s="52">
        <v>0</v>
      </c>
      <c r="I1566" s="52">
        <v>0</v>
      </c>
      <c r="J1566" s="51">
        <v>0</v>
      </c>
      <c r="K1566" s="54">
        <v>0</v>
      </c>
      <c r="L1566" s="51">
        <v>0</v>
      </c>
      <c r="M1566" s="54">
        <v>0</v>
      </c>
      <c r="N1566" s="53">
        <f t="shared" si="48"/>
        <v>0</v>
      </c>
      <c r="O1566" s="53">
        <f t="shared" si="49"/>
        <v>0</v>
      </c>
    </row>
    <row r="1567" spans="1:15" x14ac:dyDescent="0.2">
      <c r="A1567" s="51" t="s">
        <v>3567</v>
      </c>
      <c r="B1567" s="51" t="s">
        <v>3568</v>
      </c>
      <c r="C1567" s="51" t="s">
        <v>53</v>
      </c>
      <c r="D1567" s="51" t="s">
        <v>815</v>
      </c>
      <c r="E1567" s="51" t="s">
        <v>814</v>
      </c>
      <c r="F1567" s="52">
        <v>2087.0569999999998</v>
      </c>
      <c r="G1567" s="52">
        <v>4030</v>
      </c>
      <c r="H1567" s="52">
        <v>190</v>
      </c>
      <c r="I1567" s="52">
        <v>4220</v>
      </c>
      <c r="J1567" s="51">
        <v>1</v>
      </c>
      <c r="K1567" s="54">
        <v>5000</v>
      </c>
      <c r="L1567" s="51">
        <v>0</v>
      </c>
      <c r="M1567" s="54">
        <v>0</v>
      </c>
      <c r="N1567" s="53">
        <f t="shared" si="48"/>
        <v>5000</v>
      </c>
      <c r="O1567" s="53">
        <f t="shared" si="49"/>
        <v>-5000</v>
      </c>
    </row>
    <row r="1568" spans="1:15" x14ac:dyDescent="0.2">
      <c r="A1568" s="51" t="s">
        <v>3567</v>
      </c>
      <c r="B1568" s="51" t="s">
        <v>3568</v>
      </c>
      <c r="C1568" s="51" t="s">
        <v>53</v>
      </c>
      <c r="D1568" s="51" t="s">
        <v>3366</v>
      </c>
      <c r="E1568" s="51" t="s">
        <v>3365</v>
      </c>
      <c r="F1568" s="52">
        <v>9959.8134000051996</v>
      </c>
      <c r="G1568" s="52">
        <v>4700</v>
      </c>
      <c r="H1568" s="52">
        <v>2110</v>
      </c>
      <c r="I1568" s="52">
        <v>6810</v>
      </c>
      <c r="J1568" s="51">
        <v>1</v>
      </c>
      <c r="K1568" s="54">
        <v>10000</v>
      </c>
      <c r="L1568" s="51">
        <v>0</v>
      </c>
      <c r="M1568" s="54">
        <v>0</v>
      </c>
      <c r="N1568" s="53">
        <f t="shared" si="48"/>
        <v>10000</v>
      </c>
      <c r="O1568" s="53">
        <f t="shared" si="49"/>
        <v>-10000</v>
      </c>
    </row>
    <row r="1569" spans="1:15" x14ac:dyDescent="0.2">
      <c r="A1569" s="51" t="s">
        <v>3567</v>
      </c>
      <c r="B1569" s="51" t="s">
        <v>3568</v>
      </c>
      <c r="C1569" s="51" t="s">
        <v>86</v>
      </c>
      <c r="D1569" s="51" t="s">
        <v>3025</v>
      </c>
      <c r="E1569" s="51" t="s">
        <v>3024</v>
      </c>
      <c r="F1569" s="52">
        <v>5387.2124999999996</v>
      </c>
      <c r="G1569" s="52">
        <v>1750</v>
      </c>
      <c r="H1569" s="52">
        <v>4760</v>
      </c>
      <c r="I1569" s="52">
        <v>6510</v>
      </c>
      <c r="J1569" s="51">
        <v>0</v>
      </c>
      <c r="K1569" s="54">
        <v>0</v>
      </c>
      <c r="L1569" s="51">
        <v>1</v>
      </c>
      <c r="M1569" s="54">
        <v>20000</v>
      </c>
      <c r="N1569" s="53">
        <f t="shared" si="48"/>
        <v>-20000</v>
      </c>
      <c r="O1569" s="53">
        <f t="shared" si="49"/>
        <v>20000</v>
      </c>
    </row>
    <row r="1570" spans="1:15" x14ac:dyDescent="0.2">
      <c r="A1570" s="51" t="s">
        <v>3567</v>
      </c>
      <c r="B1570" s="51" t="s">
        <v>3568</v>
      </c>
      <c r="C1570" s="51" t="s">
        <v>63</v>
      </c>
      <c r="D1570" s="51" t="s">
        <v>3102</v>
      </c>
      <c r="E1570" s="51" t="s">
        <v>3101</v>
      </c>
      <c r="F1570" s="52">
        <v>10114.73112357532</v>
      </c>
      <c r="G1570" s="52">
        <v>2000</v>
      </c>
      <c r="H1570" s="52">
        <v>10790</v>
      </c>
      <c r="I1570" s="52">
        <v>12790</v>
      </c>
      <c r="J1570" s="51">
        <v>0</v>
      </c>
      <c r="K1570" s="54">
        <v>0</v>
      </c>
      <c r="L1570" s="51">
        <v>1</v>
      </c>
      <c r="M1570" s="54">
        <v>15000</v>
      </c>
      <c r="N1570" s="53">
        <f t="shared" si="48"/>
        <v>-15000</v>
      </c>
      <c r="O1570" s="53">
        <f t="shared" si="49"/>
        <v>15000</v>
      </c>
    </row>
    <row r="1571" spans="1:15" x14ac:dyDescent="0.2">
      <c r="A1571" s="51" t="s">
        <v>3567</v>
      </c>
      <c r="B1571" s="51" t="s">
        <v>3568</v>
      </c>
      <c r="C1571" s="51" t="s">
        <v>70</v>
      </c>
      <c r="D1571" s="51" t="s">
        <v>3483</v>
      </c>
      <c r="E1571" s="51" t="s">
        <v>3482</v>
      </c>
      <c r="F1571" s="52">
        <v>0.80369999999999997</v>
      </c>
      <c r="G1571" s="52">
        <v>0</v>
      </c>
      <c r="H1571" s="52">
        <v>0</v>
      </c>
      <c r="I1571" s="52">
        <v>0</v>
      </c>
      <c r="J1571" s="51">
        <v>0</v>
      </c>
      <c r="K1571" s="54">
        <v>0</v>
      </c>
      <c r="L1571" s="51">
        <v>0</v>
      </c>
      <c r="M1571" s="54">
        <v>0</v>
      </c>
      <c r="N1571" s="53">
        <f t="shared" si="48"/>
        <v>0</v>
      </c>
      <c r="O1571" s="53">
        <f t="shared" si="49"/>
        <v>0</v>
      </c>
    </row>
    <row r="1572" spans="1:15" x14ac:dyDescent="0.2">
      <c r="A1572" s="51" t="s">
        <v>3567</v>
      </c>
      <c r="B1572" s="51" t="s">
        <v>3568</v>
      </c>
      <c r="C1572" s="51" t="s">
        <v>3786</v>
      </c>
      <c r="D1572" s="51" t="s">
        <v>4404</v>
      </c>
      <c r="E1572" s="51" t="s">
        <v>4405</v>
      </c>
      <c r="F1572" s="52">
        <v>2.8024509292890651</v>
      </c>
      <c r="G1572" s="52">
        <v>0</v>
      </c>
      <c r="H1572" s="52">
        <v>0</v>
      </c>
      <c r="I1572" s="52">
        <v>0</v>
      </c>
      <c r="J1572" s="51">
        <v>0</v>
      </c>
      <c r="K1572" s="54">
        <v>0</v>
      </c>
      <c r="L1572" s="51">
        <v>0</v>
      </c>
      <c r="M1572" s="54">
        <v>0</v>
      </c>
      <c r="N1572" s="53">
        <f t="shared" si="48"/>
        <v>0</v>
      </c>
      <c r="O1572" s="53">
        <f t="shared" si="49"/>
        <v>0</v>
      </c>
    </row>
    <row r="1573" spans="1:15" x14ac:dyDescent="0.2">
      <c r="A1573" s="51" t="s">
        <v>3567</v>
      </c>
      <c r="B1573" s="51" t="s">
        <v>3568</v>
      </c>
      <c r="C1573" s="51" t="s">
        <v>67</v>
      </c>
      <c r="D1573" s="51" t="s">
        <v>1216</v>
      </c>
      <c r="E1573" s="51" t="s">
        <v>1215</v>
      </c>
      <c r="F1573" s="52">
        <v>7384.9901266441493</v>
      </c>
      <c r="G1573" s="52">
        <v>500</v>
      </c>
      <c r="H1573" s="52">
        <v>5020</v>
      </c>
      <c r="I1573" s="52">
        <v>5520</v>
      </c>
      <c r="J1573" s="51">
        <v>0</v>
      </c>
      <c r="K1573" s="54">
        <v>0</v>
      </c>
      <c r="L1573" s="51">
        <v>1</v>
      </c>
      <c r="M1573" s="54">
        <v>10000</v>
      </c>
      <c r="N1573" s="53">
        <f t="shared" si="48"/>
        <v>-10000</v>
      </c>
      <c r="O1573" s="53">
        <f t="shared" si="49"/>
        <v>10000</v>
      </c>
    </row>
    <row r="1574" spans="1:15" x14ac:dyDescent="0.2">
      <c r="A1574" s="51" t="s">
        <v>3567</v>
      </c>
      <c r="B1574" s="51" t="s">
        <v>3568</v>
      </c>
      <c r="C1574" s="51" t="s">
        <v>57</v>
      </c>
      <c r="D1574" s="51" t="s">
        <v>2814</v>
      </c>
      <c r="E1574" s="51" t="s">
        <v>2813</v>
      </c>
      <c r="F1574" s="52">
        <v>177.34649328134131</v>
      </c>
      <c r="G1574" s="52">
        <v>1020</v>
      </c>
      <c r="H1574" s="52">
        <v>2950</v>
      </c>
      <c r="I1574" s="52">
        <v>3970</v>
      </c>
      <c r="J1574" s="51">
        <v>0</v>
      </c>
      <c r="K1574" s="54">
        <v>0</v>
      </c>
      <c r="L1574" s="51">
        <v>1</v>
      </c>
      <c r="M1574" s="54">
        <v>15000</v>
      </c>
      <c r="N1574" s="53">
        <f t="shared" si="48"/>
        <v>-15000</v>
      </c>
      <c r="O1574" s="53">
        <f t="shared" si="49"/>
        <v>15000</v>
      </c>
    </row>
    <row r="1575" spans="1:15" x14ac:dyDescent="0.2">
      <c r="A1575" s="51" t="s">
        <v>3567</v>
      </c>
      <c r="B1575" s="51" t="s">
        <v>3568</v>
      </c>
      <c r="C1575" s="51" t="s">
        <v>84</v>
      </c>
      <c r="D1575" s="51" t="s">
        <v>2619</v>
      </c>
      <c r="E1575" s="51" t="s">
        <v>393</v>
      </c>
      <c r="F1575" s="52">
        <v>984.18349999999998</v>
      </c>
      <c r="G1575" s="52">
        <v>10700</v>
      </c>
      <c r="H1575" s="52">
        <v>4285</v>
      </c>
      <c r="I1575" s="52">
        <v>14985</v>
      </c>
      <c r="J1575" s="51">
        <v>1</v>
      </c>
      <c r="K1575" s="54">
        <v>5000</v>
      </c>
      <c r="L1575" s="51">
        <v>0</v>
      </c>
      <c r="M1575" s="54">
        <v>0</v>
      </c>
      <c r="N1575" s="53">
        <f t="shared" si="48"/>
        <v>5000</v>
      </c>
      <c r="O1575" s="53">
        <f t="shared" si="49"/>
        <v>-5000</v>
      </c>
    </row>
    <row r="1576" spans="1:15" x14ac:dyDescent="0.2">
      <c r="A1576" s="51" t="s">
        <v>3567</v>
      </c>
      <c r="B1576" s="51" t="s">
        <v>3568</v>
      </c>
      <c r="C1576" s="51" t="s">
        <v>61</v>
      </c>
      <c r="D1576" s="51" t="s">
        <v>1154</v>
      </c>
      <c r="E1576" s="51" t="s">
        <v>1153</v>
      </c>
      <c r="F1576" s="52">
        <v>210.15043918279511</v>
      </c>
      <c r="G1576" s="52">
        <v>1220</v>
      </c>
      <c r="H1576" s="52">
        <v>147850</v>
      </c>
      <c r="I1576" s="52">
        <v>149070</v>
      </c>
      <c r="J1576" s="51">
        <v>0</v>
      </c>
      <c r="K1576" s="54">
        <v>0</v>
      </c>
      <c r="L1576" s="51">
        <v>3</v>
      </c>
      <c r="M1576" s="54">
        <v>150000</v>
      </c>
      <c r="N1576" s="53">
        <f t="shared" si="48"/>
        <v>-150000</v>
      </c>
      <c r="O1576" s="53">
        <f t="shared" si="49"/>
        <v>150000</v>
      </c>
    </row>
    <row r="1577" spans="1:15" x14ac:dyDescent="0.2">
      <c r="A1577" s="51" t="s">
        <v>3567</v>
      </c>
      <c r="B1577" s="51" t="s">
        <v>3568</v>
      </c>
      <c r="C1577" s="51" t="s">
        <v>62</v>
      </c>
      <c r="D1577" s="51" t="s">
        <v>960</v>
      </c>
      <c r="E1577" s="51" t="s">
        <v>959</v>
      </c>
      <c r="F1577" s="52">
        <v>8920.3791625062422</v>
      </c>
      <c r="G1577" s="52">
        <v>0</v>
      </c>
      <c r="H1577" s="52">
        <v>0</v>
      </c>
      <c r="I1577" s="52">
        <v>0</v>
      </c>
      <c r="J1577" s="51">
        <v>1</v>
      </c>
      <c r="K1577" s="54">
        <v>5000</v>
      </c>
      <c r="L1577" s="51">
        <v>0</v>
      </c>
      <c r="M1577" s="54">
        <v>0</v>
      </c>
      <c r="N1577" s="53">
        <f t="shared" si="48"/>
        <v>5000</v>
      </c>
      <c r="O1577" s="53">
        <f t="shared" si="49"/>
        <v>-5000</v>
      </c>
    </row>
    <row r="1578" spans="1:15" x14ac:dyDescent="0.2">
      <c r="A1578" s="51" t="s">
        <v>3567</v>
      </c>
      <c r="B1578" s="51" t="s">
        <v>3568</v>
      </c>
      <c r="C1578" s="51" t="s">
        <v>57</v>
      </c>
      <c r="D1578" s="51" t="s">
        <v>4412</v>
      </c>
      <c r="E1578" s="51" t="s">
        <v>4413</v>
      </c>
      <c r="F1578" s="52">
        <v>0.22765199999999999</v>
      </c>
      <c r="G1578" s="52">
        <v>0</v>
      </c>
      <c r="H1578" s="52">
        <v>0</v>
      </c>
      <c r="I1578" s="52">
        <v>0</v>
      </c>
      <c r="J1578" s="51">
        <v>0</v>
      </c>
      <c r="K1578" s="54">
        <v>0</v>
      </c>
      <c r="L1578" s="51">
        <v>0</v>
      </c>
      <c r="M1578" s="54">
        <v>0</v>
      </c>
      <c r="N1578" s="53">
        <f t="shared" si="48"/>
        <v>0</v>
      </c>
      <c r="O1578" s="53">
        <f t="shared" si="49"/>
        <v>0</v>
      </c>
    </row>
    <row r="1579" spans="1:15" x14ac:dyDescent="0.2">
      <c r="A1579" s="51" t="s">
        <v>3567</v>
      </c>
      <c r="B1579" s="51" t="s">
        <v>3568</v>
      </c>
      <c r="C1579" s="51" t="s">
        <v>3698</v>
      </c>
      <c r="D1579" s="51" t="s">
        <v>4447</v>
      </c>
      <c r="E1579" s="51" t="s">
        <v>4448</v>
      </c>
      <c r="F1579" s="52">
        <v>45.858938689134149</v>
      </c>
      <c r="G1579" s="52">
        <v>0</v>
      </c>
      <c r="H1579" s="52">
        <v>0</v>
      </c>
      <c r="I1579" s="52">
        <v>0</v>
      </c>
      <c r="J1579" s="51">
        <v>0</v>
      </c>
      <c r="K1579" s="54">
        <v>0</v>
      </c>
      <c r="L1579" s="51">
        <v>0</v>
      </c>
      <c r="M1579" s="54">
        <v>0</v>
      </c>
      <c r="N1579" s="53">
        <f t="shared" si="48"/>
        <v>0</v>
      </c>
      <c r="O1579" s="53">
        <f t="shared" si="49"/>
        <v>0</v>
      </c>
    </row>
    <row r="1580" spans="1:15" x14ac:dyDescent="0.2">
      <c r="A1580" s="51" t="s">
        <v>3567</v>
      </c>
      <c r="B1580" s="51" t="s">
        <v>3568</v>
      </c>
      <c r="C1580" s="51" t="s">
        <v>76</v>
      </c>
      <c r="D1580" s="51" t="s">
        <v>3386</v>
      </c>
      <c r="E1580" s="51" t="s">
        <v>3385</v>
      </c>
      <c r="F1580" s="52">
        <v>623.4170731253929</v>
      </c>
      <c r="G1580" s="52">
        <v>0</v>
      </c>
      <c r="H1580" s="52">
        <v>0</v>
      </c>
      <c r="I1580" s="52">
        <v>0</v>
      </c>
      <c r="J1580" s="51">
        <v>0</v>
      </c>
      <c r="K1580" s="54">
        <v>0</v>
      </c>
      <c r="L1580" s="51">
        <v>1</v>
      </c>
      <c r="M1580" s="54">
        <v>24000</v>
      </c>
      <c r="N1580" s="53">
        <f t="shared" si="48"/>
        <v>-24000</v>
      </c>
      <c r="O1580" s="53">
        <f t="shared" si="49"/>
        <v>24000</v>
      </c>
    </row>
    <row r="1581" spans="1:15" x14ac:dyDescent="0.2">
      <c r="A1581" s="51" t="s">
        <v>3567</v>
      </c>
      <c r="B1581" s="51" t="s">
        <v>3568</v>
      </c>
      <c r="C1581" s="51" t="s">
        <v>82</v>
      </c>
      <c r="D1581" s="51" t="s">
        <v>2360</v>
      </c>
      <c r="E1581" s="51" t="s">
        <v>2359</v>
      </c>
      <c r="F1581" s="52">
        <v>44829.262469118337</v>
      </c>
      <c r="G1581" s="52">
        <v>520</v>
      </c>
      <c r="H1581" s="52">
        <v>5600</v>
      </c>
      <c r="I1581" s="52">
        <v>6120</v>
      </c>
      <c r="J1581" s="51">
        <v>1</v>
      </c>
      <c r="K1581" s="54">
        <v>7000</v>
      </c>
      <c r="L1581" s="51">
        <v>0</v>
      </c>
      <c r="M1581" s="54">
        <v>0</v>
      </c>
      <c r="N1581" s="53">
        <f t="shared" si="48"/>
        <v>7000</v>
      </c>
      <c r="O1581" s="53">
        <f t="shared" si="49"/>
        <v>-7000</v>
      </c>
    </row>
    <row r="1582" spans="1:15" x14ac:dyDescent="0.2">
      <c r="A1582" s="51" t="s">
        <v>3567</v>
      </c>
      <c r="B1582" s="51" t="s">
        <v>3568</v>
      </c>
      <c r="C1582" s="51" t="s">
        <v>53</v>
      </c>
      <c r="D1582" s="51" t="s">
        <v>3327</v>
      </c>
      <c r="E1582" s="51" t="s">
        <v>1580</v>
      </c>
      <c r="F1582" s="52">
        <v>44.517900002399998</v>
      </c>
      <c r="G1582" s="52">
        <v>0</v>
      </c>
      <c r="H1582" s="52">
        <v>0</v>
      </c>
      <c r="I1582" s="52">
        <v>0</v>
      </c>
      <c r="J1582" s="51">
        <v>0</v>
      </c>
      <c r="K1582" s="54">
        <v>0</v>
      </c>
      <c r="L1582" s="51">
        <v>0</v>
      </c>
      <c r="M1582" s="54">
        <v>0</v>
      </c>
      <c r="N1582" s="53">
        <f t="shared" si="48"/>
        <v>0</v>
      </c>
      <c r="O1582" s="53">
        <f t="shared" si="49"/>
        <v>0</v>
      </c>
    </row>
    <row r="1583" spans="1:15" x14ac:dyDescent="0.2">
      <c r="A1583" s="51" t="s">
        <v>3567</v>
      </c>
      <c r="B1583" s="51" t="s">
        <v>3568</v>
      </c>
      <c r="C1583" s="51" t="s">
        <v>59</v>
      </c>
      <c r="D1583" s="51" t="s">
        <v>1669</v>
      </c>
      <c r="E1583" s="51" t="s">
        <v>1668</v>
      </c>
      <c r="F1583" s="52">
        <v>1911.5066717387001</v>
      </c>
      <c r="G1583" s="52">
        <v>38700</v>
      </c>
      <c r="H1583" s="52">
        <v>51330</v>
      </c>
      <c r="I1583" s="52">
        <v>90030</v>
      </c>
      <c r="J1583" s="51">
        <v>3</v>
      </c>
      <c r="K1583" s="54">
        <v>40000</v>
      </c>
      <c r="L1583" s="51">
        <v>4</v>
      </c>
      <c r="M1583" s="54">
        <v>65000</v>
      </c>
      <c r="N1583" s="53">
        <f t="shared" si="48"/>
        <v>-25000</v>
      </c>
      <c r="O1583" s="53">
        <f t="shared" si="49"/>
        <v>25000</v>
      </c>
    </row>
    <row r="1584" spans="1:15" x14ac:dyDescent="0.2">
      <c r="A1584" s="51" t="s">
        <v>3567</v>
      </c>
      <c r="B1584" s="51" t="s">
        <v>3568</v>
      </c>
      <c r="C1584" s="51" t="s">
        <v>78</v>
      </c>
      <c r="D1584" s="51" t="s">
        <v>228</v>
      </c>
      <c r="E1584" s="51" t="s">
        <v>227</v>
      </c>
      <c r="F1584" s="52">
        <v>10.5813845674675</v>
      </c>
      <c r="G1584" s="52">
        <v>0</v>
      </c>
      <c r="H1584" s="52">
        <v>0</v>
      </c>
      <c r="I1584" s="52">
        <v>0</v>
      </c>
      <c r="J1584" s="51">
        <v>0</v>
      </c>
      <c r="K1584" s="54">
        <v>0</v>
      </c>
      <c r="L1584" s="51">
        <v>0</v>
      </c>
      <c r="M1584" s="54">
        <v>0</v>
      </c>
      <c r="N1584" s="53">
        <f t="shared" si="48"/>
        <v>0</v>
      </c>
      <c r="O1584" s="53">
        <f t="shared" si="49"/>
        <v>0</v>
      </c>
    </row>
    <row r="1585" spans="1:15" x14ac:dyDescent="0.2">
      <c r="A1585" s="51" t="s">
        <v>3567</v>
      </c>
      <c r="B1585" s="51" t="s">
        <v>3568</v>
      </c>
      <c r="C1585" s="51" t="s">
        <v>56</v>
      </c>
      <c r="D1585" s="51" t="s">
        <v>3288</v>
      </c>
      <c r="E1585" s="51" t="s">
        <v>3287</v>
      </c>
      <c r="F1585" s="52">
        <v>12608.4995965533</v>
      </c>
      <c r="G1585" s="52">
        <v>7660</v>
      </c>
      <c r="H1585" s="52">
        <v>23260</v>
      </c>
      <c r="I1585" s="52">
        <v>30920</v>
      </c>
      <c r="J1585" s="51">
        <v>0</v>
      </c>
      <c r="K1585" s="54">
        <v>0</v>
      </c>
      <c r="L1585" s="51">
        <v>1</v>
      </c>
      <c r="M1585" s="54">
        <v>30000</v>
      </c>
      <c r="N1585" s="53">
        <f t="shared" si="48"/>
        <v>-30000</v>
      </c>
      <c r="O1585" s="53">
        <f t="shared" si="49"/>
        <v>30000</v>
      </c>
    </row>
    <row r="1586" spans="1:15" x14ac:dyDescent="0.2">
      <c r="A1586" s="51" t="s">
        <v>3567</v>
      </c>
      <c r="B1586" s="51" t="s">
        <v>3568</v>
      </c>
      <c r="C1586" s="51" t="s">
        <v>64</v>
      </c>
      <c r="D1586" s="51" t="s">
        <v>2974</v>
      </c>
      <c r="E1586" s="51" t="s">
        <v>2973</v>
      </c>
      <c r="F1586" s="52">
        <v>16529.027772554258</v>
      </c>
      <c r="G1586" s="52">
        <v>19840</v>
      </c>
      <c r="H1586" s="52">
        <v>10420</v>
      </c>
      <c r="I1586" s="52">
        <v>30260</v>
      </c>
      <c r="J1586" s="51">
        <v>1</v>
      </c>
      <c r="K1586" s="54">
        <v>5000</v>
      </c>
      <c r="L1586" s="51">
        <v>0</v>
      </c>
      <c r="M1586" s="54">
        <v>0</v>
      </c>
      <c r="N1586" s="53">
        <f t="shared" si="48"/>
        <v>5000</v>
      </c>
      <c r="O1586" s="53">
        <f t="shared" si="49"/>
        <v>-5000</v>
      </c>
    </row>
    <row r="1587" spans="1:15" x14ac:dyDescent="0.2">
      <c r="A1587" s="51" t="s">
        <v>3567</v>
      </c>
      <c r="B1587" s="51" t="s">
        <v>3568</v>
      </c>
      <c r="C1587" s="51" t="s">
        <v>86</v>
      </c>
      <c r="D1587" s="51" t="s">
        <v>4444</v>
      </c>
      <c r="E1587" s="51" t="s">
        <v>4445</v>
      </c>
      <c r="F1587" s="52">
        <v>14.4054</v>
      </c>
      <c r="G1587" s="52">
        <v>0</v>
      </c>
      <c r="H1587" s="52">
        <v>0</v>
      </c>
      <c r="I1587" s="52">
        <v>0</v>
      </c>
      <c r="J1587" s="51">
        <v>0</v>
      </c>
      <c r="K1587" s="54">
        <v>0</v>
      </c>
      <c r="L1587" s="51">
        <v>0</v>
      </c>
      <c r="M1587" s="54">
        <v>0</v>
      </c>
      <c r="N1587" s="53">
        <f t="shared" si="48"/>
        <v>0</v>
      </c>
      <c r="O1587" s="53">
        <f t="shared" si="49"/>
        <v>0</v>
      </c>
    </row>
    <row r="1588" spans="1:15" x14ac:dyDescent="0.2">
      <c r="A1588" s="51" t="s">
        <v>3567</v>
      </c>
      <c r="B1588" s="51" t="s">
        <v>3568</v>
      </c>
      <c r="C1588" s="51" t="s">
        <v>3610</v>
      </c>
      <c r="D1588" s="51" t="s">
        <v>4437</v>
      </c>
      <c r="E1588" s="51" t="s">
        <v>4438</v>
      </c>
      <c r="F1588" s="52">
        <v>19.327016645476981</v>
      </c>
      <c r="G1588" s="52">
        <v>0</v>
      </c>
      <c r="H1588" s="52">
        <v>0</v>
      </c>
      <c r="I1588" s="52">
        <v>0</v>
      </c>
      <c r="J1588" s="51">
        <v>0</v>
      </c>
      <c r="K1588" s="54">
        <v>0</v>
      </c>
      <c r="L1588" s="51">
        <v>0</v>
      </c>
      <c r="M1588" s="54">
        <v>0</v>
      </c>
      <c r="N1588" s="53">
        <f t="shared" si="48"/>
        <v>0</v>
      </c>
      <c r="O1588" s="53">
        <f t="shared" si="49"/>
        <v>0</v>
      </c>
    </row>
    <row r="1589" spans="1:15" x14ac:dyDescent="0.2">
      <c r="A1589" s="51" t="s">
        <v>3567</v>
      </c>
      <c r="B1589" s="51" t="s">
        <v>3568</v>
      </c>
      <c r="C1589" s="51" t="s">
        <v>80</v>
      </c>
      <c r="D1589" s="51" t="s">
        <v>698</v>
      </c>
      <c r="E1589" s="51" t="s">
        <v>697</v>
      </c>
      <c r="F1589" s="52">
        <v>9566.5568000011008</v>
      </c>
      <c r="G1589" s="52">
        <v>21355</v>
      </c>
      <c r="H1589" s="52">
        <v>5935</v>
      </c>
      <c r="I1589" s="52">
        <v>27290</v>
      </c>
      <c r="J1589" s="51">
        <v>2</v>
      </c>
      <c r="K1589" s="54">
        <v>20000</v>
      </c>
      <c r="L1589" s="51">
        <v>0</v>
      </c>
      <c r="M1589" s="54">
        <v>0</v>
      </c>
      <c r="N1589" s="53">
        <f t="shared" si="48"/>
        <v>20000</v>
      </c>
      <c r="O1589" s="53">
        <f t="shared" si="49"/>
        <v>-20000</v>
      </c>
    </row>
    <row r="1590" spans="1:15" x14ac:dyDescent="0.2">
      <c r="A1590" s="51" t="s">
        <v>3567</v>
      </c>
      <c r="B1590" s="51" t="s">
        <v>3568</v>
      </c>
      <c r="C1590" s="51" t="s">
        <v>3650</v>
      </c>
      <c r="D1590" s="51" t="s">
        <v>4416</v>
      </c>
      <c r="E1590" s="51" t="s">
        <v>4417</v>
      </c>
      <c r="F1590" s="52">
        <v>98.715988201564429</v>
      </c>
      <c r="G1590" s="52">
        <v>0</v>
      </c>
      <c r="H1590" s="52">
        <v>0</v>
      </c>
      <c r="I1590" s="52">
        <v>0</v>
      </c>
      <c r="J1590" s="51">
        <v>0</v>
      </c>
      <c r="K1590" s="54">
        <v>0</v>
      </c>
      <c r="L1590" s="51">
        <v>0</v>
      </c>
      <c r="M1590" s="54">
        <v>0</v>
      </c>
      <c r="N1590" s="53">
        <f t="shared" si="48"/>
        <v>0</v>
      </c>
      <c r="O1590" s="53">
        <f t="shared" si="49"/>
        <v>0</v>
      </c>
    </row>
    <row r="1591" spans="1:15" x14ac:dyDescent="0.2">
      <c r="A1591" s="51" t="s">
        <v>3567</v>
      </c>
      <c r="B1591" s="51" t="s">
        <v>3568</v>
      </c>
      <c r="C1591" s="51" t="s">
        <v>84</v>
      </c>
      <c r="D1591" s="51" t="s">
        <v>1795</v>
      </c>
      <c r="E1591" s="51" t="s">
        <v>1794</v>
      </c>
      <c r="F1591" s="52">
        <v>22320.81825927283</v>
      </c>
      <c r="G1591" s="52">
        <v>6500</v>
      </c>
      <c r="H1591" s="52">
        <v>5335</v>
      </c>
      <c r="I1591" s="52">
        <v>11835</v>
      </c>
      <c r="J1591" s="51">
        <v>0</v>
      </c>
      <c r="K1591" s="54">
        <v>0</v>
      </c>
      <c r="L1591" s="51">
        <v>0</v>
      </c>
      <c r="M1591" s="54">
        <v>0</v>
      </c>
      <c r="N1591" s="53">
        <f t="shared" si="48"/>
        <v>0</v>
      </c>
      <c r="O1591" s="53">
        <f t="shared" si="49"/>
        <v>0</v>
      </c>
    </row>
    <row r="1592" spans="1:15" x14ac:dyDescent="0.2">
      <c r="A1592" s="51" t="s">
        <v>3567</v>
      </c>
      <c r="B1592" s="51" t="s">
        <v>3568</v>
      </c>
      <c r="C1592" s="51" t="s">
        <v>3630</v>
      </c>
      <c r="D1592" s="51" t="s">
        <v>4426</v>
      </c>
      <c r="E1592" s="51" t="s">
        <v>4427</v>
      </c>
      <c r="F1592" s="52">
        <v>31.818200000000001</v>
      </c>
      <c r="G1592" s="52">
        <v>0</v>
      </c>
      <c r="H1592" s="52">
        <v>0</v>
      </c>
      <c r="I1592" s="52">
        <v>0</v>
      </c>
      <c r="J1592" s="51">
        <v>0</v>
      </c>
      <c r="K1592" s="54">
        <v>0</v>
      </c>
      <c r="L1592" s="51">
        <v>0</v>
      </c>
      <c r="M1592" s="54">
        <v>0</v>
      </c>
      <c r="N1592" s="53">
        <f t="shared" si="48"/>
        <v>0</v>
      </c>
      <c r="O1592" s="53">
        <f t="shared" si="49"/>
        <v>0</v>
      </c>
    </row>
    <row r="1593" spans="1:15" x14ac:dyDescent="0.2">
      <c r="A1593" s="51" t="s">
        <v>3567</v>
      </c>
      <c r="B1593" s="51" t="s">
        <v>3568</v>
      </c>
      <c r="C1593" s="51" t="s">
        <v>3580</v>
      </c>
      <c r="D1593" s="51" t="s">
        <v>4430</v>
      </c>
      <c r="E1593" s="51" t="s">
        <v>4431</v>
      </c>
      <c r="F1593" s="52">
        <v>3.86425667038877</v>
      </c>
      <c r="G1593" s="52">
        <v>0</v>
      </c>
      <c r="H1593" s="52">
        <v>0</v>
      </c>
      <c r="I1593" s="52">
        <v>0</v>
      </c>
      <c r="J1593" s="51">
        <v>0</v>
      </c>
      <c r="K1593" s="54">
        <v>0</v>
      </c>
      <c r="L1593" s="51">
        <v>0</v>
      </c>
      <c r="M1593" s="54">
        <v>0</v>
      </c>
      <c r="N1593" s="53">
        <f t="shared" si="48"/>
        <v>0</v>
      </c>
      <c r="O1593" s="53">
        <f t="shared" si="49"/>
        <v>0</v>
      </c>
    </row>
    <row r="1594" spans="1:15" x14ac:dyDescent="0.2">
      <c r="A1594" s="51" t="s">
        <v>3567</v>
      </c>
      <c r="B1594" s="51" t="s">
        <v>3568</v>
      </c>
      <c r="C1594" s="51" t="s">
        <v>69</v>
      </c>
      <c r="D1594" s="51" t="s">
        <v>293</v>
      </c>
      <c r="E1594" s="51" t="s">
        <v>292</v>
      </c>
      <c r="F1594" s="52">
        <v>13.213749999999999</v>
      </c>
      <c r="G1594" s="52">
        <v>0</v>
      </c>
      <c r="H1594" s="52">
        <v>0</v>
      </c>
      <c r="I1594" s="52">
        <v>0</v>
      </c>
      <c r="J1594" s="51">
        <v>0</v>
      </c>
      <c r="K1594" s="54">
        <v>0</v>
      </c>
      <c r="L1594" s="51">
        <v>0</v>
      </c>
      <c r="M1594" s="54">
        <v>0</v>
      </c>
      <c r="N1594" s="53">
        <f t="shared" si="48"/>
        <v>0</v>
      </c>
      <c r="O1594" s="53">
        <f t="shared" si="49"/>
        <v>0</v>
      </c>
    </row>
    <row r="1595" spans="1:15" x14ac:dyDescent="0.2">
      <c r="A1595" s="51" t="s">
        <v>3567</v>
      </c>
      <c r="B1595" s="51" t="s">
        <v>3568</v>
      </c>
      <c r="C1595" s="51" t="s">
        <v>62</v>
      </c>
      <c r="D1595" s="51" t="s">
        <v>3196</v>
      </c>
      <c r="E1595" s="51" t="s">
        <v>3195</v>
      </c>
      <c r="F1595" s="52">
        <v>10869.70286774236</v>
      </c>
      <c r="G1595" s="52">
        <v>0</v>
      </c>
      <c r="H1595" s="52">
        <v>0</v>
      </c>
      <c r="I1595" s="52">
        <v>0</v>
      </c>
      <c r="J1595" s="51">
        <v>0</v>
      </c>
      <c r="K1595" s="54">
        <v>0</v>
      </c>
      <c r="L1595" s="51">
        <v>1</v>
      </c>
      <c r="M1595" s="54">
        <v>14000</v>
      </c>
      <c r="N1595" s="53">
        <f t="shared" si="48"/>
        <v>-14000</v>
      </c>
      <c r="O1595" s="53">
        <f t="shared" si="49"/>
        <v>14000</v>
      </c>
    </row>
    <row r="1596" spans="1:15" x14ac:dyDescent="0.2">
      <c r="A1596" s="51" t="s">
        <v>3567</v>
      </c>
      <c r="B1596" s="51" t="s">
        <v>3568</v>
      </c>
      <c r="C1596" s="51" t="s">
        <v>3653</v>
      </c>
      <c r="D1596" s="51" t="s">
        <v>4420</v>
      </c>
      <c r="E1596" s="51" t="s">
        <v>4421</v>
      </c>
      <c r="F1596" s="52">
        <v>10.22883006675449</v>
      </c>
      <c r="G1596" s="52">
        <v>0</v>
      </c>
      <c r="H1596" s="52">
        <v>0</v>
      </c>
      <c r="I1596" s="52">
        <v>0</v>
      </c>
      <c r="J1596" s="51">
        <v>0</v>
      </c>
      <c r="K1596" s="54">
        <v>0</v>
      </c>
      <c r="L1596" s="51">
        <v>0</v>
      </c>
      <c r="M1596" s="54">
        <v>0</v>
      </c>
      <c r="N1596" s="53">
        <f t="shared" si="48"/>
        <v>0</v>
      </c>
      <c r="O1596" s="53">
        <f t="shared" si="49"/>
        <v>0</v>
      </c>
    </row>
    <row r="1597" spans="1:15" x14ac:dyDescent="0.2">
      <c r="A1597" s="51" t="s">
        <v>3567</v>
      </c>
      <c r="B1597" s="51" t="s">
        <v>3568</v>
      </c>
      <c r="C1597" s="51" t="s">
        <v>86</v>
      </c>
      <c r="D1597" s="51" t="s">
        <v>878</v>
      </c>
      <c r="E1597" s="51" t="s">
        <v>877</v>
      </c>
      <c r="F1597" s="52">
        <v>5469.1387500000001</v>
      </c>
      <c r="G1597" s="52">
        <v>0</v>
      </c>
      <c r="H1597" s="52">
        <v>0</v>
      </c>
      <c r="I1597" s="52">
        <v>0</v>
      </c>
      <c r="J1597" s="51">
        <v>1</v>
      </c>
      <c r="K1597" s="54">
        <v>5000</v>
      </c>
      <c r="L1597" s="51">
        <v>0</v>
      </c>
      <c r="M1597" s="54">
        <v>0</v>
      </c>
      <c r="N1597" s="53">
        <f t="shared" si="48"/>
        <v>5000</v>
      </c>
      <c r="O1597" s="53">
        <f t="shared" si="49"/>
        <v>-5000</v>
      </c>
    </row>
    <row r="1598" spans="1:15" x14ac:dyDescent="0.2">
      <c r="A1598" s="51" t="s">
        <v>3567</v>
      </c>
      <c r="B1598" s="51" t="s">
        <v>3568</v>
      </c>
      <c r="C1598" s="51" t="s">
        <v>86</v>
      </c>
      <c r="D1598" s="51" t="s">
        <v>778</v>
      </c>
      <c r="E1598" s="51" t="s">
        <v>777</v>
      </c>
      <c r="F1598" s="52">
        <v>35.308199999999999</v>
      </c>
      <c r="G1598" s="52">
        <v>1400</v>
      </c>
      <c r="H1598" s="52">
        <v>5000</v>
      </c>
      <c r="I1598" s="52">
        <v>6400</v>
      </c>
      <c r="J1598" s="51">
        <v>0</v>
      </c>
      <c r="K1598" s="54">
        <v>0</v>
      </c>
      <c r="L1598" s="51">
        <v>1</v>
      </c>
      <c r="M1598" s="54">
        <v>5000</v>
      </c>
      <c r="N1598" s="53">
        <f t="shared" si="48"/>
        <v>-5000</v>
      </c>
      <c r="O1598" s="53">
        <f t="shared" si="49"/>
        <v>5000</v>
      </c>
    </row>
    <row r="1599" spans="1:15" x14ac:dyDescent="0.2">
      <c r="A1599" s="51" t="s">
        <v>3567</v>
      </c>
      <c r="B1599" s="51" t="s">
        <v>3568</v>
      </c>
      <c r="C1599" s="51" t="s">
        <v>84</v>
      </c>
      <c r="D1599" s="51" t="s">
        <v>2394</v>
      </c>
      <c r="E1599" s="51" t="s">
        <v>145</v>
      </c>
      <c r="F1599" s="52">
        <v>2.4694048</v>
      </c>
      <c r="G1599" s="52">
        <v>0</v>
      </c>
      <c r="H1599" s="52">
        <v>0</v>
      </c>
      <c r="I1599" s="52">
        <v>0</v>
      </c>
      <c r="J1599" s="51">
        <v>0</v>
      </c>
      <c r="K1599" s="54">
        <v>0</v>
      </c>
      <c r="L1599" s="51">
        <v>0</v>
      </c>
      <c r="M1599" s="54">
        <v>0</v>
      </c>
      <c r="N1599" s="53">
        <f t="shared" si="48"/>
        <v>0</v>
      </c>
      <c r="O1599" s="53">
        <f t="shared" si="49"/>
        <v>0</v>
      </c>
    </row>
    <row r="1600" spans="1:15" x14ac:dyDescent="0.2">
      <c r="A1600" s="51" t="s">
        <v>3567</v>
      </c>
      <c r="B1600" s="51" t="s">
        <v>3568</v>
      </c>
      <c r="C1600" s="51" t="s">
        <v>82</v>
      </c>
      <c r="D1600" s="51" t="s">
        <v>1074</v>
      </c>
      <c r="E1600" s="51" t="s">
        <v>1073</v>
      </c>
      <c r="F1600" s="52">
        <v>11.0679</v>
      </c>
      <c r="G1600" s="52">
        <v>6600</v>
      </c>
      <c r="H1600" s="52">
        <v>20490</v>
      </c>
      <c r="I1600" s="52">
        <v>27090</v>
      </c>
      <c r="J1600" s="51">
        <v>1</v>
      </c>
      <c r="K1600" s="54">
        <v>5000</v>
      </c>
      <c r="L1600" s="51">
        <v>3</v>
      </c>
      <c r="M1600" s="54">
        <v>38000</v>
      </c>
      <c r="N1600" s="53">
        <f t="shared" si="48"/>
        <v>-33000</v>
      </c>
      <c r="O1600" s="53">
        <f t="shared" si="49"/>
        <v>33000</v>
      </c>
    </row>
    <row r="1601" spans="1:15" x14ac:dyDescent="0.2">
      <c r="A1601" s="51" t="s">
        <v>3567</v>
      </c>
      <c r="B1601" s="51" t="s">
        <v>3568</v>
      </c>
      <c r="C1601" s="51" t="s">
        <v>79</v>
      </c>
      <c r="D1601" s="51" t="s">
        <v>1543</v>
      </c>
      <c r="E1601" s="51" t="s">
        <v>1542</v>
      </c>
      <c r="F1601" s="52">
        <v>9787.1679000000004</v>
      </c>
      <c r="G1601" s="52">
        <v>10000</v>
      </c>
      <c r="H1601" s="52">
        <v>6750</v>
      </c>
      <c r="I1601" s="52">
        <v>16750</v>
      </c>
      <c r="J1601" s="51">
        <v>1</v>
      </c>
      <c r="K1601" s="54">
        <v>10000</v>
      </c>
      <c r="L1601" s="51">
        <v>0</v>
      </c>
      <c r="M1601" s="54">
        <v>0</v>
      </c>
      <c r="N1601" s="53">
        <f t="shared" si="48"/>
        <v>10000</v>
      </c>
      <c r="O1601" s="53">
        <f t="shared" si="49"/>
        <v>-10000</v>
      </c>
    </row>
    <row r="1602" spans="1:15" x14ac:dyDescent="0.2">
      <c r="A1602" s="51" t="s">
        <v>3567</v>
      </c>
      <c r="B1602" s="51" t="s">
        <v>3568</v>
      </c>
      <c r="C1602" s="51" t="s">
        <v>82</v>
      </c>
      <c r="D1602" s="51" t="s">
        <v>2328</v>
      </c>
      <c r="E1602" s="51" t="s">
        <v>2327</v>
      </c>
      <c r="F1602" s="52">
        <v>7499.3678</v>
      </c>
      <c r="G1602" s="52">
        <v>17190</v>
      </c>
      <c r="H1602" s="52">
        <v>3780</v>
      </c>
      <c r="I1602" s="52">
        <v>20970</v>
      </c>
      <c r="J1602" s="51">
        <v>1</v>
      </c>
      <c r="K1602" s="54">
        <v>5000</v>
      </c>
      <c r="L1602" s="51">
        <v>0</v>
      </c>
      <c r="M1602" s="54">
        <v>0</v>
      </c>
      <c r="N1602" s="53">
        <f t="shared" si="48"/>
        <v>5000</v>
      </c>
      <c r="O1602" s="53">
        <f t="shared" si="49"/>
        <v>-5000</v>
      </c>
    </row>
    <row r="1603" spans="1:15" x14ac:dyDescent="0.2">
      <c r="A1603" s="51" t="s">
        <v>3567</v>
      </c>
      <c r="B1603" s="51" t="s">
        <v>3568</v>
      </c>
      <c r="C1603" s="51" t="s">
        <v>85</v>
      </c>
      <c r="D1603" s="51" t="s">
        <v>3017</v>
      </c>
      <c r="E1603" s="51" t="s">
        <v>3016</v>
      </c>
      <c r="F1603" s="52">
        <v>21242.268381008689</v>
      </c>
      <c r="G1603" s="52">
        <v>200</v>
      </c>
      <c r="H1603" s="52">
        <v>16990</v>
      </c>
      <c r="I1603" s="52">
        <v>17190</v>
      </c>
      <c r="J1603" s="51">
        <v>0</v>
      </c>
      <c r="K1603" s="54">
        <v>0</v>
      </c>
      <c r="L1603" s="51">
        <v>1</v>
      </c>
      <c r="M1603" s="54">
        <v>20000</v>
      </c>
      <c r="N1603" s="53">
        <f t="shared" ref="N1603:N1666" si="50">K1603-M1603</f>
        <v>-20000</v>
      </c>
      <c r="O1603" s="53">
        <f t="shared" ref="O1603:O1666" si="51">M1603-K1603</f>
        <v>20000</v>
      </c>
    </row>
    <row r="1604" spans="1:15" x14ac:dyDescent="0.2">
      <c r="A1604" s="51" t="s">
        <v>3567</v>
      </c>
      <c r="B1604" s="51" t="s">
        <v>3568</v>
      </c>
      <c r="C1604" s="51" t="s">
        <v>3763</v>
      </c>
      <c r="D1604" s="51" t="s">
        <v>4455</v>
      </c>
      <c r="E1604" s="51" t="s">
        <v>1011</v>
      </c>
      <c r="F1604" s="52">
        <v>80.704846137499999</v>
      </c>
      <c r="G1604" s="52">
        <v>0</v>
      </c>
      <c r="H1604" s="52">
        <v>0</v>
      </c>
      <c r="I1604" s="52">
        <v>0</v>
      </c>
      <c r="J1604" s="51">
        <v>0</v>
      </c>
      <c r="K1604" s="54">
        <v>0</v>
      </c>
      <c r="L1604" s="51">
        <v>0</v>
      </c>
      <c r="M1604" s="54">
        <v>0</v>
      </c>
      <c r="N1604" s="53">
        <f t="shared" si="50"/>
        <v>0</v>
      </c>
      <c r="O1604" s="53">
        <f t="shared" si="51"/>
        <v>0</v>
      </c>
    </row>
    <row r="1605" spans="1:15" x14ac:dyDescent="0.2">
      <c r="A1605" s="51" t="s">
        <v>3567</v>
      </c>
      <c r="B1605" s="51" t="s">
        <v>3568</v>
      </c>
      <c r="C1605" s="51" t="s">
        <v>76</v>
      </c>
      <c r="D1605" s="51" t="s">
        <v>1649</v>
      </c>
      <c r="E1605" s="51" t="s">
        <v>1648</v>
      </c>
      <c r="F1605" s="52">
        <v>8856.4749023385975</v>
      </c>
      <c r="G1605" s="52">
        <v>4575</v>
      </c>
      <c r="H1605" s="52">
        <v>16660</v>
      </c>
      <c r="I1605" s="52">
        <v>21235</v>
      </c>
      <c r="J1605" s="51">
        <v>0</v>
      </c>
      <c r="K1605" s="54">
        <v>0</v>
      </c>
      <c r="L1605" s="51">
        <v>1</v>
      </c>
      <c r="M1605" s="54">
        <v>10000</v>
      </c>
      <c r="N1605" s="53">
        <f t="shared" si="50"/>
        <v>-10000</v>
      </c>
      <c r="O1605" s="53">
        <f t="shared" si="51"/>
        <v>10000</v>
      </c>
    </row>
    <row r="1606" spans="1:15" x14ac:dyDescent="0.2">
      <c r="A1606" s="51" t="s">
        <v>3567</v>
      </c>
      <c r="B1606" s="51" t="s">
        <v>3568</v>
      </c>
      <c r="C1606" s="51" t="s">
        <v>69</v>
      </c>
      <c r="D1606" s="51" t="s">
        <v>3360</v>
      </c>
      <c r="E1606" s="51" t="s">
        <v>3359</v>
      </c>
      <c r="F1606" s="52">
        <v>126.8678874823146</v>
      </c>
      <c r="G1606" s="52">
        <v>150</v>
      </c>
      <c r="H1606" s="52">
        <v>7500</v>
      </c>
      <c r="I1606" s="52">
        <v>7650</v>
      </c>
      <c r="J1606" s="51">
        <v>0</v>
      </c>
      <c r="K1606" s="54">
        <v>0</v>
      </c>
      <c r="L1606" s="51">
        <v>1</v>
      </c>
      <c r="M1606" s="54">
        <v>10000</v>
      </c>
      <c r="N1606" s="53">
        <f t="shared" si="50"/>
        <v>-10000</v>
      </c>
      <c r="O1606" s="53">
        <f t="shared" si="51"/>
        <v>10000</v>
      </c>
    </row>
    <row r="1607" spans="1:15" x14ac:dyDescent="0.2">
      <c r="A1607" s="51" t="s">
        <v>3567</v>
      </c>
      <c r="B1607" s="51" t="s">
        <v>3568</v>
      </c>
      <c r="C1607" s="51" t="s">
        <v>56</v>
      </c>
      <c r="D1607" s="51" t="s">
        <v>3277</v>
      </c>
      <c r="E1607" s="51" t="s">
        <v>3276</v>
      </c>
      <c r="F1607" s="52">
        <v>1398.3303000000001</v>
      </c>
      <c r="G1607" s="52">
        <v>13240</v>
      </c>
      <c r="H1607" s="52">
        <v>22290</v>
      </c>
      <c r="I1607" s="52">
        <v>35530</v>
      </c>
      <c r="J1607" s="51">
        <v>1</v>
      </c>
      <c r="K1607" s="54">
        <v>5000</v>
      </c>
      <c r="L1607" s="51">
        <v>1</v>
      </c>
      <c r="M1607" s="54">
        <v>25000</v>
      </c>
      <c r="N1607" s="53">
        <f t="shared" si="50"/>
        <v>-20000</v>
      </c>
      <c r="O1607" s="53">
        <f t="shared" si="51"/>
        <v>20000</v>
      </c>
    </row>
    <row r="1608" spans="1:15" x14ac:dyDescent="0.2">
      <c r="A1608" s="51" t="s">
        <v>3567</v>
      </c>
      <c r="B1608" s="51" t="s">
        <v>3568</v>
      </c>
      <c r="C1608" s="51" t="s">
        <v>67</v>
      </c>
      <c r="D1608" s="51" t="s">
        <v>3041</v>
      </c>
      <c r="E1608" s="51" t="s">
        <v>3040</v>
      </c>
      <c r="F1608" s="52">
        <v>8954.7257438993474</v>
      </c>
      <c r="G1608" s="52">
        <v>0</v>
      </c>
      <c r="H1608" s="52">
        <v>2000</v>
      </c>
      <c r="I1608" s="52">
        <v>2000</v>
      </c>
      <c r="J1608" s="51">
        <v>1</v>
      </c>
      <c r="K1608" s="54">
        <v>5000</v>
      </c>
      <c r="L1608" s="51">
        <v>0</v>
      </c>
      <c r="M1608" s="54">
        <v>0</v>
      </c>
      <c r="N1608" s="53">
        <f t="shared" si="50"/>
        <v>5000</v>
      </c>
      <c r="O1608" s="53">
        <f t="shared" si="51"/>
        <v>-5000</v>
      </c>
    </row>
    <row r="1609" spans="1:15" x14ac:dyDescent="0.2">
      <c r="A1609" s="51" t="s">
        <v>3567</v>
      </c>
      <c r="B1609" s="51" t="s">
        <v>3568</v>
      </c>
      <c r="C1609" s="51" t="s">
        <v>61</v>
      </c>
      <c r="D1609" s="51" t="s">
        <v>2827</v>
      </c>
      <c r="E1609" s="51" t="s">
        <v>2826</v>
      </c>
      <c r="F1609" s="52">
        <v>12287.91112751302</v>
      </c>
      <c r="G1609" s="52">
        <v>13800</v>
      </c>
      <c r="H1609" s="52">
        <v>29050</v>
      </c>
      <c r="I1609" s="52">
        <v>42850</v>
      </c>
      <c r="J1609" s="51">
        <v>1</v>
      </c>
      <c r="K1609" s="54">
        <v>10000</v>
      </c>
      <c r="L1609" s="51">
        <v>1</v>
      </c>
      <c r="M1609" s="54">
        <v>20000</v>
      </c>
      <c r="N1609" s="53">
        <f t="shared" si="50"/>
        <v>-10000</v>
      </c>
      <c r="O1609" s="53">
        <f t="shared" si="51"/>
        <v>10000</v>
      </c>
    </row>
    <row r="1610" spans="1:15" x14ac:dyDescent="0.2">
      <c r="A1610" s="51" t="s">
        <v>3567</v>
      </c>
      <c r="B1610" s="51" t="s">
        <v>3568</v>
      </c>
      <c r="C1610" s="51" t="s">
        <v>65</v>
      </c>
      <c r="D1610" s="51" t="s">
        <v>1475</v>
      </c>
      <c r="E1610" s="51" t="s">
        <v>1474</v>
      </c>
      <c r="F1610" s="52">
        <v>7394.2626</v>
      </c>
      <c r="G1610" s="52">
        <v>500</v>
      </c>
      <c r="H1610" s="52">
        <v>9800</v>
      </c>
      <c r="I1610" s="52">
        <v>10300</v>
      </c>
      <c r="J1610" s="51">
        <v>0</v>
      </c>
      <c r="K1610" s="54">
        <v>0</v>
      </c>
      <c r="L1610" s="51">
        <v>1</v>
      </c>
      <c r="M1610" s="54">
        <v>10000</v>
      </c>
      <c r="N1610" s="53">
        <f t="shared" si="50"/>
        <v>-10000</v>
      </c>
      <c r="O1610" s="53">
        <f t="shared" si="51"/>
        <v>10000</v>
      </c>
    </row>
    <row r="1611" spans="1:15" x14ac:dyDescent="0.2">
      <c r="A1611" s="51" t="s">
        <v>3567</v>
      </c>
      <c r="B1611" s="51" t="s">
        <v>3568</v>
      </c>
      <c r="C1611" s="51" t="s">
        <v>73</v>
      </c>
      <c r="D1611" s="51" t="s">
        <v>1679</v>
      </c>
      <c r="E1611" s="51" t="s">
        <v>1678</v>
      </c>
      <c r="F1611" s="52">
        <v>4227.2239033841261</v>
      </c>
      <c r="G1611" s="52">
        <v>0</v>
      </c>
      <c r="H1611" s="52">
        <v>2950</v>
      </c>
      <c r="I1611" s="52">
        <v>2950</v>
      </c>
      <c r="J1611" s="51">
        <v>0</v>
      </c>
      <c r="K1611" s="54">
        <v>0</v>
      </c>
      <c r="L1611" s="51">
        <v>1</v>
      </c>
      <c r="M1611" s="54">
        <v>5000</v>
      </c>
      <c r="N1611" s="53">
        <f t="shared" si="50"/>
        <v>-5000</v>
      </c>
      <c r="O1611" s="53">
        <f t="shared" si="51"/>
        <v>5000</v>
      </c>
    </row>
    <row r="1612" spans="1:15" x14ac:dyDescent="0.2">
      <c r="A1612" s="51" t="s">
        <v>3567</v>
      </c>
      <c r="B1612" s="51" t="s">
        <v>3568</v>
      </c>
      <c r="C1612" s="51" t="s">
        <v>68</v>
      </c>
      <c r="D1612" s="51" t="s">
        <v>1036</v>
      </c>
      <c r="E1612" s="51" t="s">
        <v>1035</v>
      </c>
      <c r="F1612" s="52">
        <v>9574.1649500000003</v>
      </c>
      <c r="G1612" s="52">
        <v>0</v>
      </c>
      <c r="H1612" s="52">
        <v>3910</v>
      </c>
      <c r="I1612" s="52">
        <v>3910</v>
      </c>
      <c r="J1612" s="51">
        <v>1</v>
      </c>
      <c r="K1612" s="54">
        <v>5000</v>
      </c>
      <c r="L1612" s="51">
        <v>0</v>
      </c>
      <c r="M1612" s="54">
        <v>0</v>
      </c>
      <c r="N1612" s="53">
        <f t="shared" si="50"/>
        <v>5000</v>
      </c>
      <c r="O1612" s="53">
        <f t="shared" si="51"/>
        <v>-5000</v>
      </c>
    </row>
    <row r="1613" spans="1:15" x14ac:dyDescent="0.2">
      <c r="A1613" s="51" t="s">
        <v>3567</v>
      </c>
      <c r="B1613" s="51" t="s">
        <v>3568</v>
      </c>
      <c r="C1613" s="51" t="s">
        <v>57</v>
      </c>
      <c r="D1613" s="51" t="s">
        <v>1971</v>
      </c>
      <c r="E1613" s="51" t="s">
        <v>1970</v>
      </c>
      <c r="F1613" s="52">
        <v>118.67350572733839</v>
      </c>
      <c r="G1613" s="52">
        <v>0</v>
      </c>
      <c r="H1613" s="52">
        <v>5000</v>
      </c>
      <c r="I1613" s="52">
        <v>5000</v>
      </c>
      <c r="J1613" s="51">
        <v>0</v>
      </c>
      <c r="K1613" s="54">
        <v>0</v>
      </c>
      <c r="L1613" s="51">
        <v>1</v>
      </c>
      <c r="M1613" s="54">
        <v>5000</v>
      </c>
      <c r="N1613" s="53">
        <f t="shared" si="50"/>
        <v>-5000</v>
      </c>
      <c r="O1613" s="53">
        <f t="shared" si="51"/>
        <v>5000</v>
      </c>
    </row>
    <row r="1614" spans="1:15" x14ac:dyDescent="0.2">
      <c r="A1614" s="51" t="s">
        <v>3567</v>
      </c>
      <c r="B1614" s="51" t="s">
        <v>3568</v>
      </c>
      <c r="C1614" s="51" t="s">
        <v>73</v>
      </c>
      <c r="D1614" s="51" t="s">
        <v>914</v>
      </c>
      <c r="E1614" s="51" t="s">
        <v>913</v>
      </c>
      <c r="F1614" s="52">
        <v>5022.2996769317297</v>
      </c>
      <c r="G1614" s="52">
        <v>8090</v>
      </c>
      <c r="H1614" s="52">
        <v>0</v>
      </c>
      <c r="I1614" s="52">
        <v>8090</v>
      </c>
      <c r="J1614" s="51">
        <v>1</v>
      </c>
      <c r="K1614" s="54">
        <v>5000</v>
      </c>
      <c r="L1614" s="51">
        <v>0</v>
      </c>
      <c r="M1614" s="54">
        <v>0</v>
      </c>
      <c r="N1614" s="53">
        <f t="shared" si="50"/>
        <v>5000</v>
      </c>
      <c r="O1614" s="53">
        <f t="shared" si="51"/>
        <v>-5000</v>
      </c>
    </row>
    <row r="1615" spans="1:15" x14ac:dyDescent="0.2">
      <c r="A1615" s="51" t="s">
        <v>3567</v>
      </c>
      <c r="B1615" s="51" t="s">
        <v>3568</v>
      </c>
      <c r="C1615" s="51" t="s">
        <v>3707</v>
      </c>
      <c r="D1615" s="51" t="s">
        <v>4446</v>
      </c>
      <c r="E1615" s="51" t="s">
        <v>4007</v>
      </c>
      <c r="F1615" s="52">
        <v>1037.3241661412981</v>
      </c>
      <c r="G1615" s="52">
        <v>0</v>
      </c>
      <c r="H1615" s="52">
        <v>0</v>
      </c>
      <c r="I1615" s="52">
        <v>0</v>
      </c>
      <c r="J1615" s="51">
        <v>0</v>
      </c>
      <c r="K1615" s="54">
        <v>0</v>
      </c>
      <c r="L1615" s="51">
        <v>0</v>
      </c>
      <c r="M1615" s="54">
        <v>0</v>
      </c>
      <c r="N1615" s="53">
        <f t="shared" si="50"/>
        <v>0</v>
      </c>
      <c r="O1615" s="53">
        <f t="shared" si="51"/>
        <v>0</v>
      </c>
    </row>
    <row r="1616" spans="1:15" x14ac:dyDescent="0.2">
      <c r="A1616" s="51" t="s">
        <v>3567</v>
      </c>
      <c r="B1616" s="51" t="s">
        <v>3568</v>
      </c>
      <c r="C1616" s="51" t="s">
        <v>52</v>
      </c>
      <c r="D1616" s="51" t="s">
        <v>4441</v>
      </c>
      <c r="E1616" s="51" t="s">
        <v>4438</v>
      </c>
      <c r="F1616" s="52">
        <v>18.549747136375849</v>
      </c>
      <c r="G1616" s="52">
        <v>0</v>
      </c>
      <c r="H1616" s="52">
        <v>0</v>
      </c>
      <c r="I1616" s="52">
        <v>0</v>
      </c>
      <c r="J1616" s="51">
        <v>0</v>
      </c>
      <c r="K1616" s="54">
        <v>0</v>
      </c>
      <c r="L1616" s="51">
        <v>0</v>
      </c>
      <c r="M1616" s="54">
        <v>0</v>
      </c>
      <c r="N1616" s="53">
        <f t="shared" si="50"/>
        <v>0</v>
      </c>
      <c r="O1616" s="53">
        <f t="shared" si="51"/>
        <v>0</v>
      </c>
    </row>
    <row r="1617" spans="1:15" x14ac:dyDescent="0.2">
      <c r="A1617" s="51" t="s">
        <v>3567</v>
      </c>
      <c r="B1617" s="51" t="s">
        <v>3568</v>
      </c>
      <c r="C1617" s="51" t="s">
        <v>79</v>
      </c>
      <c r="D1617" s="51" t="s">
        <v>3166</v>
      </c>
      <c r="E1617" s="51" t="s">
        <v>3165</v>
      </c>
      <c r="F1617" s="52">
        <v>11140.048848382959</v>
      </c>
      <c r="G1617" s="52">
        <v>600</v>
      </c>
      <c r="H1617" s="52">
        <v>6600</v>
      </c>
      <c r="I1617" s="52">
        <v>7200</v>
      </c>
      <c r="J1617" s="51">
        <v>1</v>
      </c>
      <c r="K1617" s="54">
        <v>5000</v>
      </c>
      <c r="L1617" s="51">
        <v>0</v>
      </c>
      <c r="M1617" s="54">
        <v>0</v>
      </c>
      <c r="N1617" s="53">
        <f t="shared" si="50"/>
        <v>5000</v>
      </c>
      <c r="O1617" s="53">
        <f t="shared" si="51"/>
        <v>-5000</v>
      </c>
    </row>
    <row r="1618" spans="1:15" x14ac:dyDescent="0.2">
      <c r="A1618" s="51" t="s">
        <v>3567</v>
      </c>
      <c r="B1618" s="51" t="s">
        <v>3568</v>
      </c>
      <c r="C1618" s="51" t="s">
        <v>3873</v>
      </c>
      <c r="D1618" s="51" t="s">
        <v>4439</v>
      </c>
      <c r="E1618" s="51" t="s">
        <v>4440</v>
      </c>
      <c r="F1618" s="52">
        <v>6.8204261915922597</v>
      </c>
      <c r="G1618" s="52">
        <v>0</v>
      </c>
      <c r="H1618" s="52">
        <v>0</v>
      </c>
      <c r="I1618" s="52">
        <v>0</v>
      </c>
      <c r="J1618" s="51">
        <v>0</v>
      </c>
      <c r="K1618" s="54">
        <v>0</v>
      </c>
      <c r="L1618" s="51">
        <v>0</v>
      </c>
      <c r="M1618" s="54">
        <v>0</v>
      </c>
      <c r="N1618" s="53">
        <f t="shared" si="50"/>
        <v>0</v>
      </c>
      <c r="O1618" s="53">
        <f t="shared" si="51"/>
        <v>0</v>
      </c>
    </row>
    <row r="1619" spans="1:15" x14ac:dyDescent="0.2">
      <c r="A1619" s="51" t="s">
        <v>3567</v>
      </c>
      <c r="B1619" s="51" t="s">
        <v>3568</v>
      </c>
      <c r="C1619" s="51" t="s">
        <v>3763</v>
      </c>
      <c r="D1619" s="51" t="s">
        <v>4449</v>
      </c>
      <c r="E1619" s="51" t="s">
        <v>4450</v>
      </c>
      <c r="F1619" s="52">
        <v>2.531080293975184</v>
      </c>
      <c r="G1619" s="52">
        <v>0</v>
      </c>
      <c r="H1619" s="52">
        <v>0</v>
      </c>
      <c r="I1619" s="52">
        <v>0</v>
      </c>
      <c r="J1619" s="51">
        <v>0</v>
      </c>
      <c r="K1619" s="54">
        <v>0</v>
      </c>
      <c r="L1619" s="51">
        <v>0</v>
      </c>
      <c r="M1619" s="54">
        <v>0</v>
      </c>
      <c r="N1619" s="53">
        <f t="shared" si="50"/>
        <v>0</v>
      </c>
      <c r="O1619" s="53">
        <f t="shared" si="51"/>
        <v>0</v>
      </c>
    </row>
    <row r="1620" spans="1:15" x14ac:dyDescent="0.2">
      <c r="A1620" s="51" t="s">
        <v>3567</v>
      </c>
      <c r="B1620" s="51" t="s">
        <v>3568</v>
      </c>
      <c r="C1620" s="51" t="s">
        <v>53</v>
      </c>
      <c r="D1620" s="51" t="s">
        <v>3358</v>
      </c>
      <c r="E1620" s="51" t="s">
        <v>3357</v>
      </c>
      <c r="F1620" s="52">
        <v>3905.6890232254282</v>
      </c>
      <c r="G1620" s="52">
        <v>3530</v>
      </c>
      <c r="H1620" s="52">
        <v>1150</v>
      </c>
      <c r="I1620" s="52">
        <v>4680</v>
      </c>
      <c r="J1620" s="51">
        <v>1</v>
      </c>
      <c r="K1620" s="54">
        <v>6000</v>
      </c>
      <c r="L1620" s="51">
        <v>0</v>
      </c>
      <c r="M1620" s="54">
        <v>0</v>
      </c>
      <c r="N1620" s="53">
        <f t="shared" si="50"/>
        <v>6000</v>
      </c>
      <c r="O1620" s="53">
        <f t="shared" si="51"/>
        <v>-6000</v>
      </c>
    </row>
    <row r="1621" spans="1:15" x14ac:dyDescent="0.2">
      <c r="A1621" s="51" t="s">
        <v>3567</v>
      </c>
      <c r="B1621" s="51" t="s">
        <v>3568</v>
      </c>
      <c r="C1621" s="51" t="s">
        <v>67</v>
      </c>
      <c r="D1621" s="51" t="s">
        <v>269</v>
      </c>
      <c r="E1621" s="51" t="s">
        <v>268</v>
      </c>
      <c r="F1621" s="52">
        <v>8.7148241181060513</v>
      </c>
      <c r="G1621" s="52">
        <v>0</v>
      </c>
      <c r="H1621" s="52">
        <v>0</v>
      </c>
      <c r="I1621" s="52">
        <v>0</v>
      </c>
      <c r="J1621" s="51">
        <v>0</v>
      </c>
      <c r="K1621" s="54">
        <v>0</v>
      </c>
      <c r="L1621" s="51">
        <v>0</v>
      </c>
      <c r="M1621" s="54">
        <v>0</v>
      </c>
      <c r="N1621" s="53">
        <f t="shared" si="50"/>
        <v>0</v>
      </c>
      <c r="O1621" s="53">
        <f t="shared" si="51"/>
        <v>0</v>
      </c>
    </row>
    <row r="1622" spans="1:15" x14ac:dyDescent="0.2">
      <c r="A1622" s="51" t="s">
        <v>3567</v>
      </c>
      <c r="B1622" s="51" t="s">
        <v>3568</v>
      </c>
      <c r="C1622" s="51" t="s">
        <v>86</v>
      </c>
      <c r="D1622" s="51" t="s">
        <v>3110</v>
      </c>
      <c r="E1622" s="51" t="s">
        <v>3109</v>
      </c>
      <c r="F1622" s="52">
        <v>26336.74156040842</v>
      </c>
      <c r="G1622" s="52">
        <v>5370</v>
      </c>
      <c r="H1622" s="52">
        <v>42690</v>
      </c>
      <c r="I1622" s="52">
        <v>48060</v>
      </c>
      <c r="J1622" s="51">
        <v>0</v>
      </c>
      <c r="K1622" s="54">
        <v>0</v>
      </c>
      <c r="L1622" s="51">
        <v>2</v>
      </c>
      <c r="M1622" s="54">
        <v>44000</v>
      </c>
      <c r="N1622" s="53">
        <f t="shared" si="50"/>
        <v>-44000</v>
      </c>
      <c r="O1622" s="53">
        <f t="shared" si="51"/>
        <v>44000</v>
      </c>
    </row>
    <row r="1623" spans="1:15" x14ac:dyDescent="0.2">
      <c r="A1623" s="51" t="s">
        <v>3567</v>
      </c>
      <c r="B1623" s="51" t="s">
        <v>3568</v>
      </c>
      <c r="C1623" s="51" t="s">
        <v>55</v>
      </c>
      <c r="D1623" s="51" t="s">
        <v>2154</v>
      </c>
      <c r="E1623" s="51" t="s">
        <v>2153</v>
      </c>
      <c r="F1623" s="52">
        <v>13.44589294701222</v>
      </c>
      <c r="G1623" s="52">
        <v>7290</v>
      </c>
      <c r="H1623" s="52">
        <v>1270</v>
      </c>
      <c r="I1623" s="52">
        <v>8560</v>
      </c>
      <c r="J1623" s="51">
        <v>1</v>
      </c>
      <c r="K1623" s="54">
        <v>5000</v>
      </c>
      <c r="L1623" s="51">
        <v>0</v>
      </c>
      <c r="M1623" s="54">
        <v>0</v>
      </c>
      <c r="N1623" s="53">
        <f t="shared" si="50"/>
        <v>5000</v>
      </c>
      <c r="O1623" s="53">
        <f t="shared" si="51"/>
        <v>-5000</v>
      </c>
    </row>
    <row r="1624" spans="1:15" x14ac:dyDescent="0.2">
      <c r="A1624" s="51" t="s">
        <v>3567</v>
      </c>
      <c r="B1624" s="51" t="s">
        <v>3568</v>
      </c>
      <c r="C1624" s="51" t="s">
        <v>79</v>
      </c>
      <c r="D1624" s="51" t="s">
        <v>1264</v>
      </c>
      <c r="E1624" s="51" t="s">
        <v>1263</v>
      </c>
      <c r="F1624" s="52">
        <v>12852.380660869499</v>
      </c>
      <c r="G1624" s="52">
        <v>3000</v>
      </c>
      <c r="H1624" s="52">
        <v>0</v>
      </c>
      <c r="I1624" s="52">
        <v>3000</v>
      </c>
      <c r="J1624" s="51">
        <v>1</v>
      </c>
      <c r="K1624" s="54">
        <v>10000</v>
      </c>
      <c r="L1624" s="51">
        <v>0</v>
      </c>
      <c r="M1624" s="54">
        <v>0</v>
      </c>
      <c r="N1624" s="53">
        <f t="shared" si="50"/>
        <v>10000</v>
      </c>
      <c r="O1624" s="53">
        <f t="shared" si="51"/>
        <v>-10000</v>
      </c>
    </row>
    <row r="1625" spans="1:15" x14ac:dyDescent="0.2">
      <c r="A1625" s="51" t="s">
        <v>3567</v>
      </c>
      <c r="B1625" s="51" t="s">
        <v>3568</v>
      </c>
      <c r="C1625" s="51" t="s">
        <v>66</v>
      </c>
      <c r="D1625" s="51" t="s">
        <v>577</v>
      </c>
      <c r="E1625" s="51" t="s">
        <v>576</v>
      </c>
      <c r="F1625" s="52">
        <v>4943.8598000000002</v>
      </c>
      <c r="G1625" s="52">
        <v>13000</v>
      </c>
      <c r="H1625" s="52">
        <v>8000</v>
      </c>
      <c r="I1625" s="52">
        <v>21000</v>
      </c>
      <c r="J1625" s="51">
        <v>1</v>
      </c>
      <c r="K1625" s="54">
        <v>5000</v>
      </c>
      <c r="L1625" s="51">
        <v>0</v>
      </c>
      <c r="M1625" s="54">
        <v>0</v>
      </c>
      <c r="N1625" s="53">
        <f t="shared" si="50"/>
        <v>5000</v>
      </c>
      <c r="O1625" s="53">
        <f t="shared" si="51"/>
        <v>-5000</v>
      </c>
    </row>
    <row r="1626" spans="1:15" x14ac:dyDescent="0.2">
      <c r="A1626" s="51" t="s">
        <v>3567</v>
      </c>
      <c r="B1626" s="51" t="s">
        <v>3568</v>
      </c>
      <c r="C1626" s="51" t="s">
        <v>68</v>
      </c>
      <c r="D1626" s="51" t="s">
        <v>295</v>
      </c>
      <c r="E1626" s="51" t="s">
        <v>294</v>
      </c>
      <c r="F1626" s="52">
        <v>15908.264802012151</v>
      </c>
      <c r="G1626" s="52">
        <v>7960</v>
      </c>
      <c r="H1626" s="52">
        <v>10420</v>
      </c>
      <c r="I1626" s="52">
        <v>18380</v>
      </c>
      <c r="J1626" s="51">
        <v>1</v>
      </c>
      <c r="K1626" s="54">
        <v>5000</v>
      </c>
      <c r="L1626" s="51">
        <v>1</v>
      </c>
      <c r="M1626" s="54">
        <v>10000</v>
      </c>
      <c r="N1626" s="53">
        <f t="shared" si="50"/>
        <v>-5000</v>
      </c>
      <c r="O1626" s="53">
        <f t="shared" si="51"/>
        <v>5000</v>
      </c>
    </row>
    <row r="1627" spans="1:15" x14ac:dyDescent="0.2">
      <c r="A1627" s="51" t="s">
        <v>3567</v>
      </c>
      <c r="B1627" s="51" t="s">
        <v>3568</v>
      </c>
      <c r="C1627" s="51" t="s">
        <v>58</v>
      </c>
      <c r="D1627" s="51" t="s">
        <v>1604</v>
      </c>
      <c r="E1627" s="51" t="s">
        <v>1603</v>
      </c>
      <c r="F1627" s="52">
        <v>2123.66993538324</v>
      </c>
      <c r="G1627" s="52">
        <v>750</v>
      </c>
      <c r="H1627" s="52">
        <v>49595</v>
      </c>
      <c r="I1627" s="52">
        <v>50345</v>
      </c>
      <c r="J1627" s="51">
        <v>1</v>
      </c>
      <c r="K1627" s="54">
        <v>5000</v>
      </c>
      <c r="L1627" s="51">
        <v>1</v>
      </c>
      <c r="M1627" s="54">
        <v>52000</v>
      </c>
      <c r="N1627" s="53">
        <f t="shared" si="50"/>
        <v>-47000</v>
      </c>
      <c r="O1627" s="53">
        <f t="shared" si="51"/>
        <v>47000</v>
      </c>
    </row>
    <row r="1628" spans="1:15" x14ac:dyDescent="0.2">
      <c r="A1628" s="51" t="s">
        <v>3567</v>
      </c>
      <c r="B1628" s="51" t="s">
        <v>3568</v>
      </c>
      <c r="C1628" s="51" t="s">
        <v>77</v>
      </c>
      <c r="D1628" s="51" t="s">
        <v>3235</v>
      </c>
      <c r="E1628" s="51" t="s">
        <v>3234</v>
      </c>
      <c r="F1628" s="52">
        <v>1527.14032</v>
      </c>
      <c r="G1628" s="52">
        <v>5000</v>
      </c>
      <c r="H1628" s="52">
        <v>1210</v>
      </c>
      <c r="I1628" s="52">
        <v>6210</v>
      </c>
      <c r="J1628" s="51">
        <v>1</v>
      </c>
      <c r="K1628" s="54">
        <v>5000</v>
      </c>
      <c r="L1628" s="51">
        <v>0</v>
      </c>
      <c r="M1628" s="54">
        <v>0</v>
      </c>
      <c r="N1628" s="53">
        <f t="shared" si="50"/>
        <v>5000</v>
      </c>
      <c r="O1628" s="53">
        <f t="shared" si="51"/>
        <v>-5000</v>
      </c>
    </row>
    <row r="1629" spans="1:15" x14ac:dyDescent="0.2">
      <c r="A1629" s="51" t="s">
        <v>3567</v>
      </c>
      <c r="B1629" s="51" t="s">
        <v>3568</v>
      </c>
      <c r="C1629" s="51" t="s">
        <v>58</v>
      </c>
      <c r="D1629" s="51" t="s">
        <v>4456</v>
      </c>
      <c r="E1629" s="51" t="s">
        <v>4457</v>
      </c>
      <c r="F1629" s="52">
        <v>0.88660000000000005</v>
      </c>
      <c r="G1629" s="52">
        <v>0</v>
      </c>
      <c r="H1629" s="52">
        <v>0</v>
      </c>
      <c r="I1629" s="52">
        <v>0</v>
      </c>
      <c r="J1629" s="51">
        <v>0</v>
      </c>
      <c r="K1629" s="54">
        <v>0</v>
      </c>
      <c r="L1629" s="51">
        <v>0</v>
      </c>
      <c r="M1629" s="54">
        <v>0</v>
      </c>
      <c r="N1629" s="53">
        <f t="shared" si="50"/>
        <v>0</v>
      </c>
      <c r="O1629" s="53">
        <f t="shared" si="51"/>
        <v>0</v>
      </c>
    </row>
    <row r="1630" spans="1:15" x14ac:dyDescent="0.2">
      <c r="A1630" s="51" t="s">
        <v>3567</v>
      </c>
      <c r="B1630" s="51" t="s">
        <v>3568</v>
      </c>
      <c r="C1630" s="51" t="s">
        <v>72</v>
      </c>
      <c r="D1630" s="51" t="s">
        <v>1749</v>
      </c>
      <c r="E1630" s="51" t="s">
        <v>1748</v>
      </c>
      <c r="F1630" s="52">
        <v>1173.469637219572</v>
      </c>
      <c r="G1630" s="52">
        <v>0</v>
      </c>
      <c r="H1630" s="52">
        <v>0</v>
      </c>
      <c r="I1630" s="52">
        <v>0</v>
      </c>
      <c r="J1630" s="51">
        <v>0</v>
      </c>
      <c r="K1630" s="54">
        <v>0</v>
      </c>
      <c r="L1630" s="51">
        <v>1</v>
      </c>
      <c r="M1630" s="54">
        <v>10000</v>
      </c>
      <c r="N1630" s="53">
        <f t="shared" si="50"/>
        <v>-10000</v>
      </c>
      <c r="O1630" s="53">
        <f t="shared" si="51"/>
        <v>10000</v>
      </c>
    </row>
    <row r="1631" spans="1:15" x14ac:dyDescent="0.2">
      <c r="A1631" s="51" t="s">
        <v>3567</v>
      </c>
      <c r="B1631" s="51" t="s">
        <v>3568</v>
      </c>
      <c r="C1631" s="51" t="s">
        <v>57</v>
      </c>
      <c r="D1631" s="51" t="s">
        <v>4458</v>
      </c>
      <c r="E1631" s="51" t="s">
        <v>4459</v>
      </c>
      <c r="F1631" s="52">
        <v>3.541625803188909</v>
      </c>
      <c r="G1631" s="52">
        <v>0</v>
      </c>
      <c r="H1631" s="52">
        <v>0</v>
      </c>
      <c r="I1631" s="52">
        <v>0</v>
      </c>
      <c r="J1631" s="51">
        <v>0</v>
      </c>
      <c r="K1631" s="54">
        <v>0</v>
      </c>
      <c r="L1631" s="51">
        <v>0</v>
      </c>
      <c r="M1631" s="54">
        <v>0</v>
      </c>
      <c r="N1631" s="53">
        <f t="shared" si="50"/>
        <v>0</v>
      </c>
      <c r="O1631" s="53">
        <f t="shared" si="51"/>
        <v>0</v>
      </c>
    </row>
    <row r="1632" spans="1:15" x14ac:dyDescent="0.2">
      <c r="A1632" s="51" t="s">
        <v>3567</v>
      </c>
      <c r="B1632" s="51" t="s">
        <v>3568</v>
      </c>
      <c r="C1632" s="51" t="s">
        <v>93</v>
      </c>
      <c r="D1632" s="51" t="s">
        <v>2634</v>
      </c>
      <c r="E1632" s="51" t="s">
        <v>2633</v>
      </c>
      <c r="F1632" s="52">
        <v>12268.7392</v>
      </c>
      <c r="G1632" s="52">
        <v>17265</v>
      </c>
      <c r="H1632" s="52">
        <v>20370</v>
      </c>
      <c r="I1632" s="52">
        <v>37635</v>
      </c>
      <c r="J1632" s="51">
        <v>1</v>
      </c>
      <c r="K1632" s="54">
        <v>10000</v>
      </c>
      <c r="L1632" s="51">
        <v>0</v>
      </c>
      <c r="M1632" s="54">
        <v>0</v>
      </c>
      <c r="N1632" s="53">
        <f t="shared" si="50"/>
        <v>10000</v>
      </c>
      <c r="O1632" s="53">
        <f t="shared" si="51"/>
        <v>-10000</v>
      </c>
    </row>
    <row r="1633" spans="1:15" x14ac:dyDescent="0.2">
      <c r="A1633" s="51" t="s">
        <v>3567</v>
      </c>
      <c r="B1633" s="51" t="s">
        <v>3568</v>
      </c>
      <c r="C1633" s="51" t="s">
        <v>80</v>
      </c>
      <c r="D1633" s="51" t="s">
        <v>2318</v>
      </c>
      <c r="E1633" s="51" t="s">
        <v>2317</v>
      </c>
      <c r="F1633" s="52">
        <v>850.94709999999998</v>
      </c>
      <c r="G1633" s="52">
        <v>3968</v>
      </c>
      <c r="H1633" s="52">
        <v>11340</v>
      </c>
      <c r="I1633" s="52">
        <v>15308</v>
      </c>
      <c r="J1633" s="51">
        <v>0</v>
      </c>
      <c r="K1633" s="54">
        <v>0</v>
      </c>
      <c r="L1633" s="51">
        <v>2</v>
      </c>
      <c r="M1633" s="54">
        <v>11000</v>
      </c>
      <c r="N1633" s="53">
        <f t="shared" si="50"/>
        <v>-11000</v>
      </c>
      <c r="O1633" s="53">
        <f t="shared" si="51"/>
        <v>11000</v>
      </c>
    </row>
    <row r="1634" spans="1:15" x14ac:dyDescent="0.2">
      <c r="A1634" s="51" t="s">
        <v>3567</v>
      </c>
      <c r="B1634" s="51" t="s">
        <v>3568</v>
      </c>
      <c r="C1634" s="51" t="s">
        <v>60</v>
      </c>
      <c r="D1634" s="51" t="s">
        <v>4453</v>
      </c>
      <c r="E1634" s="51" t="s">
        <v>4454</v>
      </c>
      <c r="F1634" s="52">
        <v>6.67886352373504</v>
      </c>
      <c r="G1634" s="52">
        <v>0</v>
      </c>
      <c r="H1634" s="52">
        <v>0</v>
      </c>
      <c r="I1634" s="52">
        <v>0</v>
      </c>
      <c r="J1634" s="51">
        <v>0</v>
      </c>
      <c r="K1634" s="54">
        <v>0</v>
      </c>
      <c r="L1634" s="51">
        <v>0</v>
      </c>
      <c r="M1634" s="54">
        <v>0</v>
      </c>
      <c r="N1634" s="53">
        <f t="shared" si="50"/>
        <v>0</v>
      </c>
      <c r="O1634" s="53">
        <f t="shared" si="51"/>
        <v>0</v>
      </c>
    </row>
    <row r="1635" spans="1:15" x14ac:dyDescent="0.2">
      <c r="A1635" s="51" t="s">
        <v>3567</v>
      </c>
      <c r="B1635" s="51" t="s">
        <v>3568</v>
      </c>
      <c r="C1635" s="51" t="s">
        <v>84</v>
      </c>
      <c r="D1635" s="51" t="s">
        <v>1898</v>
      </c>
      <c r="E1635" s="51" t="s">
        <v>1897</v>
      </c>
      <c r="F1635" s="52">
        <v>2375.814309419844</v>
      </c>
      <c r="G1635" s="52">
        <v>0</v>
      </c>
      <c r="H1635" s="52">
        <v>7250</v>
      </c>
      <c r="I1635" s="52">
        <v>7250</v>
      </c>
      <c r="J1635" s="51">
        <v>0</v>
      </c>
      <c r="K1635" s="54">
        <v>0</v>
      </c>
      <c r="L1635" s="51">
        <v>1</v>
      </c>
      <c r="M1635" s="54">
        <v>5000</v>
      </c>
      <c r="N1635" s="53">
        <f t="shared" si="50"/>
        <v>-5000</v>
      </c>
      <c r="O1635" s="53">
        <f t="shared" si="51"/>
        <v>5000</v>
      </c>
    </row>
    <row r="1636" spans="1:15" x14ac:dyDescent="0.2">
      <c r="A1636" s="51" t="s">
        <v>3567</v>
      </c>
      <c r="B1636" s="51" t="s">
        <v>3568</v>
      </c>
      <c r="C1636" s="51" t="s">
        <v>65</v>
      </c>
      <c r="D1636" s="51" t="s">
        <v>4462</v>
      </c>
      <c r="E1636" s="51" t="s">
        <v>4463</v>
      </c>
      <c r="F1636" s="52">
        <v>22.97775</v>
      </c>
      <c r="G1636" s="52">
        <v>0</v>
      </c>
      <c r="H1636" s="52">
        <v>0</v>
      </c>
      <c r="I1636" s="52">
        <v>0</v>
      </c>
      <c r="J1636" s="51">
        <v>0</v>
      </c>
      <c r="K1636" s="54">
        <v>0</v>
      </c>
      <c r="L1636" s="51">
        <v>0</v>
      </c>
      <c r="M1636" s="54">
        <v>0</v>
      </c>
      <c r="N1636" s="53">
        <f t="shared" si="50"/>
        <v>0</v>
      </c>
      <c r="O1636" s="53">
        <f t="shared" si="51"/>
        <v>0</v>
      </c>
    </row>
    <row r="1637" spans="1:15" x14ac:dyDescent="0.2">
      <c r="A1637" s="51" t="s">
        <v>3567</v>
      </c>
      <c r="B1637" s="51" t="s">
        <v>3568</v>
      </c>
      <c r="C1637" s="51" t="s">
        <v>80</v>
      </c>
      <c r="D1637" s="51" t="s">
        <v>1292</v>
      </c>
      <c r="E1637" s="51" t="s">
        <v>1291</v>
      </c>
      <c r="F1637" s="52">
        <v>56.649299999999997</v>
      </c>
      <c r="G1637" s="52">
        <v>5000</v>
      </c>
      <c r="H1637" s="52">
        <v>0</v>
      </c>
      <c r="I1637" s="52">
        <v>5000</v>
      </c>
      <c r="J1637" s="51">
        <v>1</v>
      </c>
      <c r="K1637" s="54">
        <v>5000</v>
      </c>
      <c r="L1637" s="51">
        <v>0</v>
      </c>
      <c r="M1637" s="54">
        <v>0</v>
      </c>
      <c r="N1637" s="53">
        <f t="shared" si="50"/>
        <v>5000</v>
      </c>
      <c r="O1637" s="53">
        <f t="shared" si="51"/>
        <v>-5000</v>
      </c>
    </row>
    <row r="1638" spans="1:15" x14ac:dyDescent="0.2">
      <c r="A1638" s="51" t="s">
        <v>3567</v>
      </c>
      <c r="B1638" s="51" t="s">
        <v>3568</v>
      </c>
      <c r="C1638" s="51" t="s">
        <v>3718</v>
      </c>
      <c r="D1638" s="51" t="s">
        <v>4464</v>
      </c>
      <c r="E1638" s="51" t="s">
        <v>4465</v>
      </c>
      <c r="F1638" s="52">
        <v>3.0476541240207502</v>
      </c>
      <c r="G1638" s="52">
        <v>0</v>
      </c>
      <c r="H1638" s="52">
        <v>0</v>
      </c>
      <c r="I1638" s="52">
        <v>0</v>
      </c>
      <c r="J1638" s="51">
        <v>0</v>
      </c>
      <c r="K1638" s="54">
        <v>0</v>
      </c>
      <c r="L1638" s="51">
        <v>0</v>
      </c>
      <c r="M1638" s="54">
        <v>0</v>
      </c>
      <c r="N1638" s="53">
        <f t="shared" si="50"/>
        <v>0</v>
      </c>
      <c r="O1638" s="53">
        <f t="shared" si="51"/>
        <v>0</v>
      </c>
    </row>
    <row r="1639" spans="1:15" x14ac:dyDescent="0.2">
      <c r="A1639" s="51" t="s">
        <v>3567</v>
      </c>
      <c r="B1639" s="51" t="s">
        <v>3568</v>
      </c>
      <c r="C1639" s="51" t="s">
        <v>79</v>
      </c>
      <c r="D1639" s="51" t="s">
        <v>1227</v>
      </c>
      <c r="E1639" s="51" t="s">
        <v>1226</v>
      </c>
      <c r="F1639" s="52">
        <v>8780.3523126100517</v>
      </c>
      <c r="G1639" s="52">
        <v>6000</v>
      </c>
      <c r="H1639" s="52">
        <v>9130</v>
      </c>
      <c r="I1639" s="52">
        <v>15130</v>
      </c>
      <c r="J1639" s="51">
        <v>0</v>
      </c>
      <c r="K1639" s="54">
        <v>0</v>
      </c>
      <c r="L1639" s="51">
        <v>1</v>
      </c>
      <c r="M1639" s="54">
        <v>10000</v>
      </c>
      <c r="N1639" s="53">
        <f t="shared" si="50"/>
        <v>-10000</v>
      </c>
      <c r="O1639" s="53">
        <f t="shared" si="51"/>
        <v>10000</v>
      </c>
    </row>
    <row r="1640" spans="1:15" x14ac:dyDescent="0.2">
      <c r="A1640" s="51" t="s">
        <v>3567</v>
      </c>
      <c r="B1640" s="51" t="s">
        <v>3568</v>
      </c>
      <c r="C1640" s="51" t="s">
        <v>62</v>
      </c>
      <c r="D1640" s="51" t="s">
        <v>2138</v>
      </c>
      <c r="E1640" s="51" t="s">
        <v>2137</v>
      </c>
      <c r="F1640" s="52">
        <v>452.78745531517228</v>
      </c>
      <c r="G1640" s="52">
        <v>100</v>
      </c>
      <c r="H1640" s="52">
        <v>7820</v>
      </c>
      <c r="I1640" s="52">
        <v>7920</v>
      </c>
      <c r="J1640" s="51">
        <v>0</v>
      </c>
      <c r="K1640" s="54">
        <v>0</v>
      </c>
      <c r="L1640" s="51">
        <v>2</v>
      </c>
      <c r="M1640" s="54">
        <v>16000</v>
      </c>
      <c r="N1640" s="53">
        <f t="shared" si="50"/>
        <v>-16000</v>
      </c>
      <c r="O1640" s="53">
        <f t="shared" si="51"/>
        <v>16000</v>
      </c>
    </row>
    <row r="1641" spans="1:15" x14ac:dyDescent="0.2">
      <c r="A1641" s="51" t="s">
        <v>3567</v>
      </c>
      <c r="B1641" s="51" t="s">
        <v>3568</v>
      </c>
      <c r="C1641" s="51" t="s">
        <v>58</v>
      </c>
      <c r="D1641" s="51" t="s">
        <v>4473</v>
      </c>
      <c r="E1641" s="51" t="s">
        <v>4474</v>
      </c>
      <c r="F1641" s="52">
        <v>2.3847</v>
      </c>
      <c r="G1641" s="52">
        <v>0</v>
      </c>
      <c r="H1641" s="52">
        <v>0</v>
      </c>
      <c r="I1641" s="52">
        <v>0</v>
      </c>
      <c r="J1641" s="51">
        <v>0</v>
      </c>
      <c r="K1641" s="54">
        <v>0</v>
      </c>
      <c r="L1641" s="51">
        <v>0</v>
      </c>
      <c r="M1641" s="54">
        <v>0</v>
      </c>
      <c r="N1641" s="53">
        <f t="shared" si="50"/>
        <v>0</v>
      </c>
      <c r="O1641" s="53">
        <f t="shared" si="51"/>
        <v>0</v>
      </c>
    </row>
    <row r="1642" spans="1:15" x14ac:dyDescent="0.2">
      <c r="A1642" s="51" t="s">
        <v>3567</v>
      </c>
      <c r="B1642" s="51" t="s">
        <v>3568</v>
      </c>
      <c r="C1642" s="51" t="s">
        <v>3630</v>
      </c>
      <c r="D1642" s="51" t="s">
        <v>4466</v>
      </c>
      <c r="E1642" s="51" t="s">
        <v>4467</v>
      </c>
      <c r="F1642" s="52">
        <v>10.214310905753511</v>
      </c>
      <c r="G1642" s="52">
        <v>0</v>
      </c>
      <c r="H1642" s="52">
        <v>0</v>
      </c>
      <c r="I1642" s="52">
        <v>0</v>
      </c>
      <c r="J1642" s="51">
        <v>0</v>
      </c>
      <c r="K1642" s="54">
        <v>0</v>
      </c>
      <c r="L1642" s="51">
        <v>0</v>
      </c>
      <c r="M1642" s="54">
        <v>0</v>
      </c>
      <c r="N1642" s="53">
        <f t="shared" si="50"/>
        <v>0</v>
      </c>
      <c r="O1642" s="53">
        <f t="shared" si="51"/>
        <v>0</v>
      </c>
    </row>
    <row r="1643" spans="1:15" x14ac:dyDescent="0.2">
      <c r="A1643" s="51" t="s">
        <v>3567</v>
      </c>
      <c r="B1643" s="51" t="s">
        <v>3568</v>
      </c>
      <c r="C1643" s="51" t="s">
        <v>59</v>
      </c>
      <c r="D1643" s="51" t="s">
        <v>2923</v>
      </c>
      <c r="E1643" s="51" t="s">
        <v>2922</v>
      </c>
      <c r="F1643" s="52">
        <v>8577.8528375257174</v>
      </c>
      <c r="G1643" s="52">
        <v>7330</v>
      </c>
      <c r="H1643" s="52">
        <v>8870</v>
      </c>
      <c r="I1643" s="52">
        <v>16200</v>
      </c>
      <c r="J1643" s="51">
        <v>0</v>
      </c>
      <c r="K1643" s="54">
        <v>0</v>
      </c>
      <c r="L1643" s="51">
        <v>1</v>
      </c>
      <c r="M1643" s="54">
        <v>55000</v>
      </c>
      <c r="N1643" s="53">
        <f t="shared" si="50"/>
        <v>-55000</v>
      </c>
      <c r="O1643" s="53">
        <f t="shared" si="51"/>
        <v>55000</v>
      </c>
    </row>
    <row r="1644" spans="1:15" x14ac:dyDescent="0.2">
      <c r="A1644" s="51" t="s">
        <v>3567</v>
      </c>
      <c r="B1644" s="51" t="s">
        <v>3568</v>
      </c>
      <c r="C1644" s="51" t="s">
        <v>62</v>
      </c>
      <c r="D1644" s="51" t="s">
        <v>1092</v>
      </c>
      <c r="E1644" s="51" t="s">
        <v>1091</v>
      </c>
      <c r="F1644" s="52">
        <v>2719.1269000000002</v>
      </c>
      <c r="G1644" s="52">
        <v>0</v>
      </c>
      <c r="H1644" s="52">
        <v>1700</v>
      </c>
      <c r="I1644" s="52">
        <v>1700</v>
      </c>
      <c r="J1644" s="51">
        <v>1</v>
      </c>
      <c r="K1644" s="54">
        <v>5000</v>
      </c>
      <c r="L1644" s="51">
        <v>1</v>
      </c>
      <c r="M1644" s="54">
        <v>10000</v>
      </c>
      <c r="N1644" s="53">
        <f t="shared" si="50"/>
        <v>-5000</v>
      </c>
      <c r="O1644" s="53">
        <f t="shared" si="51"/>
        <v>5000</v>
      </c>
    </row>
    <row r="1645" spans="1:15" x14ac:dyDescent="0.2">
      <c r="A1645" s="51" t="s">
        <v>3567</v>
      </c>
      <c r="B1645" s="51" t="s">
        <v>3568</v>
      </c>
      <c r="C1645" s="51" t="s">
        <v>73</v>
      </c>
      <c r="D1645" s="51" t="s">
        <v>1838</v>
      </c>
      <c r="E1645" s="51" t="s">
        <v>1837</v>
      </c>
      <c r="F1645" s="52">
        <v>14656.63385</v>
      </c>
      <c r="G1645" s="52">
        <v>100</v>
      </c>
      <c r="H1645" s="52">
        <v>8640</v>
      </c>
      <c r="I1645" s="52">
        <v>8740</v>
      </c>
      <c r="J1645" s="51">
        <v>1</v>
      </c>
      <c r="K1645" s="54">
        <v>6000</v>
      </c>
      <c r="L1645" s="51">
        <v>0</v>
      </c>
      <c r="M1645" s="54">
        <v>0</v>
      </c>
      <c r="N1645" s="53">
        <f t="shared" si="50"/>
        <v>6000</v>
      </c>
      <c r="O1645" s="53">
        <f t="shared" si="51"/>
        <v>-6000</v>
      </c>
    </row>
    <row r="1646" spans="1:15" x14ac:dyDescent="0.2">
      <c r="A1646" s="51" t="s">
        <v>3567</v>
      </c>
      <c r="B1646" s="51" t="s">
        <v>3568</v>
      </c>
      <c r="C1646" s="51" t="s">
        <v>80</v>
      </c>
      <c r="D1646" s="51" t="s">
        <v>357</v>
      </c>
      <c r="E1646" s="51" t="s">
        <v>356</v>
      </c>
      <c r="F1646" s="52">
        <v>14274.763499999999</v>
      </c>
      <c r="G1646" s="52">
        <v>0</v>
      </c>
      <c r="H1646" s="52">
        <v>0</v>
      </c>
      <c r="I1646" s="52">
        <v>0</v>
      </c>
      <c r="J1646" s="51">
        <v>1</v>
      </c>
      <c r="K1646" s="54">
        <v>5000</v>
      </c>
      <c r="L1646" s="51">
        <v>0</v>
      </c>
      <c r="M1646" s="54">
        <v>0</v>
      </c>
      <c r="N1646" s="53">
        <f t="shared" si="50"/>
        <v>5000</v>
      </c>
      <c r="O1646" s="53">
        <f t="shared" si="51"/>
        <v>-5000</v>
      </c>
    </row>
    <row r="1647" spans="1:15" x14ac:dyDescent="0.2">
      <c r="A1647" s="51" t="s">
        <v>3567</v>
      </c>
      <c r="B1647" s="51" t="s">
        <v>3568</v>
      </c>
      <c r="C1647" s="51" t="s">
        <v>53</v>
      </c>
      <c r="D1647" s="51" t="s">
        <v>1471</v>
      </c>
      <c r="E1647" s="51" t="s">
        <v>1470</v>
      </c>
      <c r="F1647" s="52">
        <v>4745.7908500000003</v>
      </c>
      <c r="G1647" s="52">
        <v>3000</v>
      </c>
      <c r="H1647" s="52">
        <v>2500</v>
      </c>
      <c r="I1647" s="52">
        <v>5500</v>
      </c>
      <c r="J1647" s="51">
        <v>1</v>
      </c>
      <c r="K1647" s="54">
        <v>5000</v>
      </c>
      <c r="L1647" s="51">
        <v>0</v>
      </c>
      <c r="M1647" s="54">
        <v>0</v>
      </c>
      <c r="N1647" s="53">
        <f t="shared" si="50"/>
        <v>5000</v>
      </c>
      <c r="O1647" s="53">
        <f t="shared" si="51"/>
        <v>-5000</v>
      </c>
    </row>
    <row r="1648" spans="1:15" x14ac:dyDescent="0.2">
      <c r="A1648" s="51" t="s">
        <v>3567</v>
      </c>
      <c r="B1648" s="51" t="s">
        <v>3568</v>
      </c>
      <c r="C1648" s="51" t="s">
        <v>73</v>
      </c>
      <c r="D1648" s="51" t="s">
        <v>2543</v>
      </c>
      <c r="E1648" s="51" t="s">
        <v>290</v>
      </c>
      <c r="F1648" s="52">
        <v>3524.0118619726891</v>
      </c>
      <c r="G1648" s="52">
        <v>5160</v>
      </c>
      <c r="H1648" s="52">
        <v>26394</v>
      </c>
      <c r="I1648" s="52">
        <v>31554</v>
      </c>
      <c r="J1648" s="51">
        <v>1</v>
      </c>
      <c r="K1648" s="54">
        <v>5000</v>
      </c>
      <c r="L1648" s="51">
        <v>2</v>
      </c>
      <c r="M1648" s="54">
        <v>30000</v>
      </c>
      <c r="N1648" s="53">
        <f t="shared" si="50"/>
        <v>-25000</v>
      </c>
      <c r="O1648" s="53">
        <f t="shared" si="51"/>
        <v>25000</v>
      </c>
    </row>
    <row r="1649" spans="1:15" x14ac:dyDescent="0.2">
      <c r="A1649" s="51" t="s">
        <v>3567</v>
      </c>
      <c r="B1649" s="51" t="s">
        <v>3568</v>
      </c>
      <c r="C1649" s="51" t="s">
        <v>92</v>
      </c>
      <c r="D1649" s="51" t="s">
        <v>132</v>
      </c>
      <c r="E1649" s="51" t="s">
        <v>131</v>
      </c>
      <c r="F1649" s="52">
        <v>35092.382843478299</v>
      </c>
      <c r="G1649" s="52">
        <v>2320</v>
      </c>
      <c r="H1649" s="52">
        <v>2200</v>
      </c>
      <c r="I1649" s="52">
        <v>4520</v>
      </c>
      <c r="J1649" s="51">
        <v>0</v>
      </c>
      <c r="K1649" s="54">
        <v>0</v>
      </c>
      <c r="L1649" s="51">
        <v>2</v>
      </c>
      <c r="M1649" s="54">
        <v>30000</v>
      </c>
      <c r="N1649" s="53">
        <f t="shared" si="50"/>
        <v>-30000</v>
      </c>
      <c r="O1649" s="53">
        <f t="shared" si="51"/>
        <v>30000</v>
      </c>
    </row>
    <row r="1650" spans="1:15" x14ac:dyDescent="0.2">
      <c r="A1650" s="51" t="s">
        <v>3567</v>
      </c>
      <c r="B1650" s="51" t="s">
        <v>3568</v>
      </c>
      <c r="C1650" s="51" t="s">
        <v>84</v>
      </c>
      <c r="D1650" s="51" t="s">
        <v>1412</v>
      </c>
      <c r="E1650" s="51" t="s">
        <v>1411</v>
      </c>
      <c r="F1650" s="52">
        <v>13940.4877</v>
      </c>
      <c r="G1650" s="52">
        <v>1550</v>
      </c>
      <c r="H1650" s="52">
        <v>3500</v>
      </c>
      <c r="I1650" s="52">
        <v>5050</v>
      </c>
      <c r="J1650" s="51">
        <v>1</v>
      </c>
      <c r="K1650" s="54">
        <v>5000</v>
      </c>
      <c r="L1650" s="51">
        <v>0</v>
      </c>
      <c r="M1650" s="54">
        <v>0</v>
      </c>
      <c r="N1650" s="53">
        <f t="shared" si="50"/>
        <v>5000</v>
      </c>
      <c r="O1650" s="53">
        <f t="shared" si="51"/>
        <v>-5000</v>
      </c>
    </row>
    <row r="1651" spans="1:15" x14ac:dyDescent="0.2">
      <c r="A1651" s="51" t="s">
        <v>3567</v>
      </c>
      <c r="B1651" s="51" t="s">
        <v>3568</v>
      </c>
      <c r="C1651" s="51" t="s">
        <v>92</v>
      </c>
      <c r="D1651" s="51" t="s">
        <v>3051</v>
      </c>
      <c r="E1651" s="51" t="s">
        <v>3050</v>
      </c>
      <c r="F1651" s="52">
        <v>4951.6840349210488</v>
      </c>
      <c r="G1651" s="52">
        <v>4370</v>
      </c>
      <c r="H1651" s="52">
        <v>20350</v>
      </c>
      <c r="I1651" s="52">
        <v>24720</v>
      </c>
      <c r="J1651" s="51">
        <v>0</v>
      </c>
      <c r="K1651" s="54">
        <v>0</v>
      </c>
      <c r="L1651" s="51">
        <v>1</v>
      </c>
      <c r="M1651" s="54">
        <v>50000</v>
      </c>
      <c r="N1651" s="53">
        <f t="shared" si="50"/>
        <v>-50000</v>
      </c>
      <c r="O1651" s="53">
        <f t="shared" si="51"/>
        <v>50000</v>
      </c>
    </row>
    <row r="1652" spans="1:15" x14ac:dyDescent="0.2">
      <c r="A1652" s="51" t="s">
        <v>3567</v>
      </c>
      <c r="B1652" s="51" t="s">
        <v>3568</v>
      </c>
      <c r="C1652" s="51" t="s">
        <v>55</v>
      </c>
      <c r="D1652" s="51" t="s">
        <v>2414</v>
      </c>
      <c r="E1652" s="51" t="s">
        <v>2413</v>
      </c>
      <c r="F1652" s="52">
        <v>5694.9705000000004</v>
      </c>
      <c r="G1652" s="52">
        <v>0</v>
      </c>
      <c r="H1652" s="52">
        <v>530</v>
      </c>
      <c r="I1652" s="52">
        <v>530</v>
      </c>
      <c r="J1652" s="51">
        <v>1</v>
      </c>
      <c r="K1652" s="54">
        <v>5000</v>
      </c>
      <c r="L1652" s="51">
        <v>0</v>
      </c>
      <c r="M1652" s="54">
        <v>0</v>
      </c>
      <c r="N1652" s="53">
        <f t="shared" si="50"/>
        <v>5000</v>
      </c>
      <c r="O1652" s="53">
        <f t="shared" si="51"/>
        <v>-5000</v>
      </c>
    </row>
    <row r="1653" spans="1:15" x14ac:dyDescent="0.2">
      <c r="A1653" s="51" t="s">
        <v>3567</v>
      </c>
      <c r="B1653" s="51" t="s">
        <v>3568</v>
      </c>
      <c r="C1653" s="51" t="s">
        <v>75</v>
      </c>
      <c r="D1653" s="51" t="s">
        <v>1765</v>
      </c>
      <c r="E1653" s="51" t="s">
        <v>1764</v>
      </c>
      <c r="F1653" s="52">
        <v>451.2312</v>
      </c>
      <c r="G1653" s="52">
        <v>23570</v>
      </c>
      <c r="H1653" s="52">
        <v>7590</v>
      </c>
      <c r="I1653" s="52">
        <v>31160</v>
      </c>
      <c r="J1653" s="51">
        <v>2</v>
      </c>
      <c r="K1653" s="54">
        <v>20000</v>
      </c>
      <c r="L1653" s="51">
        <v>1</v>
      </c>
      <c r="M1653" s="54">
        <v>7000</v>
      </c>
      <c r="N1653" s="53">
        <f t="shared" si="50"/>
        <v>13000</v>
      </c>
      <c r="O1653" s="53">
        <f t="shared" si="51"/>
        <v>-13000</v>
      </c>
    </row>
    <row r="1654" spans="1:15" x14ac:dyDescent="0.2">
      <c r="A1654" s="51" t="s">
        <v>3567</v>
      </c>
      <c r="B1654" s="51" t="s">
        <v>3568</v>
      </c>
      <c r="C1654" s="51" t="s">
        <v>3653</v>
      </c>
      <c r="D1654" s="51" t="s">
        <v>4468</v>
      </c>
      <c r="E1654" s="51" t="s">
        <v>4469</v>
      </c>
      <c r="F1654" s="52">
        <v>21.619800000000001</v>
      </c>
      <c r="G1654" s="52">
        <v>0</v>
      </c>
      <c r="H1654" s="52">
        <v>0</v>
      </c>
      <c r="I1654" s="52">
        <v>0</v>
      </c>
      <c r="J1654" s="51">
        <v>0</v>
      </c>
      <c r="K1654" s="54">
        <v>0</v>
      </c>
      <c r="L1654" s="51">
        <v>0</v>
      </c>
      <c r="M1654" s="54">
        <v>0</v>
      </c>
      <c r="N1654" s="53">
        <f t="shared" si="50"/>
        <v>0</v>
      </c>
      <c r="O1654" s="53">
        <f t="shared" si="51"/>
        <v>0</v>
      </c>
    </row>
    <row r="1655" spans="1:15" x14ac:dyDescent="0.2">
      <c r="A1655" s="51" t="s">
        <v>3567</v>
      </c>
      <c r="B1655" s="51" t="s">
        <v>3568</v>
      </c>
      <c r="C1655" s="51" t="s">
        <v>78</v>
      </c>
      <c r="D1655" s="51" t="s">
        <v>3405</v>
      </c>
      <c r="E1655" s="51" t="s">
        <v>3404</v>
      </c>
      <c r="F1655" s="52">
        <v>1.0502</v>
      </c>
      <c r="G1655" s="52">
        <v>0</v>
      </c>
      <c r="H1655" s="52">
        <v>0</v>
      </c>
      <c r="I1655" s="52">
        <v>0</v>
      </c>
      <c r="J1655" s="51">
        <v>0</v>
      </c>
      <c r="K1655" s="54">
        <v>0</v>
      </c>
      <c r="L1655" s="51">
        <v>0</v>
      </c>
      <c r="M1655" s="54">
        <v>0</v>
      </c>
      <c r="N1655" s="53">
        <f t="shared" si="50"/>
        <v>0</v>
      </c>
      <c r="O1655" s="53">
        <f t="shared" si="51"/>
        <v>0</v>
      </c>
    </row>
    <row r="1656" spans="1:15" x14ac:dyDescent="0.2">
      <c r="A1656" s="51" t="s">
        <v>3567</v>
      </c>
      <c r="B1656" s="51" t="s">
        <v>3568</v>
      </c>
      <c r="C1656" s="51" t="s">
        <v>66</v>
      </c>
      <c r="D1656" s="51" t="s">
        <v>2522</v>
      </c>
      <c r="E1656" s="51" t="s">
        <v>2521</v>
      </c>
      <c r="F1656" s="52">
        <v>5219.4372000000003</v>
      </c>
      <c r="G1656" s="52">
        <v>26700</v>
      </c>
      <c r="H1656" s="52">
        <v>8080</v>
      </c>
      <c r="I1656" s="52">
        <v>34780</v>
      </c>
      <c r="J1656" s="51">
        <v>1</v>
      </c>
      <c r="K1656" s="54">
        <v>8500</v>
      </c>
      <c r="L1656" s="51">
        <v>0</v>
      </c>
      <c r="M1656" s="54">
        <v>0</v>
      </c>
      <c r="N1656" s="53">
        <f t="shared" si="50"/>
        <v>8500</v>
      </c>
      <c r="O1656" s="53">
        <f t="shared" si="51"/>
        <v>-8500</v>
      </c>
    </row>
    <row r="1657" spans="1:15" x14ac:dyDescent="0.2">
      <c r="A1657" s="51" t="s">
        <v>3567</v>
      </c>
      <c r="B1657" s="51" t="s">
        <v>3568</v>
      </c>
      <c r="C1657" s="51" t="s">
        <v>84</v>
      </c>
      <c r="D1657" s="51" t="s">
        <v>2809</v>
      </c>
      <c r="E1657" s="51" t="s">
        <v>2808</v>
      </c>
      <c r="F1657" s="52">
        <v>6056.5021999999999</v>
      </c>
      <c r="G1657" s="52">
        <v>2500</v>
      </c>
      <c r="H1657" s="52">
        <v>3440</v>
      </c>
      <c r="I1657" s="52">
        <v>5940</v>
      </c>
      <c r="J1657" s="51">
        <v>1</v>
      </c>
      <c r="K1657" s="54">
        <v>5000</v>
      </c>
      <c r="L1657" s="51">
        <v>0</v>
      </c>
      <c r="M1657" s="54">
        <v>0</v>
      </c>
      <c r="N1657" s="53">
        <f t="shared" si="50"/>
        <v>5000</v>
      </c>
      <c r="O1657" s="53">
        <f t="shared" si="51"/>
        <v>-5000</v>
      </c>
    </row>
    <row r="1658" spans="1:15" x14ac:dyDescent="0.2">
      <c r="A1658" s="51" t="s">
        <v>3567</v>
      </c>
      <c r="B1658" s="51" t="s">
        <v>3568</v>
      </c>
      <c r="C1658" s="51" t="s">
        <v>3627</v>
      </c>
      <c r="D1658" s="51" t="s">
        <v>4475</v>
      </c>
      <c r="E1658" s="51" t="s">
        <v>4476</v>
      </c>
      <c r="F1658" s="52">
        <v>23.391926104058051</v>
      </c>
      <c r="G1658" s="52">
        <v>0</v>
      </c>
      <c r="H1658" s="52">
        <v>0</v>
      </c>
      <c r="I1658" s="52">
        <v>0</v>
      </c>
      <c r="J1658" s="51">
        <v>0</v>
      </c>
      <c r="K1658" s="54">
        <v>0</v>
      </c>
      <c r="L1658" s="51">
        <v>0</v>
      </c>
      <c r="M1658" s="54">
        <v>0</v>
      </c>
      <c r="N1658" s="53">
        <f t="shared" si="50"/>
        <v>0</v>
      </c>
      <c r="O1658" s="53">
        <f t="shared" si="51"/>
        <v>0</v>
      </c>
    </row>
    <row r="1659" spans="1:15" x14ac:dyDescent="0.2">
      <c r="A1659" s="51" t="s">
        <v>3567</v>
      </c>
      <c r="B1659" s="51" t="s">
        <v>3568</v>
      </c>
      <c r="C1659" s="51" t="s">
        <v>70</v>
      </c>
      <c r="D1659" s="51" t="s">
        <v>4491</v>
      </c>
      <c r="E1659" s="51" t="s">
        <v>4492</v>
      </c>
      <c r="F1659" s="52">
        <v>5.9942456601720409</v>
      </c>
      <c r="G1659" s="52">
        <v>0</v>
      </c>
      <c r="H1659" s="52">
        <v>0</v>
      </c>
      <c r="I1659" s="52">
        <v>0</v>
      </c>
      <c r="J1659" s="51">
        <v>0</v>
      </c>
      <c r="K1659" s="54">
        <v>0</v>
      </c>
      <c r="L1659" s="51">
        <v>0</v>
      </c>
      <c r="M1659" s="54">
        <v>0</v>
      </c>
      <c r="N1659" s="53">
        <f t="shared" si="50"/>
        <v>0</v>
      </c>
      <c r="O1659" s="53">
        <f t="shared" si="51"/>
        <v>0</v>
      </c>
    </row>
    <row r="1660" spans="1:15" x14ac:dyDescent="0.2">
      <c r="A1660" s="51" t="s">
        <v>3567</v>
      </c>
      <c r="B1660" s="51" t="s">
        <v>3568</v>
      </c>
      <c r="C1660" s="51" t="s">
        <v>74</v>
      </c>
      <c r="D1660" s="51" t="s">
        <v>1691</v>
      </c>
      <c r="E1660" s="51" t="s">
        <v>1690</v>
      </c>
      <c r="F1660" s="52">
        <v>3290.6354373345362</v>
      </c>
      <c r="G1660" s="52">
        <v>1510</v>
      </c>
      <c r="H1660" s="52">
        <v>2080</v>
      </c>
      <c r="I1660" s="52">
        <v>3590</v>
      </c>
      <c r="J1660" s="51">
        <v>1</v>
      </c>
      <c r="K1660" s="54">
        <v>2000</v>
      </c>
      <c r="L1660" s="51">
        <v>1</v>
      </c>
      <c r="M1660" s="54">
        <v>9000</v>
      </c>
      <c r="N1660" s="53">
        <f t="shared" si="50"/>
        <v>-7000</v>
      </c>
      <c r="O1660" s="53">
        <f t="shared" si="51"/>
        <v>7000</v>
      </c>
    </row>
    <row r="1661" spans="1:15" x14ac:dyDescent="0.2">
      <c r="A1661" s="51" t="s">
        <v>3567</v>
      </c>
      <c r="B1661" s="51" t="s">
        <v>3568</v>
      </c>
      <c r="C1661" s="51" t="s">
        <v>74</v>
      </c>
      <c r="D1661" s="51" t="s">
        <v>1040</v>
      </c>
      <c r="E1661" s="51" t="s">
        <v>1039</v>
      </c>
      <c r="F1661" s="52">
        <v>7316.8265662996801</v>
      </c>
      <c r="G1661" s="52">
        <v>120</v>
      </c>
      <c r="H1661" s="52">
        <v>4700</v>
      </c>
      <c r="I1661" s="52">
        <v>4820</v>
      </c>
      <c r="J1661" s="51">
        <v>0</v>
      </c>
      <c r="K1661" s="54">
        <v>0</v>
      </c>
      <c r="L1661" s="51">
        <v>1</v>
      </c>
      <c r="M1661" s="54">
        <v>5000</v>
      </c>
      <c r="N1661" s="53">
        <f t="shared" si="50"/>
        <v>-5000</v>
      </c>
      <c r="O1661" s="53">
        <f t="shared" si="51"/>
        <v>5000</v>
      </c>
    </row>
    <row r="1662" spans="1:15" x14ac:dyDescent="0.2">
      <c r="A1662" s="51" t="s">
        <v>3567</v>
      </c>
      <c r="B1662" s="51" t="s">
        <v>3568</v>
      </c>
      <c r="C1662" s="51" t="s">
        <v>3756</v>
      </c>
      <c r="D1662" s="51" t="s">
        <v>4499</v>
      </c>
      <c r="E1662" s="51" t="s">
        <v>4500</v>
      </c>
      <c r="F1662" s="52">
        <v>11.612</v>
      </c>
      <c r="G1662" s="52">
        <v>0</v>
      </c>
      <c r="H1662" s="52">
        <v>0</v>
      </c>
      <c r="I1662" s="52">
        <v>0</v>
      </c>
      <c r="J1662" s="51">
        <v>0</v>
      </c>
      <c r="K1662" s="54">
        <v>0</v>
      </c>
      <c r="L1662" s="51">
        <v>0</v>
      </c>
      <c r="M1662" s="54">
        <v>0</v>
      </c>
      <c r="N1662" s="53">
        <f t="shared" si="50"/>
        <v>0</v>
      </c>
      <c r="O1662" s="53">
        <f t="shared" si="51"/>
        <v>0</v>
      </c>
    </row>
    <row r="1663" spans="1:15" x14ac:dyDescent="0.2">
      <c r="A1663" s="51" t="s">
        <v>3567</v>
      </c>
      <c r="B1663" s="51" t="s">
        <v>3568</v>
      </c>
      <c r="C1663" s="51" t="s">
        <v>67</v>
      </c>
      <c r="D1663" s="51" t="s">
        <v>422</v>
      </c>
      <c r="E1663" s="51" t="s">
        <v>421</v>
      </c>
      <c r="F1663" s="52">
        <v>7984.2857019577486</v>
      </c>
      <c r="G1663" s="52">
        <v>49319</v>
      </c>
      <c r="H1663" s="52">
        <v>8330</v>
      </c>
      <c r="I1663" s="52">
        <v>57649</v>
      </c>
      <c r="J1663" s="51">
        <v>2</v>
      </c>
      <c r="K1663" s="54">
        <v>15000</v>
      </c>
      <c r="L1663" s="51">
        <v>0</v>
      </c>
      <c r="M1663" s="54">
        <v>0</v>
      </c>
      <c r="N1663" s="53">
        <f t="shared" si="50"/>
        <v>15000</v>
      </c>
      <c r="O1663" s="53">
        <f t="shared" si="51"/>
        <v>-15000</v>
      </c>
    </row>
    <row r="1664" spans="1:15" x14ac:dyDescent="0.2">
      <c r="A1664" s="51" t="s">
        <v>3567</v>
      </c>
      <c r="B1664" s="51" t="s">
        <v>3568</v>
      </c>
      <c r="C1664" s="51" t="s">
        <v>3698</v>
      </c>
      <c r="D1664" s="51" t="s">
        <v>4489</v>
      </c>
      <c r="E1664" s="51" t="s">
        <v>4490</v>
      </c>
      <c r="F1664" s="52">
        <v>6.9594737974428957</v>
      </c>
      <c r="G1664" s="52">
        <v>0</v>
      </c>
      <c r="H1664" s="52">
        <v>0</v>
      </c>
      <c r="I1664" s="52">
        <v>0</v>
      </c>
      <c r="J1664" s="51">
        <v>0</v>
      </c>
      <c r="K1664" s="54">
        <v>0</v>
      </c>
      <c r="L1664" s="51">
        <v>0</v>
      </c>
      <c r="M1664" s="54">
        <v>0</v>
      </c>
      <c r="N1664" s="53">
        <f t="shared" si="50"/>
        <v>0</v>
      </c>
      <c r="O1664" s="53">
        <f t="shared" si="51"/>
        <v>0</v>
      </c>
    </row>
    <row r="1665" spans="1:15" x14ac:dyDescent="0.2">
      <c r="A1665" s="51" t="s">
        <v>3567</v>
      </c>
      <c r="B1665" s="51" t="s">
        <v>3568</v>
      </c>
      <c r="C1665" s="51" t="s">
        <v>84</v>
      </c>
      <c r="D1665" s="51" t="s">
        <v>1922</v>
      </c>
      <c r="E1665" s="51" t="s">
        <v>1921</v>
      </c>
      <c r="F1665" s="52">
        <v>6621.1877531660684</v>
      </c>
      <c r="G1665" s="52">
        <v>150</v>
      </c>
      <c r="H1665" s="52">
        <v>31300</v>
      </c>
      <c r="I1665" s="52">
        <v>31450</v>
      </c>
      <c r="J1665" s="51">
        <v>1</v>
      </c>
      <c r="K1665" s="54">
        <v>5000</v>
      </c>
      <c r="L1665" s="51">
        <v>1</v>
      </c>
      <c r="M1665" s="54">
        <v>50000</v>
      </c>
      <c r="N1665" s="53">
        <f t="shared" si="50"/>
        <v>-45000</v>
      </c>
      <c r="O1665" s="53">
        <f t="shared" si="51"/>
        <v>45000</v>
      </c>
    </row>
    <row r="1666" spans="1:15" x14ac:dyDescent="0.2">
      <c r="A1666" s="51" t="s">
        <v>3567</v>
      </c>
      <c r="B1666" s="51" t="s">
        <v>3568</v>
      </c>
      <c r="C1666" s="51" t="s">
        <v>86</v>
      </c>
      <c r="D1666" s="51" t="s">
        <v>2425</v>
      </c>
      <c r="E1666" s="51" t="s">
        <v>2424</v>
      </c>
      <c r="F1666" s="52">
        <v>6.4877949603424456</v>
      </c>
      <c r="G1666" s="52">
        <v>100</v>
      </c>
      <c r="H1666" s="52">
        <v>0</v>
      </c>
      <c r="I1666" s="52">
        <v>100</v>
      </c>
      <c r="J1666" s="51">
        <v>0</v>
      </c>
      <c r="K1666" s="54">
        <v>0</v>
      </c>
      <c r="L1666" s="51">
        <v>0</v>
      </c>
      <c r="M1666" s="54">
        <v>0</v>
      </c>
      <c r="N1666" s="53">
        <f t="shared" si="50"/>
        <v>0</v>
      </c>
      <c r="O1666" s="53">
        <f t="shared" si="51"/>
        <v>0</v>
      </c>
    </row>
    <row r="1667" spans="1:15" x14ac:dyDescent="0.2">
      <c r="A1667" s="51" t="s">
        <v>3567</v>
      </c>
      <c r="B1667" s="51" t="s">
        <v>3568</v>
      </c>
      <c r="C1667" s="51" t="s">
        <v>76</v>
      </c>
      <c r="D1667" s="51" t="s">
        <v>821</v>
      </c>
      <c r="E1667" s="51" t="s">
        <v>820</v>
      </c>
      <c r="F1667" s="52">
        <v>12867.03827726596</v>
      </c>
      <c r="G1667" s="52">
        <v>500</v>
      </c>
      <c r="H1667" s="52">
        <v>1950</v>
      </c>
      <c r="I1667" s="52">
        <v>2450</v>
      </c>
      <c r="J1667" s="51">
        <v>1</v>
      </c>
      <c r="K1667" s="54">
        <v>6000</v>
      </c>
      <c r="L1667" s="51">
        <v>0</v>
      </c>
      <c r="M1667" s="54">
        <v>0</v>
      </c>
      <c r="N1667" s="53">
        <f t="shared" ref="N1667:N1730" si="52">K1667-M1667</f>
        <v>6000</v>
      </c>
      <c r="O1667" s="53">
        <f t="shared" ref="O1667:O1730" si="53">M1667-K1667</f>
        <v>-6000</v>
      </c>
    </row>
    <row r="1668" spans="1:15" x14ac:dyDescent="0.2">
      <c r="A1668" s="51" t="s">
        <v>3567</v>
      </c>
      <c r="B1668" s="51" t="s">
        <v>3568</v>
      </c>
      <c r="C1668" s="51" t="s">
        <v>93</v>
      </c>
      <c r="D1668" s="51" t="s">
        <v>4493</v>
      </c>
      <c r="E1668" s="51" t="s">
        <v>4494</v>
      </c>
      <c r="F1668" s="52">
        <v>69.329260827424108</v>
      </c>
      <c r="G1668" s="52">
        <v>0</v>
      </c>
      <c r="H1668" s="52">
        <v>0</v>
      </c>
      <c r="I1668" s="52">
        <v>0</v>
      </c>
      <c r="J1668" s="51">
        <v>0</v>
      </c>
      <c r="K1668" s="54">
        <v>0</v>
      </c>
      <c r="L1668" s="51">
        <v>0</v>
      </c>
      <c r="M1668" s="54">
        <v>0</v>
      </c>
      <c r="N1668" s="53">
        <f t="shared" si="52"/>
        <v>0</v>
      </c>
      <c r="O1668" s="53">
        <f t="shared" si="53"/>
        <v>0</v>
      </c>
    </row>
    <row r="1669" spans="1:15" x14ac:dyDescent="0.2">
      <c r="A1669" s="51" t="s">
        <v>3567</v>
      </c>
      <c r="B1669" s="51" t="s">
        <v>3568</v>
      </c>
      <c r="C1669" s="51" t="s">
        <v>68</v>
      </c>
      <c r="D1669" s="51" t="s">
        <v>2216</v>
      </c>
      <c r="E1669" s="51" t="s">
        <v>2215</v>
      </c>
      <c r="F1669" s="52">
        <v>41464.015800034802</v>
      </c>
      <c r="G1669" s="52">
        <v>9855</v>
      </c>
      <c r="H1669" s="52">
        <v>8570</v>
      </c>
      <c r="I1669" s="52">
        <v>18425</v>
      </c>
      <c r="J1669" s="51">
        <v>1</v>
      </c>
      <c r="K1669" s="54">
        <v>10000</v>
      </c>
      <c r="L1669" s="51">
        <v>0</v>
      </c>
      <c r="M1669" s="54">
        <v>0</v>
      </c>
      <c r="N1669" s="53">
        <f t="shared" si="52"/>
        <v>10000</v>
      </c>
      <c r="O1669" s="53">
        <f t="shared" si="53"/>
        <v>-10000</v>
      </c>
    </row>
    <row r="1670" spans="1:15" x14ac:dyDescent="0.2">
      <c r="A1670" s="51" t="s">
        <v>3567</v>
      </c>
      <c r="B1670" s="51" t="s">
        <v>3568</v>
      </c>
      <c r="C1670" s="51" t="s">
        <v>83</v>
      </c>
      <c r="D1670" s="51" t="s">
        <v>2238</v>
      </c>
      <c r="E1670" s="51" t="s">
        <v>2237</v>
      </c>
      <c r="F1670" s="52">
        <v>5344.5672500000001</v>
      </c>
      <c r="G1670" s="52">
        <v>7277</v>
      </c>
      <c r="H1670" s="52">
        <v>2300</v>
      </c>
      <c r="I1670" s="52">
        <v>9577</v>
      </c>
      <c r="J1670" s="51">
        <v>1</v>
      </c>
      <c r="K1670" s="54">
        <v>10000</v>
      </c>
      <c r="L1670" s="51">
        <v>0</v>
      </c>
      <c r="M1670" s="54">
        <v>0</v>
      </c>
      <c r="N1670" s="53">
        <f t="shared" si="52"/>
        <v>10000</v>
      </c>
      <c r="O1670" s="53">
        <f t="shared" si="53"/>
        <v>-10000</v>
      </c>
    </row>
    <row r="1671" spans="1:15" x14ac:dyDescent="0.2">
      <c r="A1671" s="51" t="s">
        <v>3567</v>
      </c>
      <c r="B1671" s="51" t="s">
        <v>3568</v>
      </c>
      <c r="C1671" s="51" t="s">
        <v>65</v>
      </c>
      <c r="D1671" s="51" t="s">
        <v>279</v>
      </c>
      <c r="E1671" s="51" t="s">
        <v>278</v>
      </c>
      <c r="F1671" s="52">
        <v>115126.8246244012</v>
      </c>
      <c r="G1671" s="52">
        <v>8690</v>
      </c>
      <c r="H1671" s="52">
        <v>14590</v>
      </c>
      <c r="I1671" s="52">
        <v>23280</v>
      </c>
      <c r="J1671" s="51">
        <v>0</v>
      </c>
      <c r="K1671" s="54">
        <v>0</v>
      </c>
      <c r="L1671" s="51">
        <v>1</v>
      </c>
      <c r="M1671" s="54">
        <v>50000</v>
      </c>
      <c r="N1671" s="53">
        <f t="shared" si="52"/>
        <v>-50000</v>
      </c>
      <c r="O1671" s="53">
        <f t="shared" si="53"/>
        <v>50000</v>
      </c>
    </row>
    <row r="1672" spans="1:15" x14ac:dyDescent="0.2">
      <c r="A1672" s="51" t="s">
        <v>3567</v>
      </c>
      <c r="B1672" s="51" t="s">
        <v>3568</v>
      </c>
      <c r="C1672" s="51" t="s">
        <v>92</v>
      </c>
      <c r="D1672" s="51" t="s">
        <v>716</v>
      </c>
      <c r="E1672" s="51" t="s">
        <v>715</v>
      </c>
      <c r="F1672" s="52">
        <v>1305.0959989981691</v>
      </c>
      <c r="G1672" s="52">
        <v>10660</v>
      </c>
      <c r="H1672" s="52">
        <v>10150</v>
      </c>
      <c r="I1672" s="52">
        <v>20810</v>
      </c>
      <c r="J1672" s="51">
        <v>0</v>
      </c>
      <c r="K1672" s="54">
        <v>0</v>
      </c>
      <c r="L1672" s="51">
        <v>1</v>
      </c>
      <c r="M1672" s="54">
        <v>5000</v>
      </c>
      <c r="N1672" s="53">
        <f t="shared" si="52"/>
        <v>-5000</v>
      </c>
      <c r="O1672" s="53">
        <f t="shared" si="53"/>
        <v>5000</v>
      </c>
    </row>
    <row r="1673" spans="1:15" x14ac:dyDescent="0.2">
      <c r="A1673" s="51" t="s">
        <v>3567</v>
      </c>
      <c r="B1673" s="51" t="s">
        <v>3568</v>
      </c>
      <c r="C1673" s="51" t="s">
        <v>74</v>
      </c>
      <c r="D1673" s="51" t="s">
        <v>4471</v>
      </c>
      <c r="E1673" s="51" t="s">
        <v>4472</v>
      </c>
      <c r="F1673" s="52">
        <v>2.4603000000000002</v>
      </c>
      <c r="G1673" s="52">
        <v>0</v>
      </c>
      <c r="H1673" s="52">
        <v>0</v>
      </c>
      <c r="I1673" s="52">
        <v>0</v>
      </c>
      <c r="J1673" s="51">
        <v>0</v>
      </c>
      <c r="K1673" s="54">
        <v>0</v>
      </c>
      <c r="L1673" s="51">
        <v>0</v>
      </c>
      <c r="M1673" s="54">
        <v>0</v>
      </c>
      <c r="N1673" s="53">
        <f t="shared" si="52"/>
        <v>0</v>
      </c>
      <c r="O1673" s="53">
        <f t="shared" si="53"/>
        <v>0</v>
      </c>
    </row>
    <row r="1674" spans="1:15" x14ac:dyDescent="0.2">
      <c r="A1674" s="51" t="s">
        <v>3567</v>
      </c>
      <c r="B1674" s="51" t="s">
        <v>3568</v>
      </c>
      <c r="C1674" s="51" t="s">
        <v>66</v>
      </c>
      <c r="D1674" s="51" t="s">
        <v>938</v>
      </c>
      <c r="E1674" s="51" t="s">
        <v>937</v>
      </c>
      <c r="F1674" s="52">
        <v>394.70968924859352</v>
      </c>
      <c r="G1674" s="52">
        <v>0</v>
      </c>
      <c r="H1674" s="52">
        <v>0</v>
      </c>
      <c r="I1674" s="52">
        <v>0</v>
      </c>
      <c r="J1674" s="51">
        <v>0</v>
      </c>
      <c r="K1674" s="54">
        <v>0</v>
      </c>
      <c r="L1674" s="51">
        <v>1</v>
      </c>
      <c r="M1674" s="54">
        <v>5000</v>
      </c>
      <c r="N1674" s="53">
        <f t="shared" si="52"/>
        <v>-5000</v>
      </c>
      <c r="O1674" s="53">
        <f t="shared" si="53"/>
        <v>5000</v>
      </c>
    </row>
    <row r="1675" spans="1:15" x14ac:dyDescent="0.2">
      <c r="A1675" s="51" t="s">
        <v>3567</v>
      </c>
      <c r="B1675" s="51" t="s">
        <v>3568</v>
      </c>
      <c r="C1675" s="51" t="s">
        <v>59</v>
      </c>
      <c r="D1675" s="51" t="s">
        <v>946</v>
      </c>
      <c r="E1675" s="51" t="s">
        <v>945</v>
      </c>
      <c r="F1675" s="52">
        <v>1615.4102</v>
      </c>
      <c r="G1675" s="52">
        <v>2810</v>
      </c>
      <c r="H1675" s="52">
        <v>8800</v>
      </c>
      <c r="I1675" s="52">
        <v>11610</v>
      </c>
      <c r="J1675" s="51">
        <v>1</v>
      </c>
      <c r="K1675" s="54">
        <v>5000</v>
      </c>
      <c r="L1675" s="51">
        <v>1</v>
      </c>
      <c r="M1675" s="54">
        <v>10000</v>
      </c>
      <c r="N1675" s="53">
        <f t="shared" si="52"/>
        <v>-5000</v>
      </c>
      <c r="O1675" s="53">
        <f t="shared" si="53"/>
        <v>5000</v>
      </c>
    </row>
    <row r="1676" spans="1:15" x14ac:dyDescent="0.2">
      <c r="A1676" s="51" t="s">
        <v>3567</v>
      </c>
      <c r="B1676" s="51" t="s">
        <v>3568</v>
      </c>
      <c r="C1676" s="51" t="s">
        <v>87</v>
      </c>
      <c r="D1676" s="51" t="s">
        <v>892</v>
      </c>
      <c r="E1676" s="51" t="s">
        <v>891</v>
      </c>
      <c r="F1676" s="52">
        <v>5119.9812000000002</v>
      </c>
      <c r="G1676" s="52">
        <v>1500</v>
      </c>
      <c r="H1676" s="52">
        <v>15700</v>
      </c>
      <c r="I1676" s="52">
        <v>17200</v>
      </c>
      <c r="J1676" s="51">
        <v>0</v>
      </c>
      <c r="K1676" s="54">
        <v>0</v>
      </c>
      <c r="L1676" s="51">
        <v>1</v>
      </c>
      <c r="M1676" s="54">
        <v>12000</v>
      </c>
      <c r="N1676" s="53">
        <f t="shared" si="52"/>
        <v>-12000</v>
      </c>
      <c r="O1676" s="53">
        <f t="shared" si="53"/>
        <v>12000</v>
      </c>
    </row>
    <row r="1677" spans="1:15" x14ac:dyDescent="0.2">
      <c r="A1677" s="51" t="s">
        <v>3567</v>
      </c>
      <c r="B1677" s="51" t="s">
        <v>3568</v>
      </c>
      <c r="C1677" s="51" t="s">
        <v>3786</v>
      </c>
      <c r="D1677" s="51" t="s">
        <v>4460</v>
      </c>
      <c r="E1677" s="51" t="s">
        <v>4461</v>
      </c>
      <c r="F1677" s="52">
        <v>0.92647125081538306</v>
      </c>
      <c r="G1677" s="52">
        <v>0</v>
      </c>
      <c r="H1677" s="52">
        <v>0</v>
      </c>
      <c r="I1677" s="52">
        <v>0</v>
      </c>
      <c r="J1677" s="51">
        <v>0</v>
      </c>
      <c r="K1677" s="54">
        <v>0</v>
      </c>
      <c r="L1677" s="51">
        <v>0</v>
      </c>
      <c r="M1677" s="54">
        <v>0</v>
      </c>
      <c r="N1677" s="53">
        <f t="shared" si="52"/>
        <v>0</v>
      </c>
      <c r="O1677" s="53">
        <f t="shared" si="53"/>
        <v>0</v>
      </c>
    </row>
    <row r="1678" spans="1:15" x14ac:dyDescent="0.2">
      <c r="A1678" s="51" t="s">
        <v>3567</v>
      </c>
      <c r="B1678" s="51" t="s">
        <v>3568</v>
      </c>
      <c r="C1678" s="51" t="s">
        <v>69</v>
      </c>
      <c r="D1678" s="51" t="s">
        <v>1488</v>
      </c>
      <c r="E1678" s="51" t="s">
        <v>1487</v>
      </c>
      <c r="F1678" s="52">
        <v>7700.4862999999996</v>
      </c>
      <c r="G1678" s="52">
        <v>300</v>
      </c>
      <c r="H1678" s="52">
        <v>8690</v>
      </c>
      <c r="I1678" s="52">
        <v>8990</v>
      </c>
      <c r="J1678" s="51">
        <v>1</v>
      </c>
      <c r="K1678" s="54">
        <v>5000</v>
      </c>
      <c r="L1678" s="51">
        <v>1</v>
      </c>
      <c r="M1678" s="54">
        <v>10000</v>
      </c>
      <c r="N1678" s="53">
        <f t="shared" si="52"/>
        <v>-5000</v>
      </c>
      <c r="O1678" s="53">
        <f t="shared" si="53"/>
        <v>5000</v>
      </c>
    </row>
    <row r="1679" spans="1:15" x14ac:dyDescent="0.2">
      <c r="A1679" s="51" t="s">
        <v>3567</v>
      </c>
      <c r="B1679" s="51" t="s">
        <v>3568</v>
      </c>
      <c r="C1679" s="51" t="s">
        <v>65</v>
      </c>
      <c r="D1679" s="51" t="s">
        <v>4477</v>
      </c>
      <c r="E1679" s="51" t="s">
        <v>4478</v>
      </c>
      <c r="F1679" s="52">
        <v>2.6244923137170781</v>
      </c>
      <c r="G1679" s="52">
        <v>0</v>
      </c>
      <c r="H1679" s="52">
        <v>0</v>
      </c>
      <c r="I1679" s="52">
        <v>0</v>
      </c>
      <c r="J1679" s="51">
        <v>0</v>
      </c>
      <c r="K1679" s="54">
        <v>0</v>
      </c>
      <c r="L1679" s="51">
        <v>0</v>
      </c>
      <c r="M1679" s="54">
        <v>0</v>
      </c>
      <c r="N1679" s="53">
        <f t="shared" si="52"/>
        <v>0</v>
      </c>
      <c r="O1679" s="53">
        <f t="shared" si="53"/>
        <v>0</v>
      </c>
    </row>
    <row r="1680" spans="1:15" x14ac:dyDescent="0.2">
      <c r="A1680" s="51" t="s">
        <v>3567</v>
      </c>
      <c r="B1680" s="51" t="s">
        <v>3568</v>
      </c>
      <c r="C1680" s="51" t="s">
        <v>84</v>
      </c>
      <c r="D1680" s="51" t="s">
        <v>2869</v>
      </c>
      <c r="E1680" s="51" t="s">
        <v>2868</v>
      </c>
      <c r="F1680" s="52">
        <v>4487.8159317953287</v>
      </c>
      <c r="G1680" s="52">
        <v>5295</v>
      </c>
      <c r="H1680" s="52">
        <v>84760</v>
      </c>
      <c r="I1680" s="52">
        <v>90055</v>
      </c>
      <c r="J1680" s="51">
        <v>0</v>
      </c>
      <c r="K1680" s="54">
        <v>0</v>
      </c>
      <c r="L1680" s="51">
        <v>3</v>
      </c>
      <c r="M1680" s="54">
        <v>114000</v>
      </c>
      <c r="N1680" s="53">
        <f t="shared" si="52"/>
        <v>-114000</v>
      </c>
      <c r="O1680" s="53">
        <f t="shared" si="53"/>
        <v>114000</v>
      </c>
    </row>
    <row r="1681" spans="1:15" x14ac:dyDescent="0.2">
      <c r="A1681" s="51" t="s">
        <v>3567</v>
      </c>
      <c r="B1681" s="51" t="s">
        <v>3568</v>
      </c>
      <c r="C1681" s="51" t="s">
        <v>3633</v>
      </c>
      <c r="D1681" s="51" t="s">
        <v>4451</v>
      </c>
      <c r="E1681" s="51" t="s">
        <v>4452</v>
      </c>
      <c r="F1681" s="52">
        <v>15.81533006545745</v>
      </c>
      <c r="G1681" s="52">
        <v>0</v>
      </c>
      <c r="H1681" s="52">
        <v>0</v>
      </c>
      <c r="I1681" s="52">
        <v>0</v>
      </c>
      <c r="J1681" s="51">
        <v>0</v>
      </c>
      <c r="K1681" s="54">
        <v>0</v>
      </c>
      <c r="L1681" s="51">
        <v>0</v>
      </c>
      <c r="M1681" s="54">
        <v>0</v>
      </c>
      <c r="N1681" s="53">
        <f t="shared" si="52"/>
        <v>0</v>
      </c>
      <c r="O1681" s="53">
        <f t="shared" si="53"/>
        <v>0</v>
      </c>
    </row>
    <row r="1682" spans="1:15" x14ac:dyDescent="0.2">
      <c r="A1682" s="51" t="s">
        <v>3567</v>
      </c>
      <c r="B1682" s="51" t="s">
        <v>3568</v>
      </c>
      <c r="C1682" s="51" t="s">
        <v>81</v>
      </c>
      <c r="D1682" s="51" t="s">
        <v>3411</v>
      </c>
      <c r="E1682" s="51" t="s">
        <v>3410</v>
      </c>
      <c r="F1682" s="52">
        <v>5365.8950999999997</v>
      </c>
      <c r="G1682" s="52">
        <v>600</v>
      </c>
      <c r="H1682" s="52">
        <v>10259</v>
      </c>
      <c r="I1682" s="52">
        <v>10859</v>
      </c>
      <c r="J1682" s="51">
        <v>0</v>
      </c>
      <c r="K1682" s="54">
        <v>0</v>
      </c>
      <c r="L1682" s="51">
        <v>2</v>
      </c>
      <c r="M1682" s="54">
        <v>15000</v>
      </c>
      <c r="N1682" s="53">
        <f t="shared" si="52"/>
        <v>-15000</v>
      </c>
      <c r="O1682" s="53">
        <f t="shared" si="53"/>
        <v>15000</v>
      </c>
    </row>
    <row r="1683" spans="1:15" x14ac:dyDescent="0.2">
      <c r="A1683" s="51" t="s">
        <v>3567</v>
      </c>
      <c r="B1683" s="51" t="s">
        <v>3568</v>
      </c>
      <c r="C1683" s="51" t="s">
        <v>59</v>
      </c>
      <c r="D1683" s="51" t="s">
        <v>827</v>
      </c>
      <c r="E1683" s="51" t="s">
        <v>826</v>
      </c>
      <c r="F1683" s="52">
        <v>102.8582686538885</v>
      </c>
      <c r="G1683" s="52">
        <v>0</v>
      </c>
      <c r="H1683" s="52">
        <v>0</v>
      </c>
      <c r="I1683" s="52">
        <v>0</v>
      </c>
      <c r="J1683" s="51">
        <v>0</v>
      </c>
      <c r="K1683" s="54">
        <v>0</v>
      </c>
      <c r="L1683" s="51">
        <v>0</v>
      </c>
      <c r="M1683" s="54">
        <v>0</v>
      </c>
      <c r="N1683" s="53">
        <f t="shared" si="52"/>
        <v>0</v>
      </c>
      <c r="O1683" s="53">
        <f t="shared" si="53"/>
        <v>0</v>
      </c>
    </row>
    <row r="1684" spans="1:15" x14ac:dyDescent="0.2">
      <c r="A1684" s="51" t="s">
        <v>3567</v>
      </c>
      <c r="B1684" s="51" t="s">
        <v>3568</v>
      </c>
      <c r="C1684" s="51" t="s">
        <v>52</v>
      </c>
      <c r="D1684" s="51" t="s">
        <v>1673</v>
      </c>
      <c r="E1684" s="51" t="s">
        <v>1672</v>
      </c>
      <c r="F1684" s="52">
        <v>2576.9996000000001</v>
      </c>
      <c r="G1684" s="52">
        <v>4910</v>
      </c>
      <c r="H1684" s="52">
        <v>2350</v>
      </c>
      <c r="I1684" s="52">
        <v>7260</v>
      </c>
      <c r="J1684" s="51">
        <v>1</v>
      </c>
      <c r="K1684" s="54">
        <v>5000</v>
      </c>
      <c r="L1684" s="51">
        <v>0</v>
      </c>
      <c r="M1684" s="54">
        <v>0</v>
      </c>
      <c r="N1684" s="53">
        <f t="shared" si="52"/>
        <v>5000</v>
      </c>
      <c r="O1684" s="53">
        <f t="shared" si="53"/>
        <v>-5000</v>
      </c>
    </row>
    <row r="1685" spans="1:15" x14ac:dyDescent="0.2">
      <c r="A1685" s="51" t="s">
        <v>3567</v>
      </c>
      <c r="B1685" s="51" t="s">
        <v>3568</v>
      </c>
      <c r="C1685" s="51" t="s">
        <v>68</v>
      </c>
      <c r="D1685" s="51" t="s">
        <v>1555</v>
      </c>
      <c r="E1685" s="51" t="s">
        <v>1554</v>
      </c>
      <c r="F1685" s="52">
        <v>3957.13265</v>
      </c>
      <c r="G1685" s="52">
        <v>700</v>
      </c>
      <c r="H1685" s="52">
        <v>600</v>
      </c>
      <c r="I1685" s="52">
        <v>1300</v>
      </c>
      <c r="J1685" s="51">
        <v>0</v>
      </c>
      <c r="K1685" s="54">
        <v>0</v>
      </c>
      <c r="L1685" s="51">
        <v>1</v>
      </c>
      <c r="M1685" s="54">
        <v>7000</v>
      </c>
      <c r="N1685" s="53">
        <f t="shared" si="52"/>
        <v>-7000</v>
      </c>
      <c r="O1685" s="53">
        <f t="shared" si="53"/>
        <v>7000</v>
      </c>
    </row>
    <row r="1686" spans="1:15" x14ac:dyDescent="0.2">
      <c r="A1686" s="51" t="s">
        <v>3567</v>
      </c>
      <c r="B1686" s="51" t="s">
        <v>3568</v>
      </c>
      <c r="C1686" s="51" t="s">
        <v>78</v>
      </c>
      <c r="D1686" s="51" t="s">
        <v>369</v>
      </c>
      <c r="E1686" s="51" t="s">
        <v>368</v>
      </c>
      <c r="F1686" s="52">
        <v>268.58122752826392</v>
      </c>
      <c r="G1686" s="52">
        <v>0</v>
      </c>
      <c r="H1686" s="52">
        <v>3700</v>
      </c>
      <c r="I1686" s="52">
        <v>3700</v>
      </c>
      <c r="J1686" s="51">
        <v>0</v>
      </c>
      <c r="K1686" s="54">
        <v>0</v>
      </c>
      <c r="L1686" s="51">
        <v>1</v>
      </c>
      <c r="M1686" s="54">
        <v>4000</v>
      </c>
      <c r="N1686" s="53">
        <f t="shared" si="52"/>
        <v>-4000</v>
      </c>
      <c r="O1686" s="53">
        <f t="shared" si="53"/>
        <v>4000</v>
      </c>
    </row>
    <row r="1687" spans="1:15" x14ac:dyDescent="0.2">
      <c r="A1687" s="51" t="s">
        <v>3567</v>
      </c>
      <c r="B1687" s="51" t="s">
        <v>3568</v>
      </c>
      <c r="C1687" s="51" t="s">
        <v>53</v>
      </c>
      <c r="D1687" s="51" t="s">
        <v>283</v>
      </c>
      <c r="E1687" s="51" t="s">
        <v>282</v>
      </c>
      <c r="F1687" s="52">
        <v>2788.9833065865232</v>
      </c>
      <c r="G1687" s="52">
        <v>500</v>
      </c>
      <c r="H1687" s="52">
        <v>0</v>
      </c>
      <c r="I1687" s="52">
        <v>500</v>
      </c>
      <c r="J1687" s="51">
        <v>0</v>
      </c>
      <c r="K1687" s="54">
        <v>0</v>
      </c>
      <c r="L1687" s="51">
        <v>1</v>
      </c>
      <c r="M1687" s="54">
        <v>8000</v>
      </c>
      <c r="N1687" s="53">
        <f t="shared" si="52"/>
        <v>-8000</v>
      </c>
      <c r="O1687" s="53">
        <f t="shared" si="53"/>
        <v>8000</v>
      </c>
    </row>
    <row r="1688" spans="1:15" x14ac:dyDescent="0.2">
      <c r="A1688" s="51" t="s">
        <v>3567</v>
      </c>
      <c r="B1688" s="51" t="s">
        <v>3568</v>
      </c>
      <c r="C1688" s="51" t="s">
        <v>3864</v>
      </c>
      <c r="D1688" s="51" t="s">
        <v>4484</v>
      </c>
      <c r="E1688" s="51" t="s">
        <v>4485</v>
      </c>
      <c r="F1688" s="52">
        <v>75.366745989518961</v>
      </c>
      <c r="G1688" s="52">
        <v>0</v>
      </c>
      <c r="H1688" s="52">
        <v>0</v>
      </c>
      <c r="I1688" s="52">
        <v>0</v>
      </c>
      <c r="J1688" s="51">
        <v>0</v>
      </c>
      <c r="K1688" s="54">
        <v>0</v>
      </c>
      <c r="L1688" s="51">
        <v>0</v>
      </c>
      <c r="M1688" s="54">
        <v>0</v>
      </c>
      <c r="N1688" s="53">
        <f t="shared" si="52"/>
        <v>0</v>
      </c>
      <c r="O1688" s="53">
        <f t="shared" si="53"/>
        <v>0</v>
      </c>
    </row>
    <row r="1689" spans="1:15" x14ac:dyDescent="0.2">
      <c r="A1689" s="51" t="s">
        <v>3567</v>
      </c>
      <c r="B1689" s="51" t="s">
        <v>3568</v>
      </c>
      <c r="C1689" s="51" t="s">
        <v>3614</v>
      </c>
      <c r="D1689" s="51" t="s">
        <v>4519</v>
      </c>
      <c r="E1689" s="51" t="s">
        <v>4520</v>
      </c>
      <c r="F1689" s="52">
        <v>8.0626499999999997</v>
      </c>
      <c r="G1689" s="52">
        <v>0</v>
      </c>
      <c r="H1689" s="52">
        <v>0</v>
      </c>
      <c r="I1689" s="52">
        <v>0</v>
      </c>
      <c r="J1689" s="51">
        <v>0</v>
      </c>
      <c r="K1689" s="54">
        <v>0</v>
      </c>
      <c r="L1689" s="51">
        <v>0</v>
      </c>
      <c r="M1689" s="54">
        <v>0</v>
      </c>
      <c r="N1689" s="53">
        <f t="shared" si="52"/>
        <v>0</v>
      </c>
      <c r="O1689" s="53">
        <f t="shared" si="53"/>
        <v>0</v>
      </c>
    </row>
    <row r="1690" spans="1:15" x14ac:dyDescent="0.2">
      <c r="A1690" s="51" t="s">
        <v>3567</v>
      </c>
      <c r="B1690" s="51" t="s">
        <v>3568</v>
      </c>
      <c r="C1690" s="51" t="s">
        <v>61</v>
      </c>
      <c r="D1690" s="51" t="s">
        <v>2269</v>
      </c>
      <c r="E1690" s="51" t="s">
        <v>2268</v>
      </c>
      <c r="F1690" s="52">
        <v>4981.2500024331994</v>
      </c>
      <c r="G1690" s="52">
        <v>7020</v>
      </c>
      <c r="H1690" s="52">
        <v>28345</v>
      </c>
      <c r="I1690" s="52">
        <v>35365</v>
      </c>
      <c r="J1690" s="51">
        <v>0</v>
      </c>
      <c r="K1690" s="54">
        <v>0</v>
      </c>
      <c r="L1690" s="51">
        <v>1</v>
      </c>
      <c r="M1690" s="54">
        <v>10000</v>
      </c>
      <c r="N1690" s="53">
        <f t="shared" si="52"/>
        <v>-10000</v>
      </c>
      <c r="O1690" s="53">
        <f t="shared" si="53"/>
        <v>10000</v>
      </c>
    </row>
    <row r="1691" spans="1:15" x14ac:dyDescent="0.2">
      <c r="A1691" s="51" t="s">
        <v>3567</v>
      </c>
      <c r="B1691" s="51" t="s">
        <v>3568</v>
      </c>
      <c r="C1691" s="51" t="s">
        <v>53</v>
      </c>
      <c r="D1691" s="51" t="s">
        <v>2702</v>
      </c>
      <c r="E1691" s="51" t="s">
        <v>2701</v>
      </c>
      <c r="F1691" s="52">
        <v>24.378699999999998</v>
      </c>
      <c r="G1691" s="52">
        <v>0</v>
      </c>
      <c r="H1691" s="52">
        <v>12600</v>
      </c>
      <c r="I1691" s="52">
        <v>12600</v>
      </c>
      <c r="J1691" s="51">
        <v>0</v>
      </c>
      <c r="K1691" s="54">
        <v>0</v>
      </c>
      <c r="L1691" s="51">
        <v>1</v>
      </c>
      <c r="M1691" s="54">
        <v>13000</v>
      </c>
      <c r="N1691" s="53">
        <f t="shared" si="52"/>
        <v>-13000</v>
      </c>
      <c r="O1691" s="53">
        <f t="shared" si="53"/>
        <v>13000</v>
      </c>
    </row>
    <row r="1692" spans="1:15" x14ac:dyDescent="0.2">
      <c r="A1692" s="51" t="s">
        <v>3567</v>
      </c>
      <c r="B1692" s="51" t="s">
        <v>3568</v>
      </c>
      <c r="C1692" s="51" t="s">
        <v>64</v>
      </c>
      <c r="D1692" s="51" t="s">
        <v>386</v>
      </c>
      <c r="E1692" s="51" t="s">
        <v>147</v>
      </c>
      <c r="F1692" s="52">
        <v>3795.830607115528</v>
      </c>
      <c r="G1692" s="52">
        <v>500</v>
      </c>
      <c r="H1692" s="52">
        <v>200</v>
      </c>
      <c r="I1692" s="52">
        <v>700</v>
      </c>
      <c r="J1692" s="51">
        <v>1</v>
      </c>
      <c r="K1692" s="54">
        <v>5000</v>
      </c>
      <c r="L1692" s="51">
        <v>0</v>
      </c>
      <c r="M1692" s="54">
        <v>0</v>
      </c>
      <c r="N1692" s="53">
        <f t="shared" si="52"/>
        <v>5000</v>
      </c>
      <c r="O1692" s="53">
        <f t="shared" si="53"/>
        <v>-5000</v>
      </c>
    </row>
    <row r="1693" spans="1:15" x14ac:dyDescent="0.2">
      <c r="A1693" s="51" t="s">
        <v>3567</v>
      </c>
      <c r="B1693" s="51" t="s">
        <v>3568</v>
      </c>
      <c r="C1693" s="51" t="s">
        <v>86</v>
      </c>
      <c r="D1693" s="51" t="s">
        <v>2202</v>
      </c>
      <c r="E1693" s="51" t="s">
        <v>2201</v>
      </c>
      <c r="F1693" s="52">
        <v>24634.992399999999</v>
      </c>
      <c r="G1693" s="52">
        <v>2250</v>
      </c>
      <c r="H1693" s="52">
        <v>35525</v>
      </c>
      <c r="I1693" s="52">
        <v>37775</v>
      </c>
      <c r="J1693" s="51">
        <v>0</v>
      </c>
      <c r="K1693" s="54">
        <v>0</v>
      </c>
      <c r="L1693" s="51">
        <v>1</v>
      </c>
      <c r="M1693" s="54">
        <v>50000</v>
      </c>
      <c r="N1693" s="53">
        <f t="shared" si="52"/>
        <v>-50000</v>
      </c>
      <c r="O1693" s="53">
        <f t="shared" si="53"/>
        <v>50000</v>
      </c>
    </row>
    <row r="1694" spans="1:15" x14ac:dyDescent="0.2">
      <c r="A1694" s="51" t="s">
        <v>3567</v>
      </c>
      <c r="B1694" s="51" t="s">
        <v>3568</v>
      </c>
      <c r="C1694" s="51" t="s">
        <v>72</v>
      </c>
      <c r="D1694" s="51" t="s">
        <v>1987</v>
      </c>
      <c r="E1694" s="51" t="s">
        <v>1986</v>
      </c>
      <c r="F1694" s="52">
        <v>2222.1911634192002</v>
      </c>
      <c r="G1694" s="52">
        <v>1630</v>
      </c>
      <c r="H1694" s="52">
        <v>3200</v>
      </c>
      <c r="I1694" s="52">
        <v>4830</v>
      </c>
      <c r="J1694" s="51">
        <v>1</v>
      </c>
      <c r="K1694" s="54">
        <v>5000</v>
      </c>
      <c r="L1694" s="51">
        <v>1</v>
      </c>
      <c r="M1694" s="54">
        <v>12000</v>
      </c>
      <c r="N1694" s="53">
        <f t="shared" si="52"/>
        <v>-7000</v>
      </c>
      <c r="O1694" s="53">
        <f t="shared" si="53"/>
        <v>7000</v>
      </c>
    </row>
    <row r="1695" spans="1:15" x14ac:dyDescent="0.2">
      <c r="A1695" s="51" t="s">
        <v>3567</v>
      </c>
      <c r="B1695" s="51" t="s">
        <v>3568</v>
      </c>
      <c r="C1695" s="51" t="s">
        <v>3864</v>
      </c>
      <c r="D1695" s="51" t="s">
        <v>4470</v>
      </c>
      <c r="E1695" s="51" t="s">
        <v>2189</v>
      </c>
      <c r="F1695" s="52">
        <v>18.4854543507</v>
      </c>
      <c r="G1695" s="52">
        <v>0</v>
      </c>
      <c r="H1695" s="52">
        <v>0</v>
      </c>
      <c r="I1695" s="52">
        <v>0</v>
      </c>
      <c r="J1695" s="51">
        <v>0</v>
      </c>
      <c r="K1695" s="54">
        <v>0</v>
      </c>
      <c r="L1695" s="51">
        <v>0</v>
      </c>
      <c r="M1695" s="54">
        <v>0</v>
      </c>
      <c r="N1695" s="53">
        <f t="shared" si="52"/>
        <v>0</v>
      </c>
      <c r="O1695" s="53">
        <f t="shared" si="53"/>
        <v>0</v>
      </c>
    </row>
    <row r="1696" spans="1:15" x14ac:dyDescent="0.2">
      <c r="A1696" s="51" t="s">
        <v>3567</v>
      </c>
      <c r="B1696" s="51" t="s">
        <v>3568</v>
      </c>
      <c r="C1696" s="51" t="s">
        <v>73</v>
      </c>
      <c r="D1696" s="51" t="s">
        <v>1695</v>
      </c>
      <c r="E1696" s="51" t="s">
        <v>1694</v>
      </c>
      <c r="F1696" s="52">
        <v>5475.0204999999996</v>
      </c>
      <c r="G1696" s="52">
        <v>0</v>
      </c>
      <c r="H1696" s="52">
        <v>3000</v>
      </c>
      <c r="I1696" s="52">
        <v>3000</v>
      </c>
      <c r="J1696" s="51">
        <v>0</v>
      </c>
      <c r="K1696" s="54">
        <v>0</v>
      </c>
      <c r="L1696" s="51">
        <v>1</v>
      </c>
      <c r="M1696" s="54">
        <v>8000</v>
      </c>
      <c r="N1696" s="53">
        <f t="shared" si="52"/>
        <v>-8000</v>
      </c>
      <c r="O1696" s="53">
        <f t="shared" si="53"/>
        <v>8000</v>
      </c>
    </row>
    <row r="1697" spans="1:15" x14ac:dyDescent="0.2">
      <c r="A1697" s="51" t="s">
        <v>3567</v>
      </c>
      <c r="B1697" s="51" t="s">
        <v>3568</v>
      </c>
      <c r="C1697" s="51" t="s">
        <v>59</v>
      </c>
      <c r="D1697" s="51" t="s">
        <v>2875</v>
      </c>
      <c r="E1697" s="51" t="s">
        <v>2874</v>
      </c>
      <c r="F1697" s="52">
        <v>10966.858645583919</v>
      </c>
      <c r="G1697" s="52">
        <v>4000</v>
      </c>
      <c r="H1697" s="52">
        <v>7520</v>
      </c>
      <c r="I1697" s="52">
        <v>11520</v>
      </c>
      <c r="J1697" s="51">
        <v>0</v>
      </c>
      <c r="K1697" s="54">
        <v>0</v>
      </c>
      <c r="L1697" s="51">
        <v>1</v>
      </c>
      <c r="M1697" s="54">
        <v>5000</v>
      </c>
      <c r="N1697" s="53">
        <f t="shared" si="52"/>
        <v>-5000</v>
      </c>
      <c r="O1697" s="53">
        <f t="shared" si="53"/>
        <v>5000</v>
      </c>
    </row>
    <row r="1698" spans="1:15" x14ac:dyDescent="0.2">
      <c r="A1698" s="51" t="s">
        <v>3567</v>
      </c>
      <c r="B1698" s="51" t="s">
        <v>3568</v>
      </c>
      <c r="C1698" s="51" t="s">
        <v>60</v>
      </c>
      <c r="D1698" s="51" t="s">
        <v>2291</v>
      </c>
      <c r="E1698" s="51" t="s">
        <v>2290</v>
      </c>
      <c r="F1698" s="52">
        <v>3311.3924810103999</v>
      </c>
      <c r="G1698" s="52">
        <v>987.6</v>
      </c>
      <c r="H1698" s="52">
        <v>11165</v>
      </c>
      <c r="I1698" s="52">
        <v>12152.6</v>
      </c>
      <c r="J1698" s="51">
        <v>0</v>
      </c>
      <c r="K1698" s="54">
        <v>0</v>
      </c>
      <c r="L1698" s="51">
        <v>1</v>
      </c>
      <c r="M1698" s="54">
        <v>7000</v>
      </c>
      <c r="N1698" s="53">
        <f t="shared" si="52"/>
        <v>-7000</v>
      </c>
      <c r="O1698" s="53">
        <f t="shared" si="53"/>
        <v>7000</v>
      </c>
    </row>
    <row r="1699" spans="1:15" x14ac:dyDescent="0.2">
      <c r="A1699" s="51" t="s">
        <v>3567</v>
      </c>
      <c r="B1699" s="51" t="s">
        <v>3568</v>
      </c>
      <c r="C1699" s="51" t="s">
        <v>78</v>
      </c>
      <c r="D1699" s="51" t="s">
        <v>1918</v>
      </c>
      <c r="E1699" s="51" t="s">
        <v>1917</v>
      </c>
      <c r="F1699" s="52">
        <v>9530.5737340515425</v>
      </c>
      <c r="G1699" s="52">
        <v>100</v>
      </c>
      <c r="H1699" s="52">
        <v>8010</v>
      </c>
      <c r="I1699" s="52">
        <v>8110</v>
      </c>
      <c r="J1699" s="51">
        <v>0</v>
      </c>
      <c r="K1699" s="54">
        <v>0</v>
      </c>
      <c r="L1699" s="51">
        <v>1</v>
      </c>
      <c r="M1699" s="54">
        <v>15000</v>
      </c>
      <c r="N1699" s="53">
        <f t="shared" si="52"/>
        <v>-15000</v>
      </c>
      <c r="O1699" s="53">
        <f t="shared" si="53"/>
        <v>15000</v>
      </c>
    </row>
    <row r="1700" spans="1:15" x14ac:dyDescent="0.2">
      <c r="A1700" s="51" t="s">
        <v>3567</v>
      </c>
      <c r="B1700" s="51" t="s">
        <v>3568</v>
      </c>
      <c r="C1700" s="51" t="s">
        <v>83</v>
      </c>
      <c r="D1700" s="51" t="s">
        <v>3117</v>
      </c>
      <c r="E1700" s="51" t="s">
        <v>3116</v>
      </c>
      <c r="F1700" s="52">
        <v>34064.395986064468</v>
      </c>
      <c r="G1700" s="52">
        <v>1700</v>
      </c>
      <c r="H1700" s="52">
        <v>50835</v>
      </c>
      <c r="I1700" s="52">
        <v>52535</v>
      </c>
      <c r="J1700" s="51">
        <v>0</v>
      </c>
      <c r="K1700" s="54">
        <v>0</v>
      </c>
      <c r="L1700" s="51">
        <v>1</v>
      </c>
      <c r="M1700" s="54">
        <v>60000</v>
      </c>
      <c r="N1700" s="53">
        <f t="shared" si="52"/>
        <v>-60000</v>
      </c>
      <c r="O1700" s="53">
        <f t="shared" si="53"/>
        <v>60000</v>
      </c>
    </row>
    <row r="1701" spans="1:15" x14ac:dyDescent="0.2">
      <c r="A1701" s="51" t="s">
        <v>3567</v>
      </c>
      <c r="B1701" s="51" t="s">
        <v>3568</v>
      </c>
      <c r="C1701" s="51" t="s">
        <v>80</v>
      </c>
      <c r="D1701" s="51" t="s">
        <v>605</v>
      </c>
      <c r="E1701" s="51" t="s">
        <v>604</v>
      </c>
      <c r="F1701" s="52">
        <v>1708.0681</v>
      </c>
      <c r="G1701" s="52">
        <v>0</v>
      </c>
      <c r="H1701" s="52">
        <v>0</v>
      </c>
      <c r="I1701" s="52">
        <v>0</v>
      </c>
      <c r="J1701" s="51">
        <v>0</v>
      </c>
      <c r="K1701" s="54">
        <v>0</v>
      </c>
      <c r="L1701" s="51">
        <v>0</v>
      </c>
      <c r="M1701" s="54">
        <v>0</v>
      </c>
      <c r="N1701" s="53">
        <f t="shared" si="52"/>
        <v>0</v>
      </c>
      <c r="O1701" s="53">
        <f t="shared" si="53"/>
        <v>0</v>
      </c>
    </row>
    <row r="1702" spans="1:15" x14ac:dyDescent="0.2">
      <c r="A1702" s="51" t="s">
        <v>3567</v>
      </c>
      <c r="B1702" s="51" t="s">
        <v>3568</v>
      </c>
      <c r="C1702" s="51" t="s">
        <v>52</v>
      </c>
      <c r="D1702" s="51" t="s">
        <v>4483</v>
      </c>
      <c r="E1702" s="51" t="s">
        <v>4025</v>
      </c>
      <c r="F1702" s="52">
        <v>0.99223249619650655</v>
      </c>
      <c r="G1702" s="52">
        <v>0</v>
      </c>
      <c r="H1702" s="52">
        <v>0</v>
      </c>
      <c r="I1702" s="52">
        <v>0</v>
      </c>
      <c r="J1702" s="51">
        <v>0</v>
      </c>
      <c r="K1702" s="54">
        <v>0</v>
      </c>
      <c r="L1702" s="51">
        <v>0</v>
      </c>
      <c r="M1702" s="54">
        <v>0</v>
      </c>
      <c r="N1702" s="53">
        <f t="shared" si="52"/>
        <v>0</v>
      </c>
      <c r="O1702" s="53">
        <f t="shared" si="53"/>
        <v>0</v>
      </c>
    </row>
    <row r="1703" spans="1:15" x14ac:dyDescent="0.2">
      <c r="A1703" s="51" t="s">
        <v>3567</v>
      </c>
      <c r="B1703" s="51" t="s">
        <v>3568</v>
      </c>
      <c r="C1703" s="51" t="s">
        <v>3633</v>
      </c>
      <c r="D1703" s="51" t="s">
        <v>4515</v>
      </c>
      <c r="E1703" s="51" t="s">
        <v>4516</v>
      </c>
      <c r="F1703" s="52">
        <v>3.1009957242963471</v>
      </c>
      <c r="G1703" s="52">
        <v>0</v>
      </c>
      <c r="H1703" s="52">
        <v>0</v>
      </c>
      <c r="I1703" s="52">
        <v>0</v>
      </c>
      <c r="J1703" s="51">
        <v>0</v>
      </c>
      <c r="K1703" s="54">
        <v>0</v>
      </c>
      <c r="L1703" s="51">
        <v>0</v>
      </c>
      <c r="M1703" s="54">
        <v>0</v>
      </c>
      <c r="N1703" s="53">
        <f t="shared" si="52"/>
        <v>0</v>
      </c>
      <c r="O1703" s="53">
        <f t="shared" si="53"/>
        <v>0</v>
      </c>
    </row>
    <row r="1704" spans="1:15" x14ac:dyDescent="0.2">
      <c r="A1704" s="51" t="s">
        <v>3567</v>
      </c>
      <c r="B1704" s="51" t="s">
        <v>3568</v>
      </c>
      <c r="C1704" s="51" t="s">
        <v>79</v>
      </c>
      <c r="D1704" s="51" t="s">
        <v>591</v>
      </c>
      <c r="E1704" s="51" t="s">
        <v>590</v>
      </c>
      <c r="F1704" s="52">
        <v>1986.3770401394729</v>
      </c>
      <c r="G1704" s="52">
        <v>0</v>
      </c>
      <c r="H1704" s="52">
        <v>1400</v>
      </c>
      <c r="I1704" s="52">
        <v>1400</v>
      </c>
      <c r="J1704" s="51">
        <v>0</v>
      </c>
      <c r="K1704" s="54">
        <v>0</v>
      </c>
      <c r="L1704" s="51">
        <v>1</v>
      </c>
      <c r="M1704" s="54">
        <v>6000</v>
      </c>
      <c r="N1704" s="53">
        <f t="shared" si="52"/>
        <v>-6000</v>
      </c>
      <c r="O1704" s="53">
        <f t="shared" si="53"/>
        <v>6000</v>
      </c>
    </row>
    <row r="1705" spans="1:15" x14ac:dyDescent="0.2">
      <c r="A1705" s="51" t="s">
        <v>3567</v>
      </c>
      <c r="B1705" s="51" t="s">
        <v>3568</v>
      </c>
      <c r="C1705" s="51" t="s">
        <v>57</v>
      </c>
      <c r="D1705" s="51" t="s">
        <v>631</v>
      </c>
      <c r="E1705" s="51" t="s">
        <v>630</v>
      </c>
      <c r="F1705" s="52">
        <v>658.40230494427158</v>
      </c>
      <c r="G1705" s="52">
        <v>0</v>
      </c>
      <c r="H1705" s="52">
        <v>0</v>
      </c>
      <c r="I1705" s="52">
        <v>0</v>
      </c>
      <c r="J1705" s="51">
        <v>0</v>
      </c>
      <c r="K1705" s="54">
        <v>0</v>
      </c>
      <c r="L1705" s="51">
        <v>1</v>
      </c>
      <c r="M1705" s="54">
        <v>6000</v>
      </c>
      <c r="N1705" s="53">
        <f t="shared" si="52"/>
        <v>-6000</v>
      </c>
      <c r="O1705" s="53">
        <f t="shared" si="53"/>
        <v>6000</v>
      </c>
    </row>
    <row r="1706" spans="1:15" x14ac:dyDescent="0.2">
      <c r="A1706" s="51" t="s">
        <v>3567</v>
      </c>
      <c r="B1706" s="51" t="s">
        <v>3568</v>
      </c>
      <c r="C1706" s="51" t="s">
        <v>58</v>
      </c>
      <c r="D1706" s="51" t="s">
        <v>2532</v>
      </c>
      <c r="E1706" s="51" t="s">
        <v>2531</v>
      </c>
      <c r="F1706" s="52">
        <v>0.99324999999999997</v>
      </c>
      <c r="G1706" s="52">
        <v>0</v>
      </c>
      <c r="H1706" s="52">
        <v>0</v>
      </c>
      <c r="I1706" s="52">
        <v>0</v>
      </c>
      <c r="J1706" s="51">
        <v>0</v>
      </c>
      <c r="K1706" s="54">
        <v>0</v>
      </c>
      <c r="L1706" s="51">
        <v>0</v>
      </c>
      <c r="M1706" s="54">
        <v>0</v>
      </c>
      <c r="N1706" s="53">
        <f t="shared" si="52"/>
        <v>0</v>
      </c>
      <c r="O1706" s="53">
        <f t="shared" si="53"/>
        <v>0</v>
      </c>
    </row>
    <row r="1707" spans="1:15" x14ac:dyDescent="0.2">
      <c r="A1707" s="51" t="s">
        <v>3567</v>
      </c>
      <c r="B1707" s="51" t="s">
        <v>3568</v>
      </c>
      <c r="C1707" s="51" t="s">
        <v>59</v>
      </c>
      <c r="D1707" s="51" t="s">
        <v>986</v>
      </c>
      <c r="E1707" s="51" t="s">
        <v>985</v>
      </c>
      <c r="F1707" s="52">
        <v>928.62819999999999</v>
      </c>
      <c r="G1707" s="52">
        <v>0</v>
      </c>
      <c r="H1707" s="52">
        <v>5880</v>
      </c>
      <c r="I1707" s="52">
        <v>5880</v>
      </c>
      <c r="J1707" s="51">
        <v>1</v>
      </c>
      <c r="K1707" s="54">
        <v>5000</v>
      </c>
      <c r="L1707" s="51">
        <v>1</v>
      </c>
      <c r="M1707" s="54">
        <v>10000</v>
      </c>
      <c r="N1707" s="53">
        <f t="shared" si="52"/>
        <v>-5000</v>
      </c>
      <c r="O1707" s="53">
        <f t="shared" si="53"/>
        <v>5000</v>
      </c>
    </row>
    <row r="1708" spans="1:15" x14ac:dyDescent="0.2">
      <c r="A1708" s="51" t="s">
        <v>3567</v>
      </c>
      <c r="B1708" s="51" t="s">
        <v>3568</v>
      </c>
      <c r="C1708" s="51" t="s">
        <v>3763</v>
      </c>
      <c r="D1708" s="51" t="s">
        <v>4481</v>
      </c>
      <c r="E1708" s="51" t="s">
        <v>4482</v>
      </c>
      <c r="F1708" s="52">
        <v>4.226913274912E-3</v>
      </c>
      <c r="G1708" s="52">
        <v>0</v>
      </c>
      <c r="H1708" s="52">
        <v>0</v>
      </c>
      <c r="I1708" s="52">
        <v>0</v>
      </c>
      <c r="J1708" s="51">
        <v>0</v>
      </c>
      <c r="K1708" s="54">
        <v>0</v>
      </c>
      <c r="L1708" s="51">
        <v>0</v>
      </c>
      <c r="M1708" s="54">
        <v>0</v>
      </c>
      <c r="N1708" s="53">
        <f t="shared" si="52"/>
        <v>0</v>
      </c>
      <c r="O1708" s="53">
        <f t="shared" si="53"/>
        <v>0</v>
      </c>
    </row>
    <row r="1709" spans="1:15" x14ac:dyDescent="0.2">
      <c r="A1709" s="51" t="s">
        <v>3567</v>
      </c>
      <c r="B1709" s="51" t="s">
        <v>3568</v>
      </c>
      <c r="C1709" s="51" t="s">
        <v>79</v>
      </c>
      <c r="D1709" s="51" t="s">
        <v>2867</v>
      </c>
      <c r="E1709" s="51" t="s">
        <v>1209</v>
      </c>
      <c r="F1709" s="52">
        <v>6.752994254457545</v>
      </c>
      <c r="G1709" s="52">
        <v>0</v>
      </c>
      <c r="H1709" s="52">
        <v>0</v>
      </c>
      <c r="I1709" s="52">
        <v>0</v>
      </c>
      <c r="J1709" s="51">
        <v>0</v>
      </c>
      <c r="K1709" s="54">
        <v>0</v>
      </c>
      <c r="L1709" s="51">
        <v>0</v>
      </c>
      <c r="M1709" s="54">
        <v>0</v>
      </c>
      <c r="N1709" s="53">
        <f t="shared" si="52"/>
        <v>0</v>
      </c>
      <c r="O1709" s="53">
        <f t="shared" si="53"/>
        <v>0</v>
      </c>
    </row>
    <row r="1710" spans="1:15" x14ac:dyDescent="0.2">
      <c r="A1710" s="51" t="s">
        <v>3567</v>
      </c>
      <c r="B1710" s="51" t="s">
        <v>3568</v>
      </c>
      <c r="C1710" s="51" t="s">
        <v>76</v>
      </c>
      <c r="D1710" s="51" t="s">
        <v>4827</v>
      </c>
      <c r="E1710" s="51" t="s">
        <v>155</v>
      </c>
      <c r="F1710" s="52">
        <v>4243.0442000000003</v>
      </c>
      <c r="G1710" s="52">
        <v>2400</v>
      </c>
      <c r="H1710" s="52">
        <v>1055</v>
      </c>
      <c r="I1710" s="52">
        <v>3455</v>
      </c>
      <c r="J1710" s="51">
        <v>1</v>
      </c>
      <c r="K1710" s="54">
        <v>5000</v>
      </c>
      <c r="L1710" s="51">
        <v>0</v>
      </c>
      <c r="M1710" s="54">
        <v>0</v>
      </c>
      <c r="N1710" s="53">
        <f t="shared" si="52"/>
        <v>5000</v>
      </c>
      <c r="O1710" s="53">
        <f t="shared" si="53"/>
        <v>-5000</v>
      </c>
    </row>
    <row r="1711" spans="1:15" x14ac:dyDescent="0.2">
      <c r="A1711" s="51" t="s">
        <v>3567</v>
      </c>
      <c r="B1711" s="51" t="s">
        <v>3568</v>
      </c>
      <c r="C1711" s="51" t="s">
        <v>66</v>
      </c>
      <c r="D1711" s="51" t="s">
        <v>3458</v>
      </c>
      <c r="E1711" s="51" t="s">
        <v>3457</v>
      </c>
      <c r="F1711" s="52">
        <v>3.9590000000000001</v>
      </c>
      <c r="G1711" s="52">
        <v>0</v>
      </c>
      <c r="H1711" s="52">
        <v>0</v>
      </c>
      <c r="I1711" s="52">
        <v>0</v>
      </c>
      <c r="J1711" s="51">
        <v>0</v>
      </c>
      <c r="K1711" s="54">
        <v>0</v>
      </c>
      <c r="L1711" s="51">
        <v>0</v>
      </c>
      <c r="M1711" s="54">
        <v>0</v>
      </c>
      <c r="N1711" s="53">
        <f t="shared" si="52"/>
        <v>0</v>
      </c>
      <c r="O1711" s="53">
        <f t="shared" si="53"/>
        <v>0</v>
      </c>
    </row>
    <row r="1712" spans="1:15" x14ac:dyDescent="0.2">
      <c r="A1712" s="51" t="s">
        <v>3567</v>
      </c>
      <c r="B1712" s="51" t="s">
        <v>3568</v>
      </c>
      <c r="C1712" s="51" t="s">
        <v>3650</v>
      </c>
      <c r="D1712" s="51" t="s">
        <v>4521</v>
      </c>
      <c r="E1712" s="51" t="s">
        <v>4522</v>
      </c>
      <c r="F1712" s="52">
        <v>30.11941095406327</v>
      </c>
      <c r="G1712" s="52">
        <v>0</v>
      </c>
      <c r="H1712" s="52">
        <v>0</v>
      </c>
      <c r="I1712" s="52">
        <v>0</v>
      </c>
      <c r="J1712" s="51">
        <v>0</v>
      </c>
      <c r="K1712" s="54">
        <v>0</v>
      </c>
      <c r="L1712" s="51">
        <v>0</v>
      </c>
      <c r="M1712" s="54">
        <v>0</v>
      </c>
      <c r="N1712" s="53">
        <f t="shared" si="52"/>
        <v>0</v>
      </c>
      <c r="O1712" s="53">
        <f t="shared" si="53"/>
        <v>0</v>
      </c>
    </row>
    <row r="1713" spans="1:15" x14ac:dyDescent="0.2">
      <c r="A1713" s="51" t="s">
        <v>3567</v>
      </c>
      <c r="B1713" s="51" t="s">
        <v>3568</v>
      </c>
      <c r="C1713" s="51" t="s">
        <v>60</v>
      </c>
      <c r="D1713" s="51" t="s">
        <v>2122</v>
      </c>
      <c r="E1713" s="51" t="s">
        <v>2121</v>
      </c>
      <c r="F1713" s="52">
        <v>13270.90792747703</v>
      </c>
      <c r="G1713" s="52">
        <v>25290</v>
      </c>
      <c r="H1713" s="52">
        <v>7040</v>
      </c>
      <c r="I1713" s="52">
        <v>32330</v>
      </c>
      <c r="J1713" s="51">
        <v>1</v>
      </c>
      <c r="K1713" s="54">
        <v>10000</v>
      </c>
      <c r="L1713" s="51">
        <v>0</v>
      </c>
      <c r="M1713" s="54">
        <v>0</v>
      </c>
      <c r="N1713" s="53">
        <f t="shared" si="52"/>
        <v>10000</v>
      </c>
      <c r="O1713" s="53">
        <f t="shared" si="53"/>
        <v>-10000</v>
      </c>
    </row>
    <row r="1714" spans="1:15" x14ac:dyDescent="0.2">
      <c r="A1714" s="51" t="s">
        <v>3567</v>
      </c>
      <c r="B1714" s="51" t="s">
        <v>3568</v>
      </c>
      <c r="C1714" s="51" t="s">
        <v>81</v>
      </c>
      <c r="D1714" s="51" t="s">
        <v>1302</v>
      </c>
      <c r="E1714" s="51" t="s">
        <v>1301</v>
      </c>
      <c r="F1714" s="52">
        <v>3716.3697893225258</v>
      </c>
      <c r="G1714" s="52">
        <v>38005</v>
      </c>
      <c r="H1714" s="52">
        <v>31240</v>
      </c>
      <c r="I1714" s="52">
        <v>69245</v>
      </c>
      <c r="J1714" s="51">
        <v>0</v>
      </c>
      <c r="K1714" s="54">
        <v>0</v>
      </c>
      <c r="L1714" s="51">
        <v>1</v>
      </c>
      <c r="M1714" s="54">
        <v>15000</v>
      </c>
      <c r="N1714" s="53">
        <f t="shared" si="52"/>
        <v>-15000</v>
      </c>
      <c r="O1714" s="53">
        <f t="shared" si="53"/>
        <v>15000</v>
      </c>
    </row>
    <row r="1715" spans="1:15" x14ac:dyDescent="0.2">
      <c r="A1715" s="51" t="s">
        <v>3567</v>
      </c>
      <c r="B1715" s="51" t="s">
        <v>3568</v>
      </c>
      <c r="C1715" s="51" t="s">
        <v>67</v>
      </c>
      <c r="D1715" s="51" t="s">
        <v>1422</v>
      </c>
      <c r="E1715" s="51" t="s">
        <v>1421</v>
      </c>
      <c r="F1715" s="52">
        <v>7958.5723130431998</v>
      </c>
      <c r="G1715" s="52">
        <v>0</v>
      </c>
      <c r="H1715" s="52">
        <v>0</v>
      </c>
      <c r="I1715" s="52">
        <v>0</v>
      </c>
      <c r="J1715" s="51">
        <v>1</v>
      </c>
      <c r="K1715" s="54">
        <v>5000</v>
      </c>
      <c r="L1715" s="51">
        <v>0</v>
      </c>
      <c r="M1715" s="54">
        <v>0</v>
      </c>
      <c r="N1715" s="53">
        <f t="shared" si="52"/>
        <v>5000</v>
      </c>
      <c r="O1715" s="53">
        <f t="shared" si="53"/>
        <v>-5000</v>
      </c>
    </row>
    <row r="1716" spans="1:15" x14ac:dyDescent="0.2">
      <c r="A1716" s="51" t="s">
        <v>3567</v>
      </c>
      <c r="B1716" s="51" t="s">
        <v>3568</v>
      </c>
      <c r="C1716" s="51" t="s">
        <v>60</v>
      </c>
      <c r="D1716" s="51" t="s">
        <v>471</v>
      </c>
      <c r="E1716" s="51" t="s">
        <v>470</v>
      </c>
      <c r="F1716" s="52">
        <v>5046.8163000000004</v>
      </c>
      <c r="G1716" s="52">
        <v>0</v>
      </c>
      <c r="H1716" s="52">
        <v>0</v>
      </c>
      <c r="I1716" s="52">
        <v>0</v>
      </c>
      <c r="J1716" s="51">
        <v>1</v>
      </c>
      <c r="K1716" s="54">
        <v>5000</v>
      </c>
      <c r="L1716" s="51">
        <v>0</v>
      </c>
      <c r="M1716" s="54">
        <v>0</v>
      </c>
      <c r="N1716" s="53">
        <f t="shared" si="52"/>
        <v>5000</v>
      </c>
      <c r="O1716" s="53">
        <f t="shared" si="53"/>
        <v>-5000</v>
      </c>
    </row>
    <row r="1717" spans="1:15" x14ac:dyDescent="0.2">
      <c r="A1717" s="51" t="s">
        <v>3567</v>
      </c>
      <c r="B1717" s="51" t="s">
        <v>3568</v>
      </c>
      <c r="C1717" s="51" t="s">
        <v>3650</v>
      </c>
      <c r="D1717" s="51" t="s">
        <v>4501</v>
      </c>
      <c r="E1717" s="51" t="s">
        <v>4502</v>
      </c>
      <c r="F1717" s="52">
        <v>5.3947046063000004</v>
      </c>
      <c r="G1717" s="52">
        <v>0</v>
      </c>
      <c r="H1717" s="52">
        <v>0</v>
      </c>
      <c r="I1717" s="52">
        <v>0</v>
      </c>
      <c r="J1717" s="51">
        <v>0</v>
      </c>
      <c r="K1717" s="54">
        <v>0</v>
      </c>
      <c r="L1717" s="51">
        <v>0</v>
      </c>
      <c r="M1717" s="54">
        <v>0</v>
      </c>
      <c r="N1717" s="53">
        <f t="shared" si="52"/>
        <v>0</v>
      </c>
      <c r="O1717" s="53">
        <f t="shared" si="53"/>
        <v>0</v>
      </c>
    </row>
    <row r="1718" spans="1:15" x14ac:dyDescent="0.2">
      <c r="A1718" s="51" t="s">
        <v>3567</v>
      </c>
      <c r="B1718" s="51" t="s">
        <v>3568</v>
      </c>
      <c r="C1718" s="51" t="s">
        <v>59</v>
      </c>
      <c r="D1718" s="51" t="s">
        <v>2621</v>
      </c>
      <c r="E1718" s="51" t="s">
        <v>2620</v>
      </c>
      <c r="F1718" s="52">
        <v>54.308399999999999</v>
      </c>
      <c r="G1718" s="52">
        <v>860</v>
      </c>
      <c r="H1718" s="52">
        <v>7800</v>
      </c>
      <c r="I1718" s="52">
        <v>8660</v>
      </c>
      <c r="J1718" s="51">
        <v>0</v>
      </c>
      <c r="K1718" s="54">
        <v>0</v>
      </c>
      <c r="L1718" s="51">
        <v>1</v>
      </c>
      <c r="M1718" s="54">
        <v>7000</v>
      </c>
      <c r="N1718" s="53">
        <f t="shared" si="52"/>
        <v>-7000</v>
      </c>
      <c r="O1718" s="53">
        <f t="shared" si="53"/>
        <v>7000</v>
      </c>
    </row>
    <row r="1719" spans="1:15" x14ac:dyDescent="0.2">
      <c r="A1719" s="51" t="s">
        <v>3567</v>
      </c>
      <c r="B1719" s="51" t="s">
        <v>3568</v>
      </c>
      <c r="C1719" s="51" t="s">
        <v>60</v>
      </c>
      <c r="D1719" s="51" t="s">
        <v>1414</v>
      </c>
      <c r="E1719" s="51" t="s">
        <v>1413</v>
      </c>
      <c r="F1719" s="52">
        <v>5554.1079</v>
      </c>
      <c r="G1719" s="52">
        <v>22165</v>
      </c>
      <c r="H1719" s="52">
        <v>6550</v>
      </c>
      <c r="I1719" s="52">
        <v>28715</v>
      </c>
      <c r="J1719" s="51">
        <v>2</v>
      </c>
      <c r="K1719" s="54">
        <v>10000</v>
      </c>
      <c r="L1719" s="51">
        <v>0</v>
      </c>
      <c r="M1719" s="54">
        <v>0</v>
      </c>
      <c r="N1719" s="53">
        <f t="shared" si="52"/>
        <v>10000</v>
      </c>
      <c r="O1719" s="53">
        <f t="shared" si="53"/>
        <v>-10000</v>
      </c>
    </row>
    <row r="1720" spans="1:15" x14ac:dyDescent="0.2">
      <c r="A1720" s="51" t="s">
        <v>3567</v>
      </c>
      <c r="B1720" s="51" t="s">
        <v>3568</v>
      </c>
      <c r="C1720" s="51" t="s">
        <v>60</v>
      </c>
      <c r="D1720" s="51" t="s">
        <v>464</v>
      </c>
      <c r="E1720" s="51" t="s">
        <v>463</v>
      </c>
      <c r="F1720" s="52">
        <v>60454.168100167772</v>
      </c>
      <c r="G1720" s="52">
        <v>30670</v>
      </c>
      <c r="H1720" s="52">
        <v>20400</v>
      </c>
      <c r="I1720" s="52">
        <v>51070</v>
      </c>
      <c r="J1720" s="51">
        <v>2</v>
      </c>
      <c r="K1720" s="54">
        <v>25000</v>
      </c>
      <c r="L1720" s="51">
        <v>0</v>
      </c>
      <c r="M1720" s="54">
        <v>0</v>
      </c>
      <c r="N1720" s="53">
        <f t="shared" si="52"/>
        <v>25000</v>
      </c>
      <c r="O1720" s="53">
        <f t="shared" si="53"/>
        <v>-25000</v>
      </c>
    </row>
    <row r="1721" spans="1:15" x14ac:dyDescent="0.2">
      <c r="A1721" s="51" t="s">
        <v>3567</v>
      </c>
      <c r="B1721" s="51" t="s">
        <v>3568</v>
      </c>
      <c r="C1721" s="51" t="s">
        <v>56</v>
      </c>
      <c r="D1721" s="51" t="s">
        <v>3444</v>
      </c>
      <c r="E1721" s="51" t="s">
        <v>3443</v>
      </c>
      <c r="F1721" s="52">
        <v>2330.5045130434</v>
      </c>
      <c r="G1721" s="52">
        <v>18040</v>
      </c>
      <c r="H1721" s="52">
        <v>9240</v>
      </c>
      <c r="I1721" s="52">
        <v>27280</v>
      </c>
      <c r="J1721" s="51">
        <v>1</v>
      </c>
      <c r="K1721" s="54">
        <v>10000</v>
      </c>
      <c r="L1721" s="51">
        <v>0</v>
      </c>
      <c r="M1721" s="54">
        <v>0</v>
      </c>
      <c r="N1721" s="53">
        <f t="shared" si="52"/>
        <v>10000</v>
      </c>
      <c r="O1721" s="53">
        <f t="shared" si="53"/>
        <v>-10000</v>
      </c>
    </row>
    <row r="1722" spans="1:15" x14ac:dyDescent="0.2">
      <c r="A1722" s="51" t="s">
        <v>3567</v>
      </c>
      <c r="B1722" s="51" t="s">
        <v>3568</v>
      </c>
      <c r="C1722" s="51" t="s">
        <v>68</v>
      </c>
      <c r="D1722" s="51" t="s">
        <v>2618</v>
      </c>
      <c r="E1722" s="51" t="s">
        <v>2617</v>
      </c>
      <c r="F1722" s="52">
        <v>191.3582695652</v>
      </c>
      <c r="G1722" s="52">
        <v>4090</v>
      </c>
      <c r="H1722" s="52">
        <v>4000</v>
      </c>
      <c r="I1722" s="52">
        <v>8090</v>
      </c>
      <c r="J1722" s="51">
        <v>1</v>
      </c>
      <c r="K1722" s="54">
        <v>5000</v>
      </c>
      <c r="L1722" s="51">
        <v>1</v>
      </c>
      <c r="M1722" s="54">
        <v>10000</v>
      </c>
      <c r="N1722" s="53">
        <f t="shared" si="52"/>
        <v>-5000</v>
      </c>
      <c r="O1722" s="53">
        <f t="shared" si="53"/>
        <v>5000</v>
      </c>
    </row>
    <row r="1723" spans="1:15" x14ac:dyDescent="0.2">
      <c r="A1723" s="51" t="s">
        <v>3567</v>
      </c>
      <c r="B1723" s="51" t="s">
        <v>3568</v>
      </c>
      <c r="C1723" s="51" t="s">
        <v>59</v>
      </c>
      <c r="D1723" s="51" t="s">
        <v>1439</v>
      </c>
      <c r="E1723" s="51" t="s">
        <v>1438</v>
      </c>
      <c r="F1723" s="52">
        <v>512.63885225101887</v>
      </c>
      <c r="G1723" s="52">
        <v>11710</v>
      </c>
      <c r="H1723" s="52">
        <v>14675</v>
      </c>
      <c r="I1723" s="52">
        <v>26385</v>
      </c>
      <c r="J1723" s="51">
        <v>1</v>
      </c>
      <c r="K1723" s="54">
        <v>5000</v>
      </c>
      <c r="L1723" s="51">
        <v>1</v>
      </c>
      <c r="M1723" s="54">
        <v>8000</v>
      </c>
      <c r="N1723" s="53">
        <f t="shared" si="52"/>
        <v>-3000</v>
      </c>
      <c r="O1723" s="53">
        <f t="shared" si="53"/>
        <v>3000</v>
      </c>
    </row>
    <row r="1724" spans="1:15" x14ac:dyDescent="0.2">
      <c r="A1724" s="51" t="s">
        <v>3567</v>
      </c>
      <c r="B1724" s="51" t="s">
        <v>3568</v>
      </c>
      <c r="C1724" s="51" t="s">
        <v>66</v>
      </c>
      <c r="D1724" s="51" t="s">
        <v>2030</v>
      </c>
      <c r="E1724" s="51" t="s">
        <v>2029</v>
      </c>
      <c r="F1724" s="52">
        <v>45.136550001800003</v>
      </c>
      <c r="G1724" s="52">
        <v>0</v>
      </c>
      <c r="H1724" s="52">
        <v>0</v>
      </c>
      <c r="I1724" s="52">
        <v>0</v>
      </c>
      <c r="J1724" s="51">
        <v>0</v>
      </c>
      <c r="K1724" s="54">
        <v>0</v>
      </c>
      <c r="L1724" s="51">
        <v>1</v>
      </c>
      <c r="M1724" s="54">
        <v>5000</v>
      </c>
      <c r="N1724" s="53">
        <f t="shared" si="52"/>
        <v>-5000</v>
      </c>
      <c r="O1724" s="53">
        <f t="shared" si="53"/>
        <v>5000</v>
      </c>
    </row>
    <row r="1725" spans="1:15" x14ac:dyDescent="0.2">
      <c r="A1725" s="51" t="s">
        <v>3567</v>
      </c>
      <c r="B1725" s="51" t="s">
        <v>3568</v>
      </c>
      <c r="C1725" s="51" t="s">
        <v>74</v>
      </c>
      <c r="D1725" s="51" t="s">
        <v>1362</v>
      </c>
      <c r="E1725" s="51" t="s">
        <v>1361</v>
      </c>
      <c r="F1725" s="52">
        <v>919.00842495032498</v>
      </c>
      <c r="G1725" s="52">
        <v>0</v>
      </c>
      <c r="H1725" s="52">
        <v>21250</v>
      </c>
      <c r="I1725" s="52">
        <v>21250</v>
      </c>
      <c r="J1725" s="51">
        <v>0</v>
      </c>
      <c r="K1725" s="54">
        <v>0</v>
      </c>
      <c r="L1725" s="51">
        <v>3</v>
      </c>
      <c r="M1725" s="54">
        <v>33000</v>
      </c>
      <c r="N1725" s="53">
        <f t="shared" si="52"/>
        <v>-33000</v>
      </c>
      <c r="O1725" s="53">
        <f t="shared" si="53"/>
        <v>33000</v>
      </c>
    </row>
    <row r="1726" spans="1:15" x14ac:dyDescent="0.2">
      <c r="A1726" s="51" t="s">
        <v>3567</v>
      </c>
      <c r="B1726" s="51" t="s">
        <v>3568</v>
      </c>
      <c r="C1726" s="51" t="s">
        <v>71</v>
      </c>
      <c r="D1726" s="51" t="s">
        <v>2885</v>
      </c>
      <c r="E1726" s="51" t="s">
        <v>2884</v>
      </c>
      <c r="F1726" s="52">
        <v>22178.679511999999</v>
      </c>
      <c r="G1726" s="52">
        <v>2020</v>
      </c>
      <c r="H1726" s="52">
        <v>0</v>
      </c>
      <c r="I1726" s="52">
        <v>2020</v>
      </c>
      <c r="J1726" s="51">
        <v>1</v>
      </c>
      <c r="K1726" s="54">
        <v>20000</v>
      </c>
      <c r="L1726" s="51">
        <v>0</v>
      </c>
      <c r="M1726" s="54">
        <v>0</v>
      </c>
      <c r="N1726" s="53">
        <f t="shared" si="52"/>
        <v>20000</v>
      </c>
      <c r="O1726" s="53">
        <f t="shared" si="53"/>
        <v>-20000</v>
      </c>
    </row>
    <row r="1727" spans="1:15" x14ac:dyDescent="0.2">
      <c r="A1727" s="51" t="s">
        <v>3567</v>
      </c>
      <c r="B1727" s="51" t="s">
        <v>3568</v>
      </c>
      <c r="C1727" s="51" t="s">
        <v>68</v>
      </c>
      <c r="D1727" s="51" t="s">
        <v>1068</v>
      </c>
      <c r="E1727" s="51" t="s">
        <v>1067</v>
      </c>
      <c r="F1727" s="52">
        <v>6671.59</v>
      </c>
      <c r="G1727" s="52">
        <v>7180</v>
      </c>
      <c r="H1727" s="52">
        <v>9470</v>
      </c>
      <c r="I1727" s="52">
        <v>16650</v>
      </c>
      <c r="J1727" s="51">
        <v>0</v>
      </c>
      <c r="K1727" s="54">
        <v>0</v>
      </c>
      <c r="L1727" s="51">
        <v>1</v>
      </c>
      <c r="M1727" s="54">
        <v>5000</v>
      </c>
      <c r="N1727" s="53">
        <f t="shared" si="52"/>
        <v>-5000</v>
      </c>
      <c r="O1727" s="53">
        <f t="shared" si="53"/>
        <v>5000</v>
      </c>
    </row>
    <row r="1728" spans="1:15" x14ac:dyDescent="0.2">
      <c r="A1728" s="51" t="s">
        <v>3567</v>
      </c>
      <c r="B1728" s="51" t="s">
        <v>3568</v>
      </c>
      <c r="C1728" s="51" t="s">
        <v>81</v>
      </c>
      <c r="D1728" s="51" t="s">
        <v>542</v>
      </c>
      <c r="E1728" s="51" t="s">
        <v>541</v>
      </c>
      <c r="F1728" s="52">
        <v>10367.66193441147</v>
      </c>
      <c r="G1728" s="52">
        <v>245</v>
      </c>
      <c r="H1728" s="52">
        <v>27210</v>
      </c>
      <c r="I1728" s="52">
        <v>27455</v>
      </c>
      <c r="J1728" s="51">
        <v>0</v>
      </c>
      <c r="K1728" s="54">
        <v>0</v>
      </c>
      <c r="L1728" s="51">
        <v>1</v>
      </c>
      <c r="M1728" s="54">
        <v>50000</v>
      </c>
      <c r="N1728" s="53">
        <f t="shared" si="52"/>
        <v>-50000</v>
      </c>
      <c r="O1728" s="53">
        <f t="shared" si="53"/>
        <v>50000</v>
      </c>
    </row>
    <row r="1729" spans="1:15" x14ac:dyDescent="0.2">
      <c r="A1729" s="51" t="s">
        <v>3567</v>
      </c>
      <c r="B1729" s="51" t="s">
        <v>3568</v>
      </c>
      <c r="C1729" s="51" t="s">
        <v>61</v>
      </c>
      <c r="D1729" s="51" t="s">
        <v>2210</v>
      </c>
      <c r="E1729" s="51" t="s">
        <v>2209</v>
      </c>
      <c r="F1729" s="52">
        <v>133913.33851</v>
      </c>
      <c r="G1729" s="52">
        <v>57549</v>
      </c>
      <c r="H1729" s="52">
        <v>29370</v>
      </c>
      <c r="I1729" s="52">
        <v>86919</v>
      </c>
      <c r="J1729" s="51">
        <v>1</v>
      </c>
      <c r="K1729" s="54">
        <v>30000</v>
      </c>
      <c r="L1729" s="51">
        <v>1</v>
      </c>
      <c r="M1729" s="54">
        <v>10000</v>
      </c>
      <c r="N1729" s="53">
        <f t="shared" si="52"/>
        <v>20000</v>
      </c>
      <c r="O1729" s="53">
        <f t="shared" si="53"/>
        <v>-20000</v>
      </c>
    </row>
    <row r="1730" spans="1:15" x14ac:dyDescent="0.2">
      <c r="A1730" s="51" t="s">
        <v>3567</v>
      </c>
      <c r="B1730" s="51" t="s">
        <v>3568</v>
      </c>
      <c r="C1730" s="51" t="s">
        <v>70</v>
      </c>
      <c r="D1730" s="51" t="s">
        <v>2903</v>
      </c>
      <c r="E1730" s="51" t="s">
        <v>2902</v>
      </c>
      <c r="F1730" s="52">
        <v>87226.519795578046</v>
      </c>
      <c r="G1730" s="52">
        <v>68180</v>
      </c>
      <c r="H1730" s="52">
        <v>119940</v>
      </c>
      <c r="I1730" s="52">
        <v>188120</v>
      </c>
      <c r="J1730" s="51">
        <v>1</v>
      </c>
      <c r="K1730" s="54">
        <v>10000</v>
      </c>
      <c r="L1730" s="51">
        <v>0</v>
      </c>
      <c r="M1730" s="54">
        <v>0</v>
      </c>
      <c r="N1730" s="53">
        <f t="shared" si="52"/>
        <v>10000</v>
      </c>
      <c r="O1730" s="53">
        <f t="shared" si="53"/>
        <v>-10000</v>
      </c>
    </row>
    <row r="1731" spans="1:15" x14ac:dyDescent="0.2">
      <c r="A1731" s="51" t="s">
        <v>3567</v>
      </c>
      <c r="B1731" s="51" t="s">
        <v>3568</v>
      </c>
      <c r="C1731" s="51" t="s">
        <v>66</v>
      </c>
      <c r="D1731" s="51" t="s">
        <v>1146</v>
      </c>
      <c r="E1731" s="51" t="s">
        <v>1145</v>
      </c>
      <c r="F1731" s="52">
        <v>3041.2941000000001</v>
      </c>
      <c r="G1731" s="52">
        <v>28400</v>
      </c>
      <c r="H1731" s="52">
        <v>21270</v>
      </c>
      <c r="I1731" s="52">
        <v>49670</v>
      </c>
      <c r="J1731" s="51">
        <v>0</v>
      </c>
      <c r="K1731" s="54">
        <v>0</v>
      </c>
      <c r="L1731" s="51">
        <v>0</v>
      </c>
      <c r="M1731" s="54">
        <v>0</v>
      </c>
      <c r="N1731" s="53">
        <f t="shared" ref="N1731:N1794" si="54">K1731-M1731</f>
        <v>0</v>
      </c>
      <c r="O1731" s="53">
        <f t="shared" ref="O1731:O1794" si="55">M1731-K1731</f>
        <v>0</v>
      </c>
    </row>
    <row r="1732" spans="1:15" x14ac:dyDescent="0.2">
      <c r="A1732" s="51" t="s">
        <v>3567</v>
      </c>
      <c r="B1732" s="51" t="s">
        <v>3568</v>
      </c>
      <c r="C1732" s="51" t="s">
        <v>87</v>
      </c>
      <c r="D1732" s="51" t="s">
        <v>1685</v>
      </c>
      <c r="E1732" s="51" t="s">
        <v>1684</v>
      </c>
      <c r="F1732" s="52">
        <v>59.197900017800002</v>
      </c>
      <c r="G1732" s="52">
        <v>535</v>
      </c>
      <c r="H1732" s="52">
        <v>9000</v>
      </c>
      <c r="I1732" s="52">
        <v>9535</v>
      </c>
      <c r="J1732" s="51">
        <v>0</v>
      </c>
      <c r="K1732" s="54">
        <v>0</v>
      </c>
      <c r="L1732" s="51">
        <v>2</v>
      </c>
      <c r="M1732" s="54">
        <v>9000</v>
      </c>
      <c r="N1732" s="53">
        <f t="shared" si="54"/>
        <v>-9000</v>
      </c>
      <c r="O1732" s="53">
        <f t="shared" si="55"/>
        <v>9000</v>
      </c>
    </row>
    <row r="1733" spans="1:15" x14ac:dyDescent="0.2">
      <c r="A1733" s="51" t="s">
        <v>3567</v>
      </c>
      <c r="B1733" s="51" t="s">
        <v>3568</v>
      </c>
      <c r="C1733" s="51" t="s">
        <v>85</v>
      </c>
      <c r="D1733" s="51" t="s">
        <v>363</v>
      </c>
      <c r="E1733" s="51" t="s">
        <v>362</v>
      </c>
      <c r="F1733" s="52">
        <v>11999.3763000526</v>
      </c>
      <c r="G1733" s="52">
        <v>500</v>
      </c>
      <c r="H1733" s="52">
        <v>7590</v>
      </c>
      <c r="I1733" s="52">
        <v>8090</v>
      </c>
      <c r="J1733" s="51">
        <v>0</v>
      </c>
      <c r="K1733" s="54">
        <v>0</v>
      </c>
      <c r="L1733" s="51">
        <v>1</v>
      </c>
      <c r="M1733" s="54">
        <v>10000</v>
      </c>
      <c r="N1733" s="53">
        <f t="shared" si="54"/>
        <v>-10000</v>
      </c>
      <c r="O1733" s="53">
        <f t="shared" si="55"/>
        <v>10000</v>
      </c>
    </row>
    <row r="1734" spans="1:15" x14ac:dyDescent="0.2">
      <c r="A1734" s="51" t="s">
        <v>3567</v>
      </c>
      <c r="B1734" s="51" t="s">
        <v>3568</v>
      </c>
      <c r="C1734" s="51" t="s">
        <v>70</v>
      </c>
      <c r="D1734" s="51" t="s">
        <v>404</v>
      </c>
      <c r="E1734" s="51" t="s">
        <v>403</v>
      </c>
      <c r="F1734" s="52">
        <v>141.91436426331711</v>
      </c>
      <c r="G1734" s="52">
        <v>30000</v>
      </c>
      <c r="H1734" s="52">
        <v>0</v>
      </c>
      <c r="I1734" s="52">
        <v>30000</v>
      </c>
      <c r="J1734" s="51">
        <v>3</v>
      </c>
      <c r="K1734" s="54">
        <v>30000</v>
      </c>
      <c r="L1734" s="51">
        <v>0</v>
      </c>
      <c r="M1734" s="54">
        <v>0</v>
      </c>
      <c r="N1734" s="53">
        <f t="shared" si="54"/>
        <v>30000</v>
      </c>
      <c r="O1734" s="53">
        <f t="shared" si="55"/>
        <v>-30000</v>
      </c>
    </row>
    <row r="1735" spans="1:15" x14ac:dyDescent="0.2">
      <c r="A1735" s="51" t="s">
        <v>3567</v>
      </c>
      <c r="B1735" s="51" t="s">
        <v>3568</v>
      </c>
      <c r="C1735" s="51" t="s">
        <v>76</v>
      </c>
      <c r="D1735" s="51" t="s">
        <v>2382</v>
      </c>
      <c r="E1735" s="51" t="s">
        <v>2381</v>
      </c>
      <c r="F1735" s="52">
        <v>25669.317261137068</v>
      </c>
      <c r="G1735" s="52">
        <v>3600</v>
      </c>
      <c r="H1735" s="52">
        <v>4700</v>
      </c>
      <c r="I1735" s="52">
        <v>8300</v>
      </c>
      <c r="J1735" s="51">
        <v>2</v>
      </c>
      <c r="K1735" s="54">
        <v>6000</v>
      </c>
      <c r="L1735" s="51">
        <v>0</v>
      </c>
      <c r="M1735" s="54">
        <v>0</v>
      </c>
      <c r="N1735" s="53">
        <f t="shared" si="54"/>
        <v>6000</v>
      </c>
      <c r="O1735" s="53">
        <f t="shared" si="55"/>
        <v>-6000</v>
      </c>
    </row>
    <row r="1736" spans="1:15" x14ac:dyDescent="0.2">
      <c r="A1736" s="51" t="s">
        <v>3567</v>
      </c>
      <c r="B1736" s="51" t="s">
        <v>3568</v>
      </c>
      <c r="C1736" s="51" t="s">
        <v>73</v>
      </c>
      <c r="D1736" s="51" t="s">
        <v>1066</v>
      </c>
      <c r="E1736" s="51" t="s">
        <v>1065</v>
      </c>
      <c r="F1736" s="52">
        <v>6021.2761</v>
      </c>
      <c r="G1736" s="52">
        <v>0</v>
      </c>
      <c r="H1736" s="52">
        <v>0</v>
      </c>
      <c r="I1736" s="52">
        <v>0</v>
      </c>
      <c r="J1736" s="51">
        <v>1</v>
      </c>
      <c r="K1736" s="54">
        <v>6000</v>
      </c>
      <c r="L1736" s="51">
        <v>0</v>
      </c>
      <c r="M1736" s="54">
        <v>0</v>
      </c>
      <c r="N1736" s="53">
        <f t="shared" si="54"/>
        <v>6000</v>
      </c>
      <c r="O1736" s="53">
        <f t="shared" si="55"/>
        <v>-6000</v>
      </c>
    </row>
    <row r="1737" spans="1:15" x14ac:dyDescent="0.2">
      <c r="A1737" s="51" t="s">
        <v>3567</v>
      </c>
      <c r="B1737" s="51" t="s">
        <v>3568</v>
      </c>
      <c r="C1737" s="51" t="s">
        <v>70</v>
      </c>
      <c r="D1737" s="51" t="s">
        <v>2658</v>
      </c>
      <c r="E1737" s="51" t="s">
        <v>2657</v>
      </c>
      <c r="F1737" s="52">
        <v>3302.5263</v>
      </c>
      <c r="G1737" s="52">
        <v>10065</v>
      </c>
      <c r="H1737" s="52">
        <v>1300</v>
      </c>
      <c r="I1737" s="52">
        <v>11365</v>
      </c>
      <c r="J1737" s="51">
        <v>1</v>
      </c>
      <c r="K1737" s="54">
        <v>10000</v>
      </c>
      <c r="L1737" s="51">
        <v>0</v>
      </c>
      <c r="M1737" s="54">
        <v>0</v>
      </c>
      <c r="N1737" s="53">
        <f t="shared" si="54"/>
        <v>10000</v>
      </c>
      <c r="O1737" s="53">
        <f t="shared" si="55"/>
        <v>-10000</v>
      </c>
    </row>
    <row r="1738" spans="1:15" x14ac:dyDescent="0.2">
      <c r="A1738" s="51" t="s">
        <v>3567</v>
      </c>
      <c r="B1738" s="51" t="s">
        <v>3568</v>
      </c>
      <c r="C1738" s="51" t="s">
        <v>54</v>
      </c>
      <c r="D1738" s="51" t="s">
        <v>731</v>
      </c>
      <c r="E1738" s="51" t="s">
        <v>730</v>
      </c>
      <c r="F1738" s="52">
        <v>57.384771999999998</v>
      </c>
      <c r="G1738" s="52">
        <v>0</v>
      </c>
      <c r="H1738" s="52">
        <v>0</v>
      </c>
      <c r="I1738" s="52">
        <v>0</v>
      </c>
      <c r="J1738" s="51">
        <v>0</v>
      </c>
      <c r="K1738" s="54">
        <v>0</v>
      </c>
      <c r="L1738" s="51">
        <v>0</v>
      </c>
      <c r="M1738" s="54">
        <v>0</v>
      </c>
      <c r="N1738" s="53">
        <f t="shared" si="54"/>
        <v>0</v>
      </c>
      <c r="O1738" s="53">
        <f t="shared" si="55"/>
        <v>0</v>
      </c>
    </row>
    <row r="1739" spans="1:15" x14ac:dyDescent="0.2">
      <c r="A1739" s="51" t="s">
        <v>3567</v>
      </c>
      <c r="B1739" s="51" t="s">
        <v>3568</v>
      </c>
      <c r="C1739" s="51" t="s">
        <v>67</v>
      </c>
      <c r="D1739" s="51" t="s">
        <v>1779</v>
      </c>
      <c r="E1739" s="51" t="s">
        <v>1778</v>
      </c>
      <c r="F1739" s="52">
        <v>0.48330000000000001</v>
      </c>
      <c r="G1739" s="52">
        <v>5500</v>
      </c>
      <c r="H1739" s="52">
        <v>0</v>
      </c>
      <c r="I1739" s="52">
        <v>5500</v>
      </c>
      <c r="J1739" s="51">
        <v>1</v>
      </c>
      <c r="K1739" s="54">
        <v>5000</v>
      </c>
      <c r="L1739" s="51">
        <v>0</v>
      </c>
      <c r="M1739" s="54">
        <v>0</v>
      </c>
      <c r="N1739" s="53">
        <f t="shared" si="54"/>
        <v>5000</v>
      </c>
      <c r="O1739" s="53">
        <f t="shared" si="55"/>
        <v>-5000</v>
      </c>
    </row>
    <row r="1740" spans="1:15" x14ac:dyDescent="0.2">
      <c r="A1740" s="51" t="s">
        <v>3567</v>
      </c>
      <c r="B1740" s="51" t="s">
        <v>3568</v>
      </c>
      <c r="C1740" s="51" t="s">
        <v>86</v>
      </c>
      <c r="D1740" s="51" t="s">
        <v>2581</v>
      </c>
      <c r="E1740" s="51" t="s">
        <v>2580</v>
      </c>
      <c r="F1740" s="52">
        <v>5726.6403895331596</v>
      </c>
      <c r="G1740" s="52">
        <v>0</v>
      </c>
      <c r="H1740" s="52">
        <v>0</v>
      </c>
      <c r="I1740" s="52">
        <v>0</v>
      </c>
      <c r="J1740" s="51">
        <v>0</v>
      </c>
      <c r="K1740" s="54">
        <v>0</v>
      </c>
      <c r="L1740" s="51">
        <v>1</v>
      </c>
      <c r="M1740" s="54">
        <v>8000</v>
      </c>
      <c r="N1740" s="53">
        <f t="shared" si="54"/>
        <v>-8000</v>
      </c>
      <c r="O1740" s="53">
        <f t="shared" si="55"/>
        <v>8000</v>
      </c>
    </row>
    <row r="1741" spans="1:15" x14ac:dyDescent="0.2">
      <c r="A1741" s="51" t="s">
        <v>3567</v>
      </c>
      <c r="B1741" s="51" t="s">
        <v>3568</v>
      </c>
      <c r="C1741" s="51" t="s">
        <v>83</v>
      </c>
      <c r="D1741" s="51" t="s">
        <v>2632</v>
      </c>
      <c r="E1741" s="51" t="s">
        <v>2631</v>
      </c>
      <c r="F1741" s="52">
        <v>9827.4292000000005</v>
      </c>
      <c r="G1741" s="52">
        <v>4160</v>
      </c>
      <c r="H1741" s="52">
        <v>25060</v>
      </c>
      <c r="I1741" s="52">
        <v>29220</v>
      </c>
      <c r="J1741" s="51">
        <v>1</v>
      </c>
      <c r="K1741" s="54">
        <v>5000</v>
      </c>
      <c r="L1741" s="51">
        <v>1</v>
      </c>
      <c r="M1741" s="54">
        <v>60000</v>
      </c>
      <c r="N1741" s="53">
        <f t="shared" si="54"/>
        <v>-55000</v>
      </c>
      <c r="O1741" s="53">
        <f t="shared" si="55"/>
        <v>55000</v>
      </c>
    </row>
    <row r="1742" spans="1:15" x14ac:dyDescent="0.2">
      <c r="A1742" s="51" t="s">
        <v>3567</v>
      </c>
      <c r="B1742" s="51" t="s">
        <v>3568</v>
      </c>
      <c r="C1742" s="51" t="s">
        <v>64</v>
      </c>
      <c r="D1742" s="51" t="s">
        <v>589</v>
      </c>
      <c r="E1742" s="51" t="s">
        <v>588</v>
      </c>
      <c r="F1742" s="52">
        <v>9607.0598498712006</v>
      </c>
      <c r="G1742" s="52">
        <v>15320</v>
      </c>
      <c r="H1742" s="52">
        <v>15020</v>
      </c>
      <c r="I1742" s="52">
        <v>30340</v>
      </c>
      <c r="J1742" s="51">
        <v>1</v>
      </c>
      <c r="K1742" s="54">
        <v>10000</v>
      </c>
      <c r="L1742" s="51">
        <v>0</v>
      </c>
      <c r="M1742" s="54">
        <v>0</v>
      </c>
      <c r="N1742" s="53">
        <f t="shared" si="54"/>
        <v>10000</v>
      </c>
      <c r="O1742" s="53">
        <f t="shared" si="55"/>
        <v>-10000</v>
      </c>
    </row>
    <row r="1743" spans="1:15" x14ac:dyDescent="0.2">
      <c r="A1743" s="51" t="s">
        <v>3567</v>
      </c>
      <c r="B1743" s="51" t="s">
        <v>3568</v>
      </c>
      <c r="C1743" s="51" t="s">
        <v>77</v>
      </c>
      <c r="D1743" s="51" t="s">
        <v>1883</v>
      </c>
      <c r="E1743" s="51" t="s">
        <v>1882</v>
      </c>
      <c r="F1743" s="52">
        <v>5302.136148951784</v>
      </c>
      <c r="G1743" s="52">
        <v>14705</v>
      </c>
      <c r="H1743" s="52">
        <v>10560</v>
      </c>
      <c r="I1743" s="52">
        <v>25265</v>
      </c>
      <c r="J1743" s="51">
        <v>1</v>
      </c>
      <c r="K1743" s="54">
        <v>5000</v>
      </c>
      <c r="L1743" s="51">
        <v>0</v>
      </c>
      <c r="M1743" s="54">
        <v>0</v>
      </c>
      <c r="N1743" s="53">
        <f t="shared" si="54"/>
        <v>5000</v>
      </c>
      <c r="O1743" s="53">
        <f t="shared" si="55"/>
        <v>-5000</v>
      </c>
    </row>
    <row r="1744" spans="1:15" x14ac:dyDescent="0.2">
      <c r="A1744" s="51" t="s">
        <v>3567</v>
      </c>
      <c r="B1744" s="51" t="s">
        <v>3568</v>
      </c>
      <c r="C1744" s="51" t="s">
        <v>86</v>
      </c>
      <c r="D1744" s="51" t="s">
        <v>1119</v>
      </c>
      <c r="E1744" s="51" t="s">
        <v>1118</v>
      </c>
      <c r="F1744" s="52">
        <v>13387.053400000001</v>
      </c>
      <c r="G1744" s="52">
        <v>4330</v>
      </c>
      <c r="H1744" s="52">
        <v>7900</v>
      </c>
      <c r="I1744" s="52">
        <v>12230</v>
      </c>
      <c r="J1744" s="51">
        <v>0</v>
      </c>
      <c r="K1744" s="54">
        <v>0</v>
      </c>
      <c r="L1744" s="51">
        <v>1</v>
      </c>
      <c r="M1744" s="54">
        <v>20000</v>
      </c>
      <c r="N1744" s="53">
        <f t="shared" si="54"/>
        <v>-20000</v>
      </c>
      <c r="O1744" s="53">
        <f t="shared" si="55"/>
        <v>20000</v>
      </c>
    </row>
    <row r="1745" spans="1:15" x14ac:dyDescent="0.2">
      <c r="A1745" s="51" t="s">
        <v>3567</v>
      </c>
      <c r="B1745" s="51" t="s">
        <v>3568</v>
      </c>
      <c r="C1745" s="51" t="s">
        <v>85</v>
      </c>
      <c r="D1745" s="51" t="s">
        <v>2480</v>
      </c>
      <c r="E1745" s="51" t="s">
        <v>2479</v>
      </c>
      <c r="F1745" s="52">
        <v>6935.9490999999998</v>
      </c>
      <c r="G1745" s="52">
        <v>27760</v>
      </c>
      <c r="H1745" s="52">
        <v>75940</v>
      </c>
      <c r="I1745" s="52">
        <v>103700</v>
      </c>
      <c r="J1745" s="51">
        <v>2</v>
      </c>
      <c r="K1745" s="54">
        <v>15000</v>
      </c>
      <c r="L1745" s="51">
        <v>2</v>
      </c>
      <c r="M1745" s="54">
        <v>85000</v>
      </c>
      <c r="N1745" s="53">
        <f t="shared" si="54"/>
        <v>-70000</v>
      </c>
      <c r="O1745" s="53">
        <f t="shared" si="55"/>
        <v>70000</v>
      </c>
    </row>
    <row r="1746" spans="1:15" x14ac:dyDescent="0.2">
      <c r="A1746" s="51" t="s">
        <v>3567</v>
      </c>
      <c r="B1746" s="51" t="s">
        <v>3568</v>
      </c>
      <c r="C1746" s="51" t="s">
        <v>84</v>
      </c>
      <c r="D1746" s="51" t="s">
        <v>3531</v>
      </c>
      <c r="E1746" s="51" t="s">
        <v>3530</v>
      </c>
      <c r="F1746" s="52">
        <v>4220.5757999999996</v>
      </c>
      <c r="G1746" s="52">
        <v>800</v>
      </c>
      <c r="H1746" s="52">
        <v>0</v>
      </c>
      <c r="I1746" s="52">
        <v>800</v>
      </c>
      <c r="J1746" s="51">
        <v>1</v>
      </c>
      <c r="K1746" s="54">
        <v>5000</v>
      </c>
      <c r="L1746" s="51">
        <v>0</v>
      </c>
      <c r="M1746" s="54">
        <v>0</v>
      </c>
      <c r="N1746" s="53">
        <f t="shared" si="54"/>
        <v>5000</v>
      </c>
      <c r="O1746" s="53">
        <f t="shared" si="55"/>
        <v>-5000</v>
      </c>
    </row>
    <row r="1747" spans="1:15" x14ac:dyDescent="0.2">
      <c r="A1747" s="51" t="s">
        <v>3567</v>
      </c>
      <c r="B1747" s="51" t="s">
        <v>3568</v>
      </c>
      <c r="C1747" s="51" t="s">
        <v>3666</v>
      </c>
      <c r="D1747" s="51" t="s">
        <v>4513</v>
      </c>
      <c r="E1747" s="51" t="s">
        <v>4514</v>
      </c>
      <c r="F1747" s="52">
        <v>0.4366686727246829</v>
      </c>
      <c r="G1747" s="52">
        <v>0</v>
      </c>
      <c r="H1747" s="52">
        <v>0</v>
      </c>
      <c r="I1747" s="52">
        <v>0</v>
      </c>
      <c r="J1747" s="51">
        <v>0</v>
      </c>
      <c r="K1747" s="54">
        <v>0</v>
      </c>
      <c r="L1747" s="51">
        <v>0</v>
      </c>
      <c r="M1747" s="54">
        <v>0</v>
      </c>
      <c r="N1747" s="53">
        <f t="shared" si="54"/>
        <v>0</v>
      </c>
      <c r="O1747" s="53">
        <f t="shared" si="55"/>
        <v>0</v>
      </c>
    </row>
    <row r="1748" spans="1:15" x14ac:dyDescent="0.2">
      <c r="A1748" s="51" t="s">
        <v>3567</v>
      </c>
      <c r="B1748" s="51" t="s">
        <v>3568</v>
      </c>
      <c r="C1748" s="51" t="s">
        <v>63</v>
      </c>
      <c r="D1748" s="51" t="s">
        <v>4525</v>
      </c>
      <c r="E1748" s="51" t="s">
        <v>4033</v>
      </c>
      <c r="F1748" s="52">
        <v>2.6653000012999999</v>
      </c>
      <c r="G1748" s="52">
        <v>0</v>
      </c>
      <c r="H1748" s="52">
        <v>0</v>
      </c>
      <c r="I1748" s="52">
        <v>0</v>
      </c>
      <c r="J1748" s="51">
        <v>0</v>
      </c>
      <c r="K1748" s="54">
        <v>0</v>
      </c>
      <c r="L1748" s="51">
        <v>0</v>
      </c>
      <c r="M1748" s="54">
        <v>0</v>
      </c>
      <c r="N1748" s="53">
        <f t="shared" si="54"/>
        <v>0</v>
      </c>
      <c r="O1748" s="53">
        <f t="shared" si="55"/>
        <v>0</v>
      </c>
    </row>
    <row r="1749" spans="1:15" x14ac:dyDescent="0.2">
      <c r="A1749" s="51" t="s">
        <v>3567</v>
      </c>
      <c r="B1749" s="51" t="s">
        <v>3568</v>
      </c>
      <c r="C1749" s="51" t="s">
        <v>3650</v>
      </c>
      <c r="D1749" s="51" t="s">
        <v>4505</v>
      </c>
      <c r="E1749" s="51" t="s">
        <v>4506</v>
      </c>
      <c r="F1749" s="52">
        <v>107.5261709463974</v>
      </c>
      <c r="G1749" s="52">
        <v>0</v>
      </c>
      <c r="H1749" s="52">
        <v>0</v>
      </c>
      <c r="I1749" s="52">
        <v>0</v>
      </c>
      <c r="J1749" s="51">
        <v>0</v>
      </c>
      <c r="K1749" s="54">
        <v>0</v>
      </c>
      <c r="L1749" s="51">
        <v>0</v>
      </c>
      <c r="M1749" s="54">
        <v>0</v>
      </c>
      <c r="N1749" s="53">
        <f t="shared" si="54"/>
        <v>0</v>
      </c>
      <c r="O1749" s="53">
        <f t="shared" si="55"/>
        <v>0</v>
      </c>
    </row>
    <row r="1750" spans="1:15" x14ac:dyDescent="0.2">
      <c r="A1750" s="51" t="s">
        <v>3567</v>
      </c>
      <c r="B1750" s="51" t="s">
        <v>3568</v>
      </c>
      <c r="C1750" s="51" t="s">
        <v>93</v>
      </c>
      <c r="D1750" s="51" t="s">
        <v>782</v>
      </c>
      <c r="E1750" s="51" t="s">
        <v>781</v>
      </c>
      <c r="F1750" s="52">
        <v>13370.843199999999</v>
      </c>
      <c r="G1750" s="52">
        <v>700</v>
      </c>
      <c r="H1750" s="52">
        <v>8040</v>
      </c>
      <c r="I1750" s="52">
        <v>8740</v>
      </c>
      <c r="J1750" s="51">
        <v>1</v>
      </c>
      <c r="K1750" s="54">
        <v>5000</v>
      </c>
      <c r="L1750" s="51">
        <v>0</v>
      </c>
      <c r="M1750" s="54">
        <v>0</v>
      </c>
      <c r="N1750" s="53">
        <f t="shared" si="54"/>
        <v>5000</v>
      </c>
      <c r="O1750" s="53">
        <f t="shared" si="55"/>
        <v>-5000</v>
      </c>
    </row>
    <row r="1751" spans="1:15" x14ac:dyDescent="0.2">
      <c r="A1751" s="51" t="s">
        <v>3567</v>
      </c>
      <c r="B1751" s="51" t="s">
        <v>3568</v>
      </c>
      <c r="C1751" s="51" t="s">
        <v>78</v>
      </c>
      <c r="D1751" s="51" t="s">
        <v>788</v>
      </c>
      <c r="E1751" s="51" t="s">
        <v>787</v>
      </c>
      <c r="F1751" s="52">
        <v>282.93975440322919</v>
      </c>
      <c r="G1751" s="52">
        <v>2400</v>
      </c>
      <c r="H1751" s="52">
        <v>17890</v>
      </c>
      <c r="I1751" s="52">
        <v>20290</v>
      </c>
      <c r="J1751" s="51">
        <v>0</v>
      </c>
      <c r="K1751" s="54">
        <v>0</v>
      </c>
      <c r="L1751" s="51">
        <v>1</v>
      </c>
      <c r="M1751" s="54">
        <v>25000</v>
      </c>
      <c r="N1751" s="53">
        <f t="shared" si="54"/>
        <v>-25000</v>
      </c>
      <c r="O1751" s="53">
        <f t="shared" si="55"/>
        <v>25000</v>
      </c>
    </row>
    <row r="1752" spans="1:15" x14ac:dyDescent="0.2">
      <c r="A1752" s="51" t="s">
        <v>3567</v>
      </c>
      <c r="B1752" s="51" t="s">
        <v>3568</v>
      </c>
      <c r="C1752" s="51" t="s">
        <v>68</v>
      </c>
      <c r="D1752" s="51" t="s">
        <v>3440</v>
      </c>
      <c r="E1752" s="51" t="s">
        <v>3439</v>
      </c>
      <c r="F1752" s="52">
        <v>11748.73232191516</v>
      </c>
      <c r="G1752" s="52">
        <v>3440</v>
      </c>
      <c r="H1752" s="52">
        <v>2850</v>
      </c>
      <c r="I1752" s="52">
        <v>6290</v>
      </c>
      <c r="J1752" s="51">
        <v>1</v>
      </c>
      <c r="K1752" s="54">
        <v>6000</v>
      </c>
      <c r="L1752" s="51">
        <v>0</v>
      </c>
      <c r="M1752" s="54">
        <v>0</v>
      </c>
      <c r="N1752" s="53">
        <f t="shared" si="54"/>
        <v>6000</v>
      </c>
      <c r="O1752" s="53">
        <f t="shared" si="55"/>
        <v>-6000</v>
      </c>
    </row>
    <row r="1753" spans="1:15" x14ac:dyDescent="0.2">
      <c r="A1753" s="51" t="s">
        <v>3567</v>
      </c>
      <c r="B1753" s="51" t="s">
        <v>3568</v>
      </c>
      <c r="C1753" s="51" t="s">
        <v>80</v>
      </c>
      <c r="D1753" s="51" t="s">
        <v>2883</v>
      </c>
      <c r="E1753" s="51" t="s">
        <v>2882</v>
      </c>
      <c r="F1753" s="52">
        <v>11424.443146367321</v>
      </c>
      <c r="G1753" s="52">
        <v>16950</v>
      </c>
      <c r="H1753" s="52">
        <v>144980</v>
      </c>
      <c r="I1753" s="52">
        <v>161930</v>
      </c>
      <c r="J1753" s="51">
        <v>0</v>
      </c>
      <c r="K1753" s="54">
        <v>0</v>
      </c>
      <c r="L1753" s="51">
        <v>10</v>
      </c>
      <c r="M1753" s="54">
        <v>220000</v>
      </c>
      <c r="N1753" s="53">
        <f t="shared" si="54"/>
        <v>-220000</v>
      </c>
      <c r="O1753" s="53">
        <f t="shared" si="55"/>
        <v>220000</v>
      </c>
    </row>
    <row r="1754" spans="1:15" x14ac:dyDescent="0.2">
      <c r="A1754" s="51" t="s">
        <v>3567</v>
      </c>
      <c r="B1754" s="51" t="s">
        <v>3568</v>
      </c>
      <c r="C1754" s="51" t="s">
        <v>77</v>
      </c>
      <c r="D1754" s="51" t="s">
        <v>2100</v>
      </c>
      <c r="E1754" s="51" t="s">
        <v>2099</v>
      </c>
      <c r="F1754" s="52">
        <v>3741.1676499999999</v>
      </c>
      <c r="G1754" s="52">
        <v>0</v>
      </c>
      <c r="H1754" s="52">
        <v>4100</v>
      </c>
      <c r="I1754" s="52">
        <v>4100</v>
      </c>
      <c r="J1754" s="51">
        <v>0</v>
      </c>
      <c r="K1754" s="54">
        <v>0</v>
      </c>
      <c r="L1754" s="51">
        <v>1</v>
      </c>
      <c r="M1754" s="54">
        <v>5000</v>
      </c>
      <c r="N1754" s="53">
        <f t="shared" si="54"/>
        <v>-5000</v>
      </c>
      <c r="O1754" s="53">
        <f t="shared" si="55"/>
        <v>5000</v>
      </c>
    </row>
    <row r="1755" spans="1:15" x14ac:dyDescent="0.2">
      <c r="A1755" s="51" t="s">
        <v>3567</v>
      </c>
      <c r="B1755" s="51" t="s">
        <v>3568</v>
      </c>
      <c r="C1755" s="51" t="s">
        <v>67</v>
      </c>
      <c r="D1755" s="51" t="s">
        <v>2271</v>
      </c>
      <c r="E1755" s="51" t="s">
        <v>2270</v>
      </c>
      <c r="F1755" s="52">
        <v>20920.257952124801</v>
      </c>
      <c r="G1755" s="52">
        <v>10070</v>
      </c>
      <c r="H1755" s="52">
        <v>27770</v>
      </c>
      <c r="I1755" s="52">
        <v>37840</v>
      </c>
      <c r="J1755" s="51">
        <v>0</v>
      </c>
      <c r="K1755" s="54">
        <v>0</v>
      </c>
      <c r="L1755" s="51">
        <v>1</v>
      </c>
      <c r="M1755" s="54">
        <v>50000</v>
      </c>
      <c r="N1755" s="53">
        <f t="shared" si="54"/>
        <v>-50000</v>
      </c>
      <c r="O1755" s="53">
        <f t="shared" si="55"/>
        <v>50000</v>
      </c>
    </row>
    <row r="1756" spans="1:15" x14ac:dyDescent="0.2">
      <c r="A1756" s="51" t="s">
        <v>3567</v>
      </c>
      <c r="B1756" s="51" t="s">
        <v>3568</v>
      </c>
      <c r="C1756" s="51" t="s">
        <v>63</v>
      </c>
      <c r="D1756" s="51" t="s">
        <v>4507</v>
      </c>
      <c r="E1756" s="51" t="s">
        <v>4508</v>
      </c>
      <c r="F1756" s="52">
        <v>1.9265110574644351</v>
      </c>
      <c r="G1756" s="52">
        <v>0</v>
      </c>
      <c r="H1756" s="52">
        <v>0</v>
      </c>
      <c r="I1756" s="52">
        <v>0</v>
      </c>
      <c r="J1756" s="51">
        <v>0</v>
      </c>
      <c r="K1756" s="54">
        <v>0</v>
      </c>
      <c r="L1756" s="51">
        <v>0</v>
      </c>
      <c r="M1756" s="54">
        <v>0</v>
      </c>
      <c r="N1756" s="53">
        <f t="shared" si="54"/>
        <v>0</v>
      </c>
      <c r="O1756" s="53">
        <f t="shared" si="55"/>
        <v>0</v>
      </c>
    </row>
    <row r="1757" spans="1:15" x14ac:dyDescent="0.2">
      <c r="A1757" s="51" t="s">
        <v>3567</v>
      </c>
      <c r="B1757" s="51" t="s">
        <v>3568</v>
      </c>
      <c r="C1757" s="51" t="s">
        <v>3607</v>
      </c>
      <c r="D1757" s="51" t="s">
        <v>4526</v>
      </c>
      <c r="E1757" s="51" t="s">
        <v>4527</v>
      </c>
      <c r="F1757" s="52">
        <v>23.567497444985928</v>
      </c>
      <c r="G1757" s="52">
        <v>0</v>
      </c>
      <c r="H1757" s="52">
        <v>0</v>
      </c>
      <c r="I1757" s="52">
        <v>0</v>
      </c>
      <c r="J1757" s="51">
        <v>0</v>
      </c>
      <c r="K1757" s="54">
        <v>0</v>
      </c>
      <c r="L1757" s="51">
        <v>0</v>
      </c>
      <c r="M1757" s="54">
        <v>0</v>
      </c>
      <c r="N1757" s="53">
        <f t="shared" si="54"/>
        <v>0</v>
      </c>
      <c r="O1757" s="53">
        <f t="shared" si="55"/>
        <v>0</v>
      </c>
    </row>
    <row r="1758" spans="1:15" x14ac:dyDescent="0.2">
      <c r="A1758" s="51" t="s">
        <v>3567</v>
      </c>
      <c r="B1758" s="51" t="s">
        <v>3568</v>
      </c>
      <c r="C1758" s="51" t="s">
        <v>58</v>
      </c>
      <c r="D1758" s="51" t="s">
        <v>4486</v>
      </c>
      <c r="E1758" s="51" t="s">
        <v>145</v>
      </c>
      <c r="F1758" s="52">
        <v>20046.1126</v>
      </c>
      <c r="G1758" s="52">
        <v>0</v>
      </c>
      <c r="H1758" s="52">
        <v>0</v>
      </c>
      <c r="I1758" s="52">
        <v>0</v>
      </c>
      <c r="J1758" s="51">
        <v>0</v>
      </c>
      <c r="K1758" s="54">
        <v>0</v>
      </c>
      <c r="L1758" s="51">
        <v>0</v>
      </c>
      <c r="M1758" s="54">
        <v>0</v>
      </c>
      <c r="N1758" s="53">
        <f t="shared" si="54"/>
        <v>0</v>
      </c>
      <c r="O1758" s="53">
        <f t="shared" si="55"/>
        <v>0</v>
      </c>
    </row>
    <row r="1759" spans="1:15" x14ac:dyDescent="0.2">
      <c r="A1759" s="51" t="s">
        <v>3567</v>
      </c>
      <c r="B1759" s="51" t="s">
        <v>3568</v>
      </c>
      <c r="C1759" s="51" t="s">
        <v>70</v>
      </c>
      <c r="D1759" s="51" t="s">
        <v>2090</v>
      </c>
      <c r="E1759" s="51" t="s">
        <v>2089</v>
      </c>
      <c r="F1759" s="52">
        <v>1052.1784515139291</v>
      </c>
      <c r="G1759" s="52">
        <v>45000</v>
      </c>
      <c r="H1759" s="52">
        <v>0</v>
      </c>
      <c r="I1759" s="52">
        <v>45000</v>
      </c>
      <c r="J1759" s="51">
        <v>3</v>
      </c>
      <c r="K1759" s="54">
        <v>45000</v>
      </c>
      <c r="L1759" s="51">
        <v>0</v>
      </c>
      <c r="M1759" s="54">
        <v>0</v>
      </c>
      <c r="N1759" s="53">
        <f t="shared" si="54"/>
        <v>45000</v>
      </c>
      <c r="O1759" s="53">
        <f t="shared" si="55"/>
        <v>-45000</v>
      </c>
    </row>
    <row r="1760" spans="1:15" x14ac:dyDescent="0.2">
      <c r="A1760" s="51" t="s">
        <v>3567</v>
      </c>
      <c r="B1760" s="51" t="s">
        <v>3568</v>
      </c>
      <c r="C1760" s="51" t="s">
        <v>87</v>
      </c>
      <c r="D1760" s="51" t="s">
        <v>2046</v>
      </c>
      <c r="E1760" s="51" t="s">
        <v>2045</v>
      </c>
      <c r="F1760" s="52">
        <v>22167.512369498079</v>
      </c>
      <c r="G1760" s="52">
        <v>6940</v>
      </c>
      <c r="H1760" s="52">
        <v>48840</v>
      </c>
      <c r="I1760" s="52">
        <v>55780</v>
      </c>
      <c r="J1760" s="51">
        <v>0</v>
      </c>
      <c r="K1760" s="54">
        <v>0</v>
      </c>
      <c r="L1760" s="51">
        <v>1</v>
      </c>
      <c r="M1760" s="54">
        <v>80000</v>
      </c>
      <c r="N1760" s="53">
        <f t="shared" si="54"/>
        <v>-80000</v>
      </c>
      <c r="O1760" s="53">
        <f t="shared" si="55"/>
        <v>80000</v>
      </c>
    </row>
    <row r="1761" spans="1:15" x14ac:dyDescent="0.2">
      <c r="A1761" s="51" t="s">
        <v>3567</v>
      </c>
      <c r="B1761" s="51" t="s">
        <v>3568</v>
      </c>
      <c r="C1761" s="51" t="s">
        <v>53</v>
      </c>
      <c r="D1761" s="51" t="s">
        <v>780</v>
      </c>
      <c r="E1761" s="51" t="s">
        <v>779</v>
      </c>
      <c r="F1761" s="52">
        <v>7218.581324494844</v>
      </c>
      <c r="G1761" s="52">
        <v>2600</v>
      </c>
      <c r="H1761" s="52">
        <v>2700</v>
      </c>
      <c r="I1761" s="52">
        <v>5300</v>
      </c>
      <c r="J1761" s="51">
        <v>1</v>
      </c>
      <c r="K1761" s="54">
        <v>5000</v>
      </c>
      <c r="L1761" s="51">
        <v>0</v>
      </c>
      <c r="M1761" s="54">
        <v>0</v>
      </c>
      <c r="N1761" s="53">
        <f t="shared" si="54"/>
        <v>5000</v>
      </c>
      <c r="O1761" s="53">
        <f t="shared" si="55"/>
        <v>-5000</v>
      </c>
    </row>
    <row r="1762" spans="1:15" x14ac:dyDescent="0.2">
      <c r="A1762" s="51" t="s">
        <v>3567</v>
      </c>
      <c r="B1762" s="51" t="s">
        <v>3568</v>
      </c>
      <c r="C1762" s="51" t="s">
        <v>87</v>
      </c>
      <c r="D1762" s="51" t="s">
        <v>3519</v>
      </c>
      <c r="E1762" s="51" t="s">
        <v>3518</v>
      </c>
      <c r="F1762" s="52">
        <v>16198.549499999999</v>
      </c>
      <c r="G1762" s="52">
        <v>0</v>
      </c>
      <c r="H1762" s="52">
        <v>3410</v>
      </c>
      <c r="I1762" s="52">
        <v>3410</v>
      </c>
      <c r="J1762" s="51">
        <v>1</v>
      </c>
      <c r="K1762" s="54">
        <v>10000</v>
      </c>
      <c r="L1762" s="51">
        <v>1</v>
      </c>
      <c r="M1762" s="54">
        <v>4000</v>
      </c>
      <c r="N1762" s="53">
        <f t="shared" si="54"/>
        <v>6000</v>
      </c>
      <c r="O1762" s="53">
        <f t="shared" si="55"/>
        <v>-6000</v>
      </c>
    </row>
    <row r="1763" spans="1:15" x14ac:dyDescent="0.2">
      <c r="A1763" s="51" t="s">
        <v>3567</v>
      </c>
      <c r="B1763" s="51" t="s">
        <v>3568</v>
      </c>
      <c r="C1763" s="51" t="s">
        <v>63</v>
      </c>
      <c r="D1763" s="51" t="s">
        <v>483</v>
      </c>
      <c r="E1763" s="51" t="s">
        <v>482</v>
      </c>
      <c r="F1763" s="52">
        <v>4074.2282319999999</v>
      </c>
      <c r="G1763" s="52">
        <v>4260</v>
      </c>
      <c r="H1763" s="52">
        <v>10100</v>
      </c>
      <c r="I1763" s="52">
        <v>14360</v>
      </c>
      <c r="J1763" s="51">
        <v>0</v>
      </c>
      <c r="K1763" s="54">
        <v>0</v>
      </c>
      <c r="L1763" s="51">
        <v>1</v>
      </c>
      <c r="M1763" s="54">
        <v>5000</v>
      </c>
      <c r="N1763" s="53">
        <f t="shared" si="54"/>
        <v>-5000</v>
      </c>
      <c r="O1763" s="53">
        <f t="shared" si="55"/>
        <v>5000</v>
      </c>
    </row>
    <row r="1764" spans="1:15" x14ac:dyDescent="0.2">
      <c r="A1764" s="51" t="s">
        <v>3567</v>
      </c>
      <c r="B1764" s="51" t="s">
        <v>3568</v>
      </c>
      <c r="C1764" s="51" t="s">
        <v>54</v>
      </c>
      <c r="D1764" s="51" t="s">
        <v>170</v>
      </c>
      <c r="E1764" s="51" t="s">
        <v>169</v>
      </c>
      <c r="F1764" s="52">
        <v>1502.0373500000001</v>
      </c>
      <c r="G1764" s="52">
        <v>30100</v>
      </c>
      <c r="H1764" s="52">
        <v>30860</v>
      </c>
      <c r="I1764" s="52">
        <v>60960</v>
      </c>
      <c r="J1764" s="51">
        <v>0</v>
      </c>
      <c r="K1764" s="54">
        <v>0</v>
      </c>
      <c r="L1764" s="51">
        <v>1</v>
      </c>
      <c r="M1764" s="54">
        <v>5000</v>
      </c>
      <c r="N1764" s="53">
        <f t="shared" si="54"/>
        <v>-5000</v>
      </c>
      <c r="O1764" s="53">
        <f t="shared" si="55"/>
        <v>5000</v>
      </c>
    </row>
    <row r="1765" spans="1:15" x14ac:dyDescent="0.2">
      <c r="A1765" s="51" t="s">
        <v>3567</v>
      </c>
      <c r="B1765" s="51" t="s">
        <v>3568</v>
      </c>
      <c r="C1765" s="51" t="s">
        <v>60</v>
      </c>
      <c r="D1765" s="51" t="s">
        <v>2905</v>
      </c>
      <c r="E1765" s="51" t="s">
        <v>2904</v>
      </c>
      <c r="F1765" s="52">
        <v>5280.558853974112</v>
      </c>
      <c r="G1765" s="52">
        <v>0</v>
      </c>
      <c r="H1765" s="52">
        <v>0</v>
      </c>
      <c r="I1765" s="52">
        <v>0</v>
      </c>
      <c r="J1765" s="51">
        <v>1</v>
      </c>
      <c r="K1765" s="54">
        <v>5000</v>
      </c>
      <c r="L1765" s="51">
        <v>0</v>
      </c>
      <c r="M1765" s="54">
        <v>0</v>
      </c>
      <c r="N1765" s="53">
        <f t="shared" si="54"/>
        <v>5000</v>
      </c>
      <c r="O1765" s="53">
        <f t="shared" si="55"/>
        <v>-5000</v>
      </c>
    </row>
    <row r="1766" spans="1:15" x14ac:dyDescent="0.2">
      <c r="A1766" s="51" t="s">
        <v>3567</v>
      </c>
      <c r="B1766" s="51" t="s">
        <v>3568</v>
      </c>
      <c r="C1766" s="51" t="s">
        <v>3756</v>
      </c>
      <c r="D1766" s="51" t="s">
        <v>4511</v>
      </c>
      <c r="E1766" s="51" t="s">
        <v>4512</v>
      </c>
      <c r="F1766" s="52">
        <v>2.218265760643868</v>
      </c>
      <c r="G1766" s="52">
        <v>0</v>
      </c>
      <c r="H1766" s="52">
        <v>0</v>
      </c>
      <c r="I1766" s="52">
        <v>0</v>
      </c>
      <c r="J1766" s="51">
        <v>0</v>
      </c>
      <c r="K1766" s="54">
        <v>0</v>
      </c>
      <c r="L1766" s="51">
        <v>0</v>
      </c>
      <c r="M1766" s="54">
        <v>0</v>
      </c>
      <c r="N1766" s="53">
        <f t="shared" si="54"/>
        <v>0</v>
      </c>
      <c r="O1766" s="53">
        <f t="shared" si="55"/>
        <v>0</v>
      </c>
    </row>
    <row r="1767" spans="1:15" x14ac:dyDescent="0.2">
      <c r="A1767" s="51" t="s">
        <v>3567</v>
      </c>
      <c r="B1767" s="51" t="s">
        <v>3568</v>
      </c>
      <c r="C1767" s="51" t="s">
        <v>87</v>
      </c>
      <c r="D1767" s="51" t="s">
        <v>1451</v>
      </c>
      <c r="E1767" s="51" t="s">
        <v>1450</v>
      </c>
      <c r="F1767" s="52">
        <v>18.803913585044398</v>
      </c>
      <c r="G1767" s="52">
        <v>0</v>
      </c>
      <c r="H1767" s="52">
        <v>4980</v>
      </c>
      <c r="I1767" s="52">
        <v>4980</v>
      </c>
      <c r="J1767" s="51">
        <v>0</v>
      </c>
      <c r="K1767" s="54">
        <v>0</v>
      </c>
      <c r="L1767" s="51">
        <v>1</v>
      </c>
      <c r="M1767" s="54">
        <v>5000</v>
      </c>
      <c r="N1767" s="53">
        <f t="shared" si="54"/>
        <v>-5000</v>
      </c>
      <c r="O1767" s="53">
        <f t="shared" si="55"/>
        <v>5000</v>
      </c>
    </row>
    <row r="1768" spans="1:15" x14ac:dyDescent="0.2">
      <c r="A1768" s="51" t="s">
        <v>3567</v>
      </c>
      <c r="B1768" s="51" t="s">
        <v>3568</v>
      </c>
      <c r="C1768" s="51" t="s">
        <v>85</v>
      </c>
      <c r="D1768" s="51" t="s">
        <v>265</v>
      </c>
      <c r="E1768" s="51" t="s">
        <v>264</v>
      </c>
      <c r="F1768" s="52">
        <v>20.970400000000001</v>
      </c>
      <c r="G1768" s="52">
        <v>0</v>
      </c>
      <c r="H1768" s="52">
        <v>0</v>
      </c>
      <c r="I1768" s="52">
        <v>0</v>
      </c>
      <c r="J1768" s="51">
        <v>0</v>
      </c>
      <c r="K1768" s="54">
        <v>0</v>
      </c>
      <c r="L1768" s="51">
        <v>0</v>
      </c>
      <c r="M1768" s="54">
        <v>0</v>
      </c>
      <c r="N1768" s="53">
        <f t="shared" si="54"/>
        <v>0</v>
      </c>
      <c r="O1768" s="53">
        <f t="shared" si="55"/>
        <v>0</v>
      </c>
    </row>
    <row r="1769" spans="1:15" x14ac:dyDescent="0.2">
      <c r="A1769" s="51" t="s">
        <v>3567</v>
      </c>
      <c r="B1769" s="51" t="s">
        <v>3568</v>
      </c>
      <c r="C1769" s="51" t="s">
        <v>78</v>
      </c>
      <c r="D1769" s="51" t="s">
        <v>857</v>
      </c>
      <c r="E1769" s="51" t="s">
        <v>856</v>
      </c>
      <c r="F1769" s="52">
        <v>7823.9254000000001</v>
      </c>
      <c r="G1769" s="52">
        <v>0</v>
      </c>
      <c r="H1769" s="52">
        <v>0</v>
      </c>
      <c r="I1769" s="52">
        <v>0</v>
      </c>
      <c r="J1769" s="51">
        <v>1</v>
      </c>
      <c r="K1769" s="54">
        <v>6000</v>
      </c>
      <c r="L1769" s="51">
        <v>0</v>
      </c>
      <c r="M1769" s="54">
        <v>0</v>
      </c>
      <c r="N1769" s="53">
        <f t="shared" si="54"/>
        <v>6000</v>
      </c>
      <c r="O1769" s="53">
        <f t="shared" si="55"/>
        <v>-6000</v>
      </c>
    </row>
    <row r="1770" spans="1:15" x14ac:dyDescent="0.2">
      <c r="A1770" s="51" t="s">
        <v>3567</v>
      </c>
      <c r="B1770" s="51" t="s">
        <v>3568</v>
      </c>
      <c r="C1770" s="51" t="s">
        <v>3864</v>
      </c>
      <c r="D1770" s="51" t="s">
        <v>4538</v>
      </c>
      <c r="E1770" s="51" t="s">
        <v>4539</v>
      </c>
      <c r="F1770" s="52">
        <v>11.887749188066531</v>
      </c>
      <c r="G1770" s="52">
        <v>0</v>
      </c>
      <c r="H1770" s="52">
        <v>0</v>
      </c>
      <c r="I1770" s="52">
        <v>0</v>
      </c>
      <c r="J1770" s="51">
        <v>0</v>
      </c>
      <c r="K1770" s="54">
        <v>0</v>
      </c>
      <c r="L1770" s="51">
        <v>0</v>
      </c>
      <c r="M1770" s="54">
        <v>0</v>
      </c>
      <c r="N1770" s="53">
        <f t="shared" si="54"/>
        <v>0</v>
      </c>
      <c r="O1770" s="53">
        <f t="shared" si="55"/>
        <v>0</v>
      </c>
    </row>
    <row r="1771" spans="1:15" x14ac:dyDescent="0.2">
      <c r="A1771" s="51" t="s">
        <v>3567</v>
      </c>
      <c r="B1771" s="51" t="s">
        <v>3568</v>
      </c>
      <c r="C1771" s="51" t="s">
        <v>3650</v>
      </c>
      <c r="D1771" s="51" t="s">
        <v>4542</v>
      </c>
      <c r="E1771" s="51" t="s">
        <v>4543</v>
      </c>
      <c r="F1771" s="52">
        <v>6.5263137000000002</v>
      </c>
      <c r="G1771" s="52">
        <v>0</v>
      </c>
      <c r="H1771" s="52">
        <v>0</v>
      </c>
      <c r="I1771" s="52">
        <v>0</v>
      </c>
      <c r="J1771" s="51">
        <v>0</v>
      </c>
      <c r="K1771" s="54">
        <v>0</v>
      </c>
      <c r="L1771" s="51">
        <v>0</v>
      </c>
      <c r="M1771" s="54">
        <v>0</v>
      </c>
      <c r="N1771" s="53">
        <f t="shared" si="54"/>
        <v>0</v>
      </c>
      <c r="O1771" s="53">
        <f t="shared" si="55"/>
        <v>0</v>
      </c>
    </row>
    <row r="1772" spans="1:15" x14ac:dyDescent="0.2">
      <c r="A1772" s="51" t="s">
        <v>3567</v>
      </c>
      <c r="B1772" s="51" t="s">
        <v>3568</v>
      </c>
      <c r="C1772" s="51" t="s">
        <v>3763</v>
      </c>
      <c r="D1772" s="51" t="s">
        <v>4536</v>
      </c>
      <c r="E1772" s="51" t="s">
        <v>4537</v>
      </c>
      <c r="F1772" s="52">
        <v>10.886762604607551</v>
      </c>
      <c r="G1772" s="52">
        <v>0</v>
      </c>
      <c r="H1772" s="52">
        <v>0</v>
      </c>
      <c r="I1772" s="52">
        <v>0</v>
      </c>
      <c r="J1772" s="51">
        <v>0</v>
      </c>
      <c r="K1772" s="54">
        <v>0</v>
      </c>
      <c r="L1772" s="51">
        <v>0</v>
      </c>
      <c r="M1772" s="54">
        <v>0</v>
      </c>
      <c r="N1772" s="53">
        <f t="shared" si="54"/>
        <v>0</v>
      </c>
      <c r="O1772" s="53">
        <f t="shared" si="55"/>
        <v>0</v>
      </c>
    </row>
    <row r="1773" spans="1:15" x14ac:dyDescent="0.2">
      <c r="A1773" s="51" t="s">
        <v>3567</v>
      </c>
      <c r="B1773" s="51" t="s">
        <v>3568</v>
      </c>
      <c r="C1773" s="51" t="s">
        <v>72</v>
      </c>
      <c r="D1773" s="51" t="s">
        <v>2182</v>
      </c>
      <c r="E1773" s="51" t="s">
        <v>881</v>
      </c>
      <c r="F1773" s="52">
        <v>7437.5931416361873</v>
      </c>
      <c r="G1773" s="52">
        <v>2020</v>
      </c>
      <c r="H1773" s="52">
        <v>390</v>
      </c>
      <c r="I1773" s="52">
        <v>2410</v>
      </c>
      <c r="J1773" s="51">
        <v>1</v>
      </c>
      <c r="K1773" s="54">
        <v>6000</v>
      </c>
      <c r="L1773" s="51">
        <v>0</v>
      </c>
      <c r="M1773" s="54">
        <v>0</v>
      </c>
      <c r="N1773" s="53">
        <f t="shared" si="54"/>
        <v>6000</v>
      </c>
      <c r="O1773" s="53">
        <f t="shared" si="55"/>
        <v>-6000</v>
      </c>
    </row>
    <row r="1774" spans="1:15" x14ac:dyDescent="0.2">
      <c r="A1774" s="51" t="s">
        <v>3567</v>
      </c>
      <c r="B1774" s="51" t="s">
        <v>3568</v>
      </c>
      <c r="C1774" s="51" t="s">
        <v>92</v>
      </c>
      <c r="D1774" s="51" t="s">
        <v>3141</v>
      </c>
      <c r="E1774" s="51" t="s">
        <v>3140</v>
      </c>
      <c r="F1774" s="52">
        <v>4962.8155763380464</v>
      </c>
      <c r="G1774" s="52">
        <v>0</v>
      </c>
      <c r="H1774" s="52">
        <v>227</v>
      </c>
      <c r="I1774" s="52">
        <v>227</v>
      </c>
      <c r="J1774" s="51">
        <v>1</v>
      </c>
      <c r="K1774" s="54">
        <v>4000</v>
      </c>
      <c r="L1774" s="51">
        <v>0</v>
      </c>
      <c r="M1774" s="54">
        <v>0</v>
      </c>
      <c r="N1774" s="53">
        <f t="shared" si="54"/>
        <v>4000</v>
      </c>
      <c r="O1774" s="53">
        <f t="shared" si="55"/>
        <v>-4000</v>
      </c>
    </row>
    <row r="1775" spans="1:15" x14ac:dyDescent="0.2">
      <c r="A1775" s="51" t="s">
        <v>3567</v>
      </c>
      <c r="B1775" s="51" t="s">
        <v>3568</v>
      </c>
      <c r="C1775" s="51" t="s">
        <v>71</v>
      </c>
      <c r="D1775" s="51" t="s">
        <v>4540</v>
      </c>
      <c r="E1775" s="51" t="s">
        <v>4541</v>
      </c>
      <c r="F1775" s="52">
        <v>1.84463889262627</v>
      </c>
      <c r="G1775" s="52">
        <v>0</v>
      </c>
      <c r="H1775" s="52">
        <v>0</v>
      </c>
      <c r="I1775" s="52">
        <v>0</v>
      </c>
      <c r="J1775" s="51">
        <v>0</v>
      </c>
      <c r="K1775" s="54">
        <v>0</v>
      </c>
      <c r="L1775" s="51">
        <v>0</v>
      </c>
      <c r="M1775" s="54">
        <v>0</v>
      </c>
      <c r="N1775" s="53">
        <f t="shared" si="54"/>
        <v>0</v>
      </c>
      <c r="O1775" s="53">
        <f t="shared" si="55"/>
        <v>0</v>
      </c>
    </row>
    <row r="1776" spans="1:15" x14ac:dyDescent="0.2">
      <c r="A1776" s="51" t="s">
        <v>3567</v>
      </c>
      <c r="B1776" s="51" t="s">
        <v>3568</v>
      </c>
      <c r="C1776" s="51" t="s">
        <v>75</v>
      </c>
      <c r="D1776" s="51" t="s">
        <v>718</v>
      </c>
      <c r="E1776" s="51" t="s">
        <v>717</v>
      </c>
      <c r="F1776" s="52">
        <v>10779.507799999999</v>
      </c>
      <c r="G1776" s="52">
        <v>3410</v>
      </c>
      <c r="H1776" s="52">
        <v>7220</v>
      </c>
      <c r="I1776" s="52">
        <v>10630</v>
      </c>
      <c r="J1776" s="51">
        <v>0</v>
      </c>
      <c r="K1776" s="54">
        <v>0</v>
      </c>
      <c r="L1776" s="51">
        <v>1</v>
      </c>
      <c r="M1776" s="54">
        <v>10000</v>
      </c>
      <c r="N1776" s="53">
        <f t="shared" si="54"/>
        <v>-10000</v>
      </c>
      <c r="O1776" s="53">
        <f t="shared" si="55"/>
        <v>10000</v>
      </c>
    </row>
    <row r="1777" spans="1:15" x14ac:dyDescent="0.2">
      <c r="A1777" s="51" t="s">
        <v>3567</v>
      </c>
      <c r="B1777" s="51" t="s">
        <v>3568</v>
      </c>
      <c r="C1777" s="51" t="s">
        <v>72</v>
      </c>
      <c r="D1777" s="51" t="s">
        <v>1272</v>
      </c>
      <c r="E1777" s="51" t="s">
        <v>1271</v>
      </c>
      <c r="F1777" s="52">
        <v>2.7961353477999999</v>
      </c>
      <c r="G1777" s="52">
        <v>0</v>
      </c>
      <c r="H1777" s="52">
        <v>0</v>
      </c>
      <c r="I1777" s="52">
        <v>0</v>
      </c>
      <c r="J1777" s="51">
        <v>0</v>
      </c>
      <c r="K1777" s="54">
        <v>0</v>
      </c>
      <c r="L1777" s="51">
        <v>0</v>
      </c>
      <c r="M1777" s="54">
        <v>0</v>
      </c>
      <c r="N1777" s="53">
        <f t="shared" si="54"/>
        <v>0</v>
      </c>
      <c r="O1777" s="53">
        <f t="shared" si="55"/>
        <v>0</v>
      </c>
    </row>
    <row r="1778" spans="1:15" x14ac:dyDescent="0.2">
      <c r="A1778" s="51" t="s">
        <v>3567</v>
      </c>
      <c r="B1778" s="51" t="s">
        <v>3568</v>
      </c>
      <c r="C1778" s="51" t="s">
        <v>86</v>
      </c>
      <c r="D1778" s="51" t="s">
        <v>2833</v>
      </c>
      <c r="E1778" s="51" t="s">
        <v>2832</v>
      </c>
      <c r="F1778" s="52">
        <v>2715.0751559618002</v>
      </c>
      <c r="G1778" s="52">
        <v>2410</v>
      </c>
      <c r="H1778" s="52">
        <v>500</v>
      </c>
      <c r="I1778" s="52">
        <v>2910</v>
      </c>
      <c r="J1778" s="51">
        <v>1</v>
      </c>
      <c r="K1778" s="54">
        <v>5000</v>
      </c>
      <c r="L1778" s="51">
        <v>0</v>
      </c>
      <c r="M1778" s="54">
        <v>0</v>
      </c>
      <c r="N1778" s="53">
        <f t="shared" si="54"/>
        <v>5000</v>
      </c>
      <c r="O1778" s="53">
        <f t="shared" si="55"/>
        <v>-5000</v>
      </c>
    </row>
    <row r="1779" spans="1:15" x14ac:dyDescent="0.2">
      <c r="A1779" s="51" t="s">
        <v>3567</v>
      </c>
      <c r="B1779" s="51" t="s">
        <v>3568</v>
      </c>
      <c r="C1779" s="51" t="s">
        <v>60</v>
      </c>
      <c r="D1779" s="51" t="s">
        <v>1347</v>
      </c>
      <c r="E1779" s="51" t="s">
        <v>1346</v>
      </c>
      <c r="F1779" s="52">
        <v>23666.890942923361</v>
      </c>
      <c r="G1779" s="52">
        <v>15300</v>
      </c>
      <c r="H1779" s="52">
        <v>32120</v>
      </c>
      <c r="I1779" s="52">
        <v>47420</v>
      </c>
      <c r="J1779" s="51">
        <v>1</v>
      </c>
      <c r="K1779" s="54">
        <v>5000</v>
      </c>
      <c r="L1779" s="51">
        <v>0</v>
      </c>
      <c r="M1779" s="54">
        <v>0</v>
      </c>
      <c r="N1779" s="53">
        <f t="shared" si="54"/>
        <v>5000</v>
      </c>
      <c r="O1779" s="53">
        <f t="shared" si="55"/>
        <v>-5000</v>
      </c>
    </row>
    <row r="1780" spans="1:15" x14ac:dyDescent="0.2">
      <c r="A1780" s="51" t="s">
        <v>3567</v>
      </c>
      <c r="B1780" s="51" t="s">
        <v>3568</v>
      </c>
      <c r="C1780" s="51" t="s">
        <v>73</v>
      </c>
      <c r="D1780" s="51" t="s">
        <v>2488</v>
      </c>
      <c r="E1780" s="51" t="s">
        <v>2487</v>
      </c>
      <c r="F1780" s="52">
        <v>6337.4137000000001</v>
      </c>
      <c r="G1780" s="52">
        <v>0</v>
      </c>
      <c r="H1780" s="52">
        <v>0</v>
      </c>
      <c r="I1780" s="52">
        <v>0</v>
      </c>
      <c r="J1780" s="51">
        <v>1</v>
      </c>
      <c r="K1780" s="54">
        <v>6000</v>
      </c>
      <c r="L1780" s="51">
        <v>0</v>
      </c>
      <c r="M1780" s="54">
        <v>0</v>
      </c>
      <c r="N1780" s="53">
        <f t="shared" si="54"/>
        <v>6000</v>
      </c>
      <c r="O1780" s="53">
        <f t="shared" si="55"/>
        <v>-6000</v>
      </c>
    </row>
    <row r="1781" spans="1:15" x14ac:dyDescent="0.2">
      <c r="A1781" s="51" t="s">
        <v>3567</v>
      </c>
      <c r="B1781" s="51" t="s">
        <v>3568</v>
      </c>
      <c r="C1781" s="51" t="s">
        <v>63</v>
      </c>
      <c r="D1781" s="51" t="s">
        <v>2846</v>
      </c>
      <c r="E1781" s="51" t="s">
        <v>2845</v>
      </c>
      <c r="F1781" s="52">
        <v>33687.250607973598</v>
      </c>
      <c r="G1781" s="52">
        <v>1750</v>
      </c>
      <c r="H1781" s="52">
        <v>6670</v>
      </c>
      <c r="I1781" s="52">
        <v>8420</v>
      </c>
      <c r="J1781" s="51">
        <v>0</v>
      </c>
      <c r="K1781" s="54">
        <v>0</v>
      </c>
      <c r="L1781" s="51">
        <v>1</v>
      </c>
      <c r="M1781" s="54">
        <v>70000</v>
      </c>
      <c r="N1781" s="53">
        <f t="shared" si="54"/>
        <v>-70000</v>
      </c>
      <c r="O1781" s="53">
        <f t="shared" si="55"/>
        <v>70000</v>
      </c>
    </row>
    <row r="1782" spans="1:15" x14ac:dyDescent="0.2">
      <c r="A1782" s="51" t="s">
        <v>3567</v>
      </c>
      <c r="B1782" s="51" t="s">
        <v>3568</v>
      </c>
      <c r="C1782" s="51" t="s">
        <v>53</v>
      </c>
      <c r="D1782" s="51" t="s">
        <v>3208</v>
      </c>
      <c r="E1782" s="51" t="s">
        <v>3207</v>
      </c>
      <c r="F1782" s="52">
        <v>11475.4059</v>
      </c>
      <c r="G1782" s="52">
        <v>1750</v>
      </c>
      <c r="H1782" s="52">
        <v>3730</v>
      </c>
      <c r="I1782" s="52">
        <v>5480</v>
      </c>
      <c r="J1782" s="51">
        <v>1</v>
      </c>
      <c r="K1782" s="54">
        <v>5000</v>
      </c>
      <c r="L1782" s="51">
        <v>0</v>
      </c>
      <c r="M1782" s="54">
        <v>0</v>
      </c>
      <c r="N1782" s="53">
        <f t="shared" si="54"/>
        <v>5000</v>
      </c>
      <c r="O1782" s="53">
        <f t="shared" si="55"/>
        <v>-5000</v>
      </c>
    </row>
    <row r="1783" spans="1:15" x14ac:dyDescent="0.2">
      <c r="A1783" s="51" t="s">
        <v>3567</v>
      </c>
      <c r="B1783" s="51" t="s">
        <v>3568</v>
      </c>
      <c r="C1783" s="51" t="s">
        <v>3590</v>
      </c>
      <c r="D1783" s="51" t="s">
        <v>4523</v>
      </c>
      <c r="E1783" s="51" t="s">
        <v>4524</v>
      </c>
      <c r="F1783" s="52">
        <v>54.010300000000001</v>
      </c>
      <c r="G1783" s="52">
        <v>0</v>
      </c>
      <c r="H1783" s="52">
        <v>0</v>
      </c>
      <c r="I1783" s="52">
        <v>0</v>
      </c>
      <c r="J1783" s="51">
        <v>0</v>
      </c>
      <c r="K1783" s="54">
        <v>0</v>
      </c>
      <c r="L1783" s="51">
        <v>0</v>
      </c>
      <c r="M1783" s="54">
        <v>0</v>
      </c>
      <c r="N1783" s="53">
        <f t="shared" si="54"/>
        <v>0</v>
      </c>
      <c r="O1783" s="53">
        <f t="shared" si="55"/>
        <v>0</v>
      </c>
    </row>
    <row r="1784" spans="1:15" x14ac:dyDescent="0.2">
      <c r="A1784" s="51" t="s">
        <v>3567</v>
      </c>
      <c r="B1784" s="51" t="s">
        <v>3568</v>
      </c>
      <c r="C1784" s="51" t="s">
        <v>67</v>
      </c>
      <c r="D1784" s="51" t="s">
        <v>558</v>
      </c>
      <c r="E1784" s="51" t="s">
        <v>557</v>
      </c>
      <c r="F1784" s="52">
        <v>4489.8170548344506</v>
      </c>
      <c r="G1784" s="52">
        <v>1560</v>
      </c>
      <c r="H1784" s="52">
        <v>1440</v>
      </c>
      <c r="I1784" s="52">
        <v>3000</v>
      </c>
      <c r="J1784" s="51">
        <v>0</v>
      </c>
      <c r="K1784" s="54">
        <v>0</v>
      </c>
      <c r="L1784" s="51">
        <v>1</v>
      </c>
      <c r="M1784" s="54">
        <v>5000</v>
      </c>
      <c r="N1784" s="53">
        <f t="shared" si="54"/>
        <v>-5000</v>
      </c>
      <c r="O1784" s="53">
        <f t="shared" si="55"/>
        <v>5000</v>
      </c>
    </row>
    <row r="1785" spans="1:15" x14ac:dyDescent="0.2">
      <c r="A1785" s="51" t="s">
        <v>3567</v>
      </c>
      <c r="B1785" s="51" t="s">
        <v>3568</v>
      </c>
      <c r="C1785" s="51" t="s">
        <v>75</v>
      </c>
      <c r="D1785" s="51" t="s">
        <v>4497</v>
      </c>
      <c r="E1785" s="51" t="s">
        <v>4498</v>
      </c>
      <c r="F1785" s="52">
        <v>4.80152</v>
      </c>
      <c r="G1785" s="52">
        <v>0</v>
      </c>
      <c r="H1785" s="52">
        <v>0</v>
      </c>
      <c r="I1785" s="52">
        <v>0</v>
      </c>
      <c r="J1785" s="51">
        <v>0</v>
      </c>
      <c r="K1785" s="54">
        <v>0</v>
      </c>
      <c r="L1785" s="51">
        <v>0</v>
      </c>
      <c r="M1785" s="54">
        <v>0</v>
      </c>
      <c r="N1785" s="53">
        <f t="shared" si="54"/>
        <v>0</v>
      </c>
      <c r="O1785" s="53">
        <f t="shared" si="55"/>
        <v>0</v>
      </c>
    </row>
    <row r="1786" spans="1:15" x14ac:dyDescent="0.2">
      <c r="A1786" s="51" t="s">
        <v>3567</v>
      </c>
      <c r="B1786" s="51" t="s">
        <v>3568</v>
      </c>
      <c r="C1786" s="51" t="s">
        <v>63</v>
      </c>
      <c r="D1786" s="51" t="s">
        <v>377</v>
      </c>
      <c r="E1786" s="51" t="s">
        <v>376</v>
      </c>
      <c r="F1786" s="52">
        <v>9397.8137999999999</v>
      </c>
      <c r="G1786" s="52">
        <v>2100</v>
      </c>
      <c r="H1786" s="52">
        <v>0</v>
      </c>
      <c r="I1786" s="52">
        <v>2100</v>
      </c>
      <c r="J1786" s="51">
        <v>1</v>
      </c>
      <c r="K1786" s="54">
        <v>5000</v>
      </c>
      <c r="L1786" s="51">
        <v>0</v>
      </c>
      <c r="M1786" s="54">
        <v>0</v>
      </c>
      <c r="N1786" s="53">
        <f t="shared" si="54"/>
        <v>5000</v>
      </c>
      <c r="O1786" s="53">
        <f t="shared" si="55"/>
        <v>-5000</v>
      </c>
    </row>
    <row r="1787" spans="1:15" x14ac:dyDescent="0.2">
      <c r="A1787" s="51" t="s">
        <v>3567</v>
      </c>
      <c r="B1787" s="51" t="s">
        <v>3568</v>
      </c>
      <c r="C1787" s="51" t="s">
        <v>70</v>
      </c>
      <c r="D1787" s="51" t="s">
        <v>2444</v>
      </c>
      <c r="E1787" s="51" t="s">
        <v>2443</v>
      </c>
      <c r="F1787" s="52">
        <v>477.54050000000001</v>
      </c>
      <c r="G1787" s="52">
        <v>3800</v>
      </c>
      <c r="H1787" s="52">
        <v>50150</v>
      </c>
      <c r="I1787" s="52">
        <v>53950</v>
      </c>
      <c r="J1787" s="51">
        <v>1</v>
      </c>
      <c r="K1787" s="54">
        <v>5000</v>
      </c>
      <c r="L1787" s="51">
        <v>2</v>
      </c>
      <c r="M1787" s="54">
        <v>54000</v>
      </c>
      <c r="N1787" s="53">
        <f t="shared" si="54"/>
        <v>-49000</v>
      </c>
      <c r="O1787" s="53">
        <f t="shared" si="55"/>
        <v>49000</v>
      </c>
    </row>
    <row r="1788" spans="1:15" x14ac:dyDescent="0.2">
      <c r="A1788" s="51" t="s">
        <v>3567</v>
      </c>
      <c r="B1788" s="51" t="s">
        <v>3568</v>
      </c>
      <c r="C1788" s="51" t="s">
        <v>52</v>
      </c>
      <c r="D1788" s="51" t="s">
        <v>2568</v>
      </c>
      <c r="E1788" s="51" t="s">
        <v>2567</v>
      </c>
      <c r="F1788" s="52">
        <v>13624.181750915421</v>
      </c>
      <c r="G1788" s="52">
        <v>0</v>
      </c>
      <c r="H1788" s="52">
        <v>500</v>
      </c>
      <c r="I1788" s="52">
        <v>500</v>
      </c>
      <c r="J1788" s="51">
        <v>0</v>
      </c>
      <c r="K1788" s="54">
        <v>0</v>
      </c>
      <c r="L1788" s="51">
        <v>1</v>
      </c>
      <c r="M1788" s="54">
        <v>6000</v>
      </c>
      <c r="N1788" s="53">
        <f t="shared" si="54"/>
        <v>-6000</v>
      </c>
      <c r="O1788" s="53">
        <f t="shared" si="55"/>
        <v>6000</v>
      </c>
    </row>
    <row r="1789" spans="1:15" x14ac:dyDescent="0.2">
      <c r="A1789" s="51" t="s">
        <v>3567</v>
      </c>
      <c r="B1789" s="51" t="s">
        <v>3568</v>
      </c>
      <c r="C1789" s="51" t="s">
        <v>3786</v>
      </c>
      <c r="D1789" s="51" t="s">
        <v>4479</v>
      </c>
      <c r="E1789" s="51" t="s">
        <v>4480</v>
      </c>
      <c r="F1789" s="52">
        <v>2.9605364053270482</v>
      </c>
      <c r="G1789" s="52">
        <v>0</v>
      </c>
      <c r="H1789" s="52">
        <v>0</v>
      </c>
      <c r="I1789" s="52">
        <v>0</v>
      </c>
      <c r="J1789" s="51">
        <v>0</v>
      </c>
      <c r="K1789" s="54">
        <v>0</v>
      </c>
      <c r="L1789" s="51">
        <v>0</v>
      </c>
      <c r="M1789" s="54">
        <v>0</v>
      </c>
      <c r="N1789" s="53">
        <f t="shared" si="54"/>
        <v>0</v>
      </c>
      <c r="O1789" s="53">
        <f t="shared" si="55"/>
        <v>0</v>
      </c>
    </row>
    <row r="1790" spans="1:15" x14ac:dyDescent="0.2">
      <c r="A1790" s="51" t="s">
        <v>3567</v>
      </c>
      <c r="B1790" s="51" t="s">
        <v>3568</v>
      </c>
      <c r="C1790" s="51" t="s">
        <v>59</v>
      </c>
      <c r="D1790" s="51" t="s">
        <v>2893</v>
      </c>
      <c r="E1790" s="51" t="s">
        <v>2892</v>
      </c>
      <c r="F1790" s="52">
        <v>43890.469048356499</v>
      </c>
      <c r="G1790" s="52">
        <v>52485</v>
      </c>
      <c r="H1790" s="52">
        <v>10690</v>
      </c>
      <c r="I1790" s="52">
        <v>63175</v>
      </c>
      <c r="J1790" s="51">
        <v>3</v>
      </c>
      <c r="K1790" s="54">
        <v>65000</v>
      </c>
      <c r="L1790" s="51">
        <v>0</v>
      </c>
      <c r="M1790" s="54">
        <v>0</v>
      </c>
      <c r="N1790" s="53">
        <f t="shared" si="54"/>
        <v>65000</v>
      </c>
      <c r="O1790" s="53">
        <f t="shared" si="55"/>
        <v>-65000</v>
      </c>
    </row>
    <row r="1791" spans="1:15" x14ac:dyDescent="0.2">
      <c r="A1791" s="51" t="s">
        <v>3567</v>
      </c>
      <c r="B1791" s="51" t="s">
        <v>3568</v>
      </c>
      <c r="C1791" s="51" t="s">
        <v>65</v>
      </c>
      <c r="D1791" s="51" t="s">
        <v>4545</v>
      </c>
      <c r="E1791" s="51" t="s">
        <v>4546</v>
      </c>
      <c r="F1791" s="52">
        <v>4.3064</v>
      </c>
      <c r="G1791" s="52">
        <v>0</v>
      </c>
      <c r="H1791" s="52">
        <v>0</v>
      </c>
      <c r="I1791" s="52">
        <v>0</v>
      </c>
      <c r="J1791" s="51">
        <v>0</v>
      </c>
      <c r="K1791" s="54">
        <v>0</v>
      </c>
      <c r="L1791" s="51">
        <v>0</v>
      </c>
      <c r="M1791" s="54">
        <v>0</v>
      </c>
      <c r="N1791" s="53">
        <f t="shared" si="54"/>
        <v>0</v>
      </c>
      <c r="O1791" s="53">
        <f t="shared" si="55"/>
        <v>0</v>
      </c>
    </row>
    <row r="1792" spans="1:15" x14ac:dyDescent="0.2">
      <c r="A1792" s="51" t="s">
        <v>3567</v>
      </c>
      <c r="B1792" s="51" t="s">
        <v>3568</v>
      </c>
      <c r="C1792" s="51" t="s">
        <v>80</v>
      </c>
      <c r="D1792" s="51" t="s">
        <v>4517</v>
      </c>
      <c r="E1792" s="51" t="s">
        <v>4518</v>
      </c>
      <c r="F1792" s="52">
        <v>39.9514778052515</v>
      </c>
      <c r="G1792" s="52">
        <v>0</v>
      </c>
      <c r="H1792" s="52">
        <v>0</v>
      </c>
      <c r="I1792" s="52">
        <v>0</v>
      </c>
      <c r="J1792" s="51">
        <v>0</v>
      </c>
      <c r="K1792" s="54">
        <v>0</v>
      </c>
      <c r="L1792" s="51">
        <v>0</v>
      </c>
      <c r="M1792" s="54">
        <v>0</v>
      </c>
      <c r="N1792" s="53">
        <f t="shared" si="54"/>
        <v>0</v>
      </c>
      <c r="O1792" s="53">
        <f t="shared" si="55"/>
        <v>0</v>
      </c>
    </row>
    <row r="1793" spans="1:15" x14ac:dyDescent="0.2">
      <c r="A1793" s="51" t="s">
        <v>3567</v>
      </c>
      <c r="B1793" s="51" t="s">
        <v>3568</v>
      </c>
      <c r="C1793" s="51" t="s">
        <v>3647</v>
      </c>
      <c r="D1793" s="51" t="s">
        <v>4552</v>
      </c>
      <c r="E1793" s="51" t="s">
        <v>4553</v>
      </c>
      <c r="F1793" s="52">
        <v>3.6470687719517709</v>
      </c>
      <c r="G1793" s="52">
        <v>0</v>
      </c>
      <c r="H1793" s="52">
        <v>0</v>
      </c>
      <c r="I1793" s="52">
        <v>0</v>
      </c>
      <c r="J1793" s="51">
        <v>0</v>
      </c>
      <c r="K1793" s="54">
        <v>0</v>
      </c>
      <c r="L1793" s="51">
        <v>0</v>
      </c>
      <c r="M1793" s="54">
        <v>0</v>
      </c>
      <c r="N1793" s="53">
        <f t="shared" si="54"/>
        <v>0</v>
      </c>
      <c r="O1793" s="53">
        <f t="shared" si="55"/>
        <v>0</v>
      </c>
    </row>
    <row r="1794" spans="1:15" x14ac:dyDescent="0.2">
      <c r="A1794" s="51" t="s">
        <v>3567</v>
      </c>
      <c r="B1794" s="51" t="s">
        <v>3568</v>
      </c>
      <c r="C1794" s="51" t="s">
        <v>72</v>
      </c>
      <c r="D1794" s="51" t="s">
        <v>1505</v>
      </c>
      <c r="E1794" s="51" t="s">
        <v>1504</v>
      </c>
      <c r="F1794" s="52">
        <v>2201.4658996001099</v>
      </c>
      <c r="G1794" s="52">
        <v>877</v>
      </c>
      <c r="H1794" s="52">
        <v>9442</v>
      </c>
      <c r="I1794" s="52">
        <v>10319</v>
      </c>
      <c r="J1794" s="51">
        <v>0</v>
      </c>
      <c r="K1794" s="54">
        <v>0</v>
      </c>
      <c r="L1794" s="51">
        <v>1</v>
      </c>
      <c r="M1794" s="54">
        <v>15000</v>
      </c>
      <c r="N1794" s="53">
        <f t="shared" si="54"/>
        <v>-15000</v>
      </c>
      <c r="O1794" s="53">
        <f t="shared" si="55"/>
        <v>15000</v>
      </c>
    </row>
    <row r="1795" spans="1:15" x14ac:dyDescent="0.2">
      <c r="A1795" s="51" t="s">
        <v>3567</v>
      </c>
      <c r="B1795" s="51" t="s">
        <v>3568</v>
      </c>
      <c r="C1795" s="51" t="s">
        <v>92</v>
      </c>
      <c r="D1795" s="51" t="s">
        <v>3320</v>
      </c>
      <c r="E1795" s="51" t="s">
        <v>3319</v>
      </c>
      <c r="F1795" s="52">
        <v>8535.6947999999993</v>
      </c>
      <c r="G1795" s="52">
        <v>0</v>
      </c>
      <c r="H1795" s="52">
        <v>8500</v>
      </c>
      <c r="I1795" s="52">
        <v>8500</v>
      </c>
      <c r="J1795" s="51">
        <v>0</v>
      </c>
      <c r="K1795" s="54">
        <v>0</v>
      </c>
      <c r="L1795" s="51">
        <v>0</v>
      </c>
      <c r="M1795" s="54">
        <v>0</v>
      </c>
      <c r="N1795" s="53">
        <f t="shared" ref="N1795:N1858" si="56">K1795-M1795</f>
        <v>0</v>
      </c>
      <c r="O1795" s="53">
        <f t="shared" ref="O1795:O1858" si="57">M1795-K1795</f>
        <v>0</v>
      </c>
    </row>
    <row r="1796" spans="1:15" x14ac:dyDescent="0.2">
      <c r="A1796" s="51" t="s">
        <v>3567</v>
      </c>
      <c r="B1796" s="51" t="s">
        <v>3568</v>
      </c>
      <c r="C1796" s="51" t="s">
        <v>69</v>
      </c>
      <c r="D1796" s="51" t="s">
        <v>2060</v>
      </c>
      <c r="E1796" s="51" t="s">
        <v>2059</v>
      </c>
      <c r="F1796" s="52">
        <v>557.82339656785484</v>
      </c>
      <c r="G1796" s="52">
        <v>11030</v>
      </c>
      <c r="H1796" s="52">
        <v>5819</v>
      </c>
      <c r="I1796" s="52">
        <v>16849</v>
      </c>
      <c r="J1796" s="51">
        <v>1</v>
      </c>
      <c r="K1796" s="54">
        <v>10000</v>
      </c>
      <c r="L1796" s="51">
        <v>1</v>
      </c>
      <c r="M1796" s="54">
        <v>5000</v>
      </c>
      <c r="N1796" s="53">
        <f t="shared" si="56"/>
        <v>5000</v>
      </c>
      <c r="O1796" s="53">
        <f t="shared" si="57"/>
        <v>-5000</v>
      </c>
    </row>
    <row r="1797" spans="1:15" x14ac:dyDescent="0.2">
      <c r="A1797" s="51" t="s">
        <v>3567</v>
      </c>
      <c r="B1797" s="51" t="s">
        <v>3568</v>
      </c>
      <c r="C1797" s="51" t="s">
        <v>87</v>
      </c>
      <c r="D1797" s="51" t="s">
        <v>2437</v>
      </c>
      <c r="E1797" s="51" t="s">
        <v>2436</v>
      </c>
      <c r="F1797" s="52">
        <v>13195.6176</v>
      </c>
      <c r="G1797" s="52">
        <v>5300</v>
      </c>
      <c r="H1797" s="52">
        <v>7920</v>
      </c>
      <c r="I1797" s="52">
        <v>13220</v>
      </c>
      <c r="J1797" s="51">
        <v>0</v>
      </c>
      <c r="K1797" s="54">
        <v>0</v>
      </c>
      <c r="L1797" s="51">
        <v>1</v>
      </c>
      <c r="M1797" s="54">
        <v>22000</v>
      </c>
      <c r="N1797" s="53">
        <f t="shared" si="56"/>
        <v>-22000</v>
      </c>
      <c r="O1797" s="53">
        <f t="shared" si="57"/>
        <v>22000</v>
      </c>
    </row>
    <row r="1798" spans="1:15" x14ac:dyDescent="0.2">
      <c r="A1798" s="51" t="s">
        <v>3567</v>
      </c>
      <c r="B1798" s="51" t="s">
        <v>3568</v>
      </c>
      <c r="C1798" s="51" t="s">
        <v>76</v>
      </c>
      <c r="D1798" s="51" t="s">
        <v>2253</v>
      </c>
      <c r="E1798" s="51" t="s">
        <v>2252</v>
      </c>
      <c r="F1798" s="52">
        <v>30226.582542515749</v>
      </c>
      <c r="G1798" s="52">
        <v>95440</v>
      </c>
      <c r="H1798" s="52">
        <v>59400</v>
      </c>
      <c r="I1798" s="52">
        <v>154840</v>
      </c>
      <c r="J1798" s="51">
        <v>3</v>
      </c>
      <c r="K1798" s="54">
        <v>65000</v>
      </c>
      <c r="L1798" s="51">
        <v>0</v>
      </c>
      <c r="M1798" s="54">
        <v>0</v>
      </c>
      <c r="N1798" s="53">
        <f t="shared" si="56"/>
        <v>65000</v>
      </c>
      <c r="O1798" s="53">
        <f t="shared" si="57"/>
        <v>-65000</v>
      </c>
    </row>
    <row r="1799" spans="1:15" x14ac:dyDescent="0.2">
      <c r="A1799" s="51" t="s">
        <v>3567</v>
      </c>
      <c r="B1799" s="51" t="s">
        <v>3568</v>
      </c>
      <c r="C1799" s="51" t="s">
        <v>3583</v>
      </c>
      <c r="D1799" s="51" t="s">
        <v>4495</v>
      </c>
      <c r="E1799" s="51" t="s">
        <v>4496</v>
      </c>
      <c r="F1799" s="52">
        <v>2.3191084945426419</v>
      </c>
      <c r="G1799" s="52">
        <v>0</v>
      </c>
      <c r="H1799" s="52">
        <v>0</v>
      </c>
      <c r="I1799" s="52">
        <v>0</v>
      </c>
      <c r="J1799" s="51">
        <v>0</v>
      </c>
      <c r="K1799" s="54">
        <v>0</v>
      </c>
      <c r="L1799" s="51">
        <v>0</v>
      </c>
      <c r="M1799" s="54">
        <v>0</v>
      </c>
      <c r="N1799" s="53">
        <f t="shared" si="56"/>
        <v>0</v>
      </c>
      <c r="O1799" s="53">
        <f t="shared" si="57"/>
        <v>0</v>
      </c>
    </row>
    <row r="1800" spans="1:15" x14ac:dyDescent="0.2">
      <c r="A1800" s="51" t="s">
        <v>3567</v>
      </c>
      <c r="B1800" s="51" t="s">
        <v>3568</v>
      </c>
      <c r="C1800" s="51" t="s">
        <v>93</v>
      </c>
      <c r="D1800" s="51" t="s">
        <v>1630</v>
      </c>
      <c r="E1800" s="51" t="s">
        <v>1629</v>
      </c>
      <c r="F1800" s="52">
        <v>19334.728500000001</v>
      </c>
      <c r="G1800" s="52">
        <v>200</v>
      </c>
      <c r="H1800" s="52">
        <v>4670</v>
      </c>
      <c r="I1800" s="52">
        <v>4870</v>
      </c>
      <c r="J1800" s="51">
        <v>0</v>
      </c>
      <c r="K1800" s="54">
        <v>0</v>
      </c>
      <c r="L1800" s="51">
        <v>1</v>
      </c>
      <c r="M1800" s="54">
        <v>10000</v>
      </c>
      <c r="N1800" s="53">
        <f t="shared" si="56"/>
        <v>-10000</v>
      </c>
      <c r="O1800" s="53">
        <f t="shared" si="57"/>
        <v>10000</v>
      </c>
    </row>
    <row r="1801" spans="1:15" x14ac:dyDescent="0.2">
      <c r="A1801" s="51" t="s">
        <v>3567</v>
      </c>
      <c r="B1801" s="51" t="s">
        <v>3568</v>
      </c>
      <c r="C1801" s="51" t="s">
        <v>3864</v>
      </c>
      <c r="D1801" s="51" t="s">
        <v>4509</v>
      </c>
      <c r="E1801" s="51" t="s">
        <v>4510</v>
      </c>
      <c r="F1801" s="52">
        <v>2.365821620188048</v>
      </c>
      <c r="G1801" s="52">
        <v>0</v>
      </c>
      <c r="H1801" s="52">
        <v>0</v>
      </c>
      <c r="I1801" s="52">
        <v>0</v>
      </c>
      <c r="J1801" s="51">
        <v>0</v>
      </c>
      <c r="K1801" s="54">
        <v>0</v>
      </c>
      <c r="L1801" s="51">
        <v>0</v>
      </c>
      <c r="M1801" s="54">
        <v>0</v>
      </c>
      <c r="N1801" s="53">
        <f t="shared" si="56"/>
        <v>0</v>
      </c>
      <c r="O1801" s="53">
        <f t="shared" si="57"/>
        <v>0</v>
      </c>
    </row>
    <row r="1802" spans="1:15" x14ac:dyDescent="0.2">
      <c r="A1802" s="51" t="s">
        <v>3567</v>
      </c>
      <c r="B1802" s="51" t="s">
        <v>3568</v>
      </c>
      <c r="C1802" s="51" t="s">
        <v>3583</v>
      </c>
      <c r="D1802" s="51" t="s">
        <v>4487</v>
      </c>
      <c r="E1802" s="51" t="s">
        <v>4488</v>
      </c>
      <c r="F1802" s="52">
        <v>15.99115189200327</v>
      </c>
      <c r="G1802" s="52">
        <v>0</v>
      </c>
      <c r="H1802" s="52">
        <v>0</v>
      </c>
      <c r="I1802" s="52">
        <v>0</v>
      </c>
      <c r="J1802" s="51">
        <v>0</v>
      </c>
      <c r="K1802" s="54">
        <v>0</v>
      </c>
      <c r="L1802" s="51">
        <v>0</v>
      </c>
      <c r="M1802" s="54">
        <v>0</v>
      </c>
      <c r="N1802" s="53">
        <f t="shared" si="56"/>
        <v>0</v>
      </c>
      <c r="O1802" s="53">
        <f t="shared" si="57"/>
        <v>0</v>
      </c>
    </row>
    <row r="1803" spans="1:15" x14ac:dyDescent="0.2">
      <c r="A1803" s="51" t="s">
        <v>3567</v>
      </c>
      <c r="B1803" s="51" t="s">
        <v>3568</v>
      </c>
      <c r="C1803" s="51" t="s">
        <v>3725</v>
      </c>
      <c r="D1803" s="51" t="s">
        <v>4503</v>
      </c>
      <c r="E1803" s="51" t="s">
        <v>4504</v>
      </c>
      <c r="F1803" s="52">
        <v>7349.5461013388194</v>
      </c>
      <c r="G1803" s="52">
        <v>1280</v>
      </c>
      <c r="H1803" s="52">
        <v>2460</v>
      </c>
      <c r="I1803" s="52">
        <v>3740</v>
      </c>
      <c r="J1803" s="51">
        <v>0</v>
      </c>
      <c r="K1803" s="54">
        <v>0</v>
      </c>
      <c r="L1803" s="51">
        <v>0</v>
      </c>
      <c r="M1803" s="54">
        <v>0</v>
      </c>
      <c r="N1803" s="53">
        <f t="shared" si="56"/>
        <v>0</v>
      </c>
      <c r="O1803" s="53">
        <f t="shared" si="57"/>
        <v>0</v>
      </c>
    </row>
    <row r="1804" spans="1:15" x14ac:dyDescent="0.2">
      <c r="A1804" s="51" t="s">
        <v>3567</v>
      </c>
      <c r="B1804" s="51" t="s">
        <v>3568</v>
      </c>
      <c r="C1804" s="51" t="s">
        <v>69</v>
      </c>
      <c r="D1804" s="51" t="s">
        <v>2106</v>
      </c>
      <c r="E1804" s="51" t="s">
        <v>2105</v>
      </c>
      <c r="F1804" s="52">
        <v>4243.4850999999999</v>
      </c>
      <c r="G1804" s="52">
        <v>7630</v>
      </c>
      <c r="H1804" s="52">
        <v>4450</v>
      </c>
      <c r="I1804" s="52">
        <v>12080</v>
      </c>
      <c r="J1804" s="51">
        <v>1</v>
      </c>
      <c r="K1804" s="54">
        <v>6000</v>
      </c>
      <c r="L1804" s="51">
        <v>0</v>
      </c>
      <c r="M1804" s="54">
        <v>0</v>
      </c>
      <c r="N1804" s="53">
        <f t="shared" si="56"/>
        <v>6000</v>
      </c>
      <c r="O1804" s="53">
        <f t="shared" si="57"/>
        <v>-6000</v>
      </c>
    </row>
    <row r="1805" spans="1:15" x14ac:dyDescent="0.2">
      <c r="A1805" s="51" t="s">
        <v>3567</v>
      </c>
      <c r="B1805" s="51" t="s">
        <v>3568</v>
      </c>
      <c r="C1805" s="51" t="s">
        <v>55</v>
      </c>
      <c r="D1805" s="51" t="s">
        <v>3542</v>
      </c>
      <c r="E1805" s="51" t="s">
        <v>3541</v>
      </c>
      <c r="F1805" s="52">
        <v>32099.301599999999</v>
      </c>
      <c r="G1805" s="52">
        <v>3420</v>
      </c>
      <c r="H1805" s="52">
        <v>7220</v>
      </c>
      <c r="I1805" s="52">
        <v>10640</v>
      </c>
      <c r="J1805" s="51">
        <v>1</v>
      </c>
      <c r="K1805" s="54">
        <v>15000</v>
      </c>
      <c r="L1805" s="51">
        <v>0</v>
      </c>
      <c r="M1805" s="54">
        <v>0</v>
      </c>
      <c r="N1805" s="53">
        <f t="shared" si="56"/>
        <v>15000</v>
      </c>
      <c r="O1805" s="53">
        <f t="shared" si="57"/>
        <v>-15000</v>
      </c>
    </row>
    <row r="1806" spans="1:15" x14ac:dyDescent="0.2">
      <c r="A1806" s="51" t="s">
        <v>3567</v>
      </c>
      <c r="B1806" s="51" t="s">
        <v>3568</v>
      </c>
      <c r="C1806" s="51" t="s">
        <v>65</v>
      </c>
      <c r="D1806" s="51" t="s">
        <v>2498</v>
      </c>
      <c r="E1806" s="51" t="s">
        <v>2497</v>
      </c>
      <c r="F1806" s="52">
        <v>2678.0211584992112</v>
      </c>
      <c r="G1806" s="52">
        <v>510</v>
      </c>
      <c r="H1806" s="52">
        <v>4590</v>
      </c>
      <c r="I1806" s="52">
        <v>5100</v>
      </c>
      <c r="J1806" s="51">
        <v>0</v>
      </c>
      <c r="K1806" s="54">
        <v>0</v>
      </c>
      <c r="L1806" s="51">
        <v>1</v>
      </c>
      <c r="M1806" s="54">
        <v>15000</v>
      </c>
      <c r="N1806" s="53">
        <f t="shared" si="56"/>
        <v>-15000</v>
      </c>
      <c r="O1806" s="53">
        <f t="shared" si="57"/>
        <v>15000</v>
      </c>
    </row>
    <row r="1807" spans="1:15" x14ac:dyDescent="0.2">
      <c r="A1807" s="51" t="s">
        <v>3567</v>
      </c>
      <c r="B1807" s="51" t="s">
        <v>3568</v>
      </c>
      <c r="C1807" s="51" t="s">
        <v>81</v>
      </c>
      <c r="D1807" s="51" t="s">
        <v>2470</v>
      </c>
      <c r="E1807" s="51" t="s">
        <v>2469</v>
      </c>
      <c r="F1807" s="52">
        <v>4.3383000000000003</v>
      </c>
      <c r="G1807" s="52">
        <v>0</v>
      </c>
      <c r="H1807" s="52">
        <v>0</v>
      </c>
      <c r="I1807" s="52">
        <v>0</v>
      </c>
      <c r="J1807" s="51">
        <v>0</v>
      </c>
      <c r="K1807" s="54">
        <v>0</v>
      </c>
      <c r="L1807" s="51">
        <v>0</v>
      </c>
      <c r="M1807" s="54">
        <v>0</v>
      </c>
      <c r="N1807" s="53">
        <f t="shared" si="56"/>
        <v>0</v>
      </c>
      <c r="O1807" s="53">
        <f t="shared" si="57"/>
        <v>0</v>
      </c>
    </row>
    <row r="1808" spans="1:15" x14ac:dyDescent="0.2">
      <c r="A1808" s="51" t="s">
        <v>3567</v>
      </c>
      <c r="B1808" s="51" t="s">
        <v>3568</v>
      </c>
      <c r="C1808" s="51" t="s">
        <v>69</v>
      </c>
      <c r="D1808" s="51" t="s">
        <v>371</v>
      </c>
      <c r="E1808" s="51" t="s">
        <v>370</v>
      </c>
      <c r="F1808" s="52">
        <v>350.57995743487072</v>
      </c>
      <c r="G1808" s="52">
        <v>53830</v>
      </c>
      <c r="H1808" s="52">
        <v>24580</v>
      </c>
      <c r="I1808" s="52">
        <v>78410</v>
      </c>
      <c r="J1808" s="51">
        <v>2</v>
      </c>
      <c r="K1808" s="54">
        <v>12000</v>
      </c>
      <c r="L1808" s="51">
        <v>0</v>
      </c>
      <c r="M1808" s="54">
        <v>0</v>
      </c>
      <c r="N1808" s="53">
        <f t="shared" si="56"/>
        <v>12000</v>
      </c>
      <c r="O1808" s="53">
        <f t="shared" si="57"/>
        <v>-12000</v>
      </c>
    </row>
    <row r="1809" spans="1:15" x14ac:dyDescent="0.2">
      <c r="A1809" s="51" t="s">
        <v>3567</v>
      </c>
      <c r="B1809" s="51" t="s">
        <v>3568</v>
      </c>
      <c r="C1809" s="51" t="s">
        <v>73</v>
      </c>
      <c r="D1809" s="51" t="s">
        <v>3273</v>
      </c>
      <c r="E1809" s="51" t="s">
        <v>3272</v>
      </c>
      <c r="F1809" s="52">
        <v>5379.0599958695002</v>
      </c>
      <c r="G1809" s="52">
        <v>3105</v>
      </c>
      <c r="H1809" s="52">
        <v>11960</v>
      </c>
      <c r="I1809" s="52">
        <v>15065</v>
      </c>
      <c r="J1809" s="51">
        <v>0</v>
      </c>
      <c r="K1809" s="54">
        <v>0</v>
      </c>
      <c r="L1809" s="51">
        <v>1</v>
      </c>
      <c r="M1809" s="54">
        <v>5000</v>
      </c>
      <c r="N1809" s="53">
        <f t="shared" si="56"/>
        <v>-5000</v>
      </c>
      <c r="O1809" s="53">
        <f t="shared" si="57"/>
        <v>5000</v>
      </c>
    </row>
    <row r="1810" spans="1:15" x14ac:dyDescent="0.2">
      <c r="A1810" s="51" t="s">
        <v>3567</v>
      </c>
      <c r="B1810" s="51" t="s">
        <v>3568</v>
      </c>
      <c r="C1810" s="51" t="s">
        <v>60</v>
      </c>
      <c r="D1810" s="51" t="s">
        <v>2136</v>
      </c>
      <c r="E1810" s="51" t="s">
        <v>2135</v>
      </c>
      <c r="F1810" s="52">
        <v>24210.2778</v>
      </c>
      <c r="G1810" s="52">
        <v>950</v>
      </c>
      <c r="H1810" s="52">
        <v>7930</v>
      </c>
      <c r="I1810" s="52">
        <v>8880</v>
      </c>
      <c r="J1810" s="51">
        <v>1</v>
      </c>
      <c r="K1810" s="54">
        <v>5000</v>
      </c>
      <c r="L1810" s="51">
        <v>0</v>
      </c>
      <c r="M1810" s="54">
        <v>0</v>
      </c>
      <c r="N1810" s="53">
        <f t="shared" si="56"/>
        <v>5000</v>
      </c>
      <c r="O1810" s="53">
        <f t="shared" si="57"/>
        <v>-5000</v>
      </c>
    </row>
    <row r="1811" spans="1:15" x14ac:dyDescent="0.2">
      <c r="A1811" s="51" t="s">
        <v>3567</v>
      </c>
      <c r="B1811" s="51" t="s">
        <v>3568</v>
      </c>
      <c r="C1811" s="51" t="s">
        <v>67</v>
      </c>
      <c r="D1811" s="51" t="s">
        <v>1563</v>
      </c>
      <c r="E1811" s="51" t="s">
        <v>1562</v>
      </c>
      <c r="F1811" s="52">
        <v>16588.272700000001</v>
      </c>
      <c r="G1811" s="52">
        <v>1500</v>
      </c>
      <c r="H1811" s="52">
        <v>0</v>
      </c>
      <c r="I1811" s="52">
        <v>1500</v>
      </c>
      <c r="J1811" s="51">
        <v>1</v>
      </c>
      <c r="K1811" s="54">
        <v>5000</v>
      </c>
      <c r="L1811" s="51">
        <v>0</v>
      </c>
      <c r="M1811" s="54">
        <v>0</v>
      </c>
      <c r="N1811" s="53">
        <f t="shared" si="56"/>
        <v>5000</v>
      </c>
      <c r="O1811" s="53">
        <f t="shared" si="57"/>
        <v>-5000</v>
      </c>
    </row>
    <row r="1812" spans="1:15" x14ac:dyDescent="0.2">
      <c r="A1812" s="51" t="s">
        <v>3567</v>
      </c>
      <c r="B1812" s="51" t="s">
        <v>3568</v>
      </c>
      <c r="C1812" s="51" t="s">
        <v>85</v>
      </c>
      <c r="D1812" s="51" t="s">
        <v>4534</v>
      </c>
      <c r="E1812" s="51" t="s">
        <v>4535</v>
      </c>
      <c r="F1812" s="52">
        <v>3.0284550000000001</v>
      </c>
      <c r="G1812" s="52">
        <v>0</v>
      </c>
      <c r="H1812" s="52">
        <v>0</v>
      </c>
      <c r="I1812" s="52">
        <v>0</v>
      </c>
      <c r="J1812" s="51">
        <v>0</v>
      </c>
      <c r="K1812" s="54">
        <v>0</v>
      </c>
      <c r="L1812" s="51">
        <v>0</v>
      </c>
      <c r="M1812" s="54">
        <v>0</v>
      </c>
      <c r="N1812" s="53">
        <f t="shared" si="56"/>
        <v>0</v>
      </c>
      <c r="O1812" s="53">
        <f t="shared" si="57"/>
        <v>0</v>
      </c>
    </row>
    <row r="1813" spans="1:15" x14ac:dyDescent="0.2">
      <c r="A1813" s="51" t="s">
        <v>3567</v>
      </c>
      <c r="B1813" s="51" t="s">
        <v>3568</v>
      </c>
      <c r="C1813" s="51" t="s">
        <v>3725</v>
      </c>
      <c r="D1813" s="51" t="s">
        <v>4547</v>
      </c>
      <c r="E1813" s="51" t="s">
        <v>3476</v>
      </c>
      <c r="F1813" s="52">
        <v>1.1411817422434389</v>
      </c>
      <c r="G1813" s="52">
        <v>0</v>
      </c>
      <c r="H1813" s="52">
        <v>0</v>
      </c>
      <c r="I1813" s="52">
        <v>0</v>
      </c>
      <c r="J1813" s="51">
        <v>0</v>
      </c>
      <c r="K1813" s="54">
        <v>0</v>
      </c>
      <c r="L1813" s="51">
        <v>0</v>
      </c>
      <c r="M1813" s="54">
        <v>0</v>
      </c>
      <c r="N1813" s="53">
        <f t="shared" si="56"/>
        <v>0</v>
      </c>
      <c r="O1813" s="53">
        <f t="shared" si="57"/>
        <v>0</v>
      </c>
    </row>
    <row r="1814" spans="1:15" x14ac:dyDescent="0.2">
      <c r="A1814" s="51" t="s">
        <v>3567</v>
      </c>
      <c r="B1814" s="51" t="s">
        <v>3568</v>
      </c>
      <c r="C1814" s="51" t="s">
        <v>3718</v>
      </c>
      <c r="D1814" s="51" t="s">
        <v>4533</v>
      </c>
      <c r="E1814" s="51" t="s">
        <v>887</v>
      </c>
      <c r="F1814" s="52">
        <v>12.7339547378</v>
      </c>
      <c r="G1814" s="52">
        <v>0</v>
      </c>
      <c r="H1814" s="52">
        <v>0</v>
      </c>
      <c r="I1814" s="52">
        <v>0</v>
      </c>
      <c r="J1814" s="51">
        <v>0</v>
      </c>
      <c r="K1814" s="54">
        <v>0</v>
      </c>
      <c r="L1814" s="51">
        <v>0</v>
      </c>
      <c r="M1814" s="54">
        <v>0</v>
      </c>
      <c r="N1814" s="53">
        <f t="shared" si="56"/>
        <v>0</v>
      </c>
      <c r="O1814" s="53">
        <f t="shared" si="57"/>
        <v>0</v>
      </c>
    </row>
    <row r="1815" spans="1:15" x14ac:dyDescent="0.2">
      <c r="A1815" s="51" t="s">
        <v>3567</v>
      </c>
      <c r="B1815" s="51" t="s">
        <v>3568</v>
      </c>
      <c r="C1815" s="51" t="s">
        <v>61</v>
      </c>
      <c r="D1815" s="51" t="s">
        <v>3454</v>
      </c>
      <c r="E1815" s="51" t="s">
        <v>3453</v>
      </c>
      <c r="F1815" s="52">
        <v>10433.52641602951</v>
      </c>
      <c r="G1815" s="52">
        <v>3710</v>
      </c>
      <c r="H1815" s="52">
        <v>27095</v>
      </c>
      <c r="I1815" s="52">
        <v>30805</v>
      </c>
      <c r="J1815" s="51">
        <v>0</v>
      </c>
      <c r="K1815" s="54">
        <v>0</v>
      </c>
      <c r="L1815" s="51">
        <v>2</v>
      </c>
      <c r="M1815" s="54">
        <v>23000</v>
      </c>
      <c r="N1815" s="53">
        <f t="shared" si="56"/>
        <v>-23000</v>
      </c>
      <c r="O1815" s="53">
        <f t="shared" si="57"/>
        <v>23000</v>
      </c>
    </row>
    <row r="1816" spans="1:15" x14ac:dyDescent="0.2">
      <c r="A1816" s="51" t="s">
        <v>3567</v>
      </c>
      <c r="B1816" s="51" t="s">
        <v>3568</v>
      </c>
      <c r="C1816" s="51" t="s">
        <v>3619</v>
      </c>
      <c r="D1816" s="51" t="s">
        <v>4550</v>
      </c>
      <c r="E1816" s="51" t="s">
        <v>822</v>
      </c>
      <c r="F1816" s="52">
        <v>30.758392728959869</v>
      </c>
      <c r="G1816" s="52">
        <v>0</v>
      </c>
      <c r="H1816" s="52">
        <v>0</v>
      </c>
      <c r="I1816" s="52">
        <v>0</v>
      </c>
      <c r="J1816" s="51">
        <v>0</v>
      </c>
      <c r="K1816" s="54">
        <v>0</v>
      </c>
      <c r="L1816" s="51">
        <v>0</v>
      </c>
      <c r="M1816" s="54">
        <v>0</v>
      </c>
      <c r="N1816" s="53">
        <f t="shared" si="56"/>
        <v>0</v>
      </c>
      <c r="O1816" s="53">
        <f t="shared" si="57"/>
        <v>0</v>
      </c>
    </row>
    <row r="1817" spans="1:15" x14ac:dyDescent="0.2">
      <c r="A1817" s="51" t="s">
        <v>3567</v>
      </c>
      <c r="B1817" s="51" t="s">
        <v>3568</v>
      </c>
      <c r="C1817" s="51" t="s">
        <v>3786</v>
      </c>
      <c r="D1817" s="51" t="s">
        <v>4551</v>
      </c>
      <c r="E1817" s="51" t="s">
        <v>765</v>
      </c>
      <c r="F1817" s="52">
        <v>25.705213286399999</v>
      </c>
      <c r="G1817" s="52">
        <v>0</v>
      </c>
      <c r="H1817" s="52">
        <v>0</v>
      </c>
      <c r="I1817" s="52">
        <v>0</v>
      </c>
      <c r="J1817" s="51">
        <v>0</v>
      </c>
      <c r="K1817" s="54">
        <v>0</v>
      </c>
      <c r="L1817" s="51">
        <v>0</v>
      </c>
      <c r="M1817" s="54">
        <v>0</v>
      </c>
      <c r="N1817" s="53">
        <f t="shared" si="56"/>
        <v>0</v>
      </c>
      <c r="O1817" s="53">
        <f t="shared" si="57"/>
        <v>0</v>
      </c>
    </row>
    <row r="1818" spans="1:15" x14ac:dyDescent="0.2">
      <c r="A1818" s="51" t="s">
        <v>3567</v>
      </c>
      <c r="B1818" s="51" t="s">
        <v>3568</v>
      </c>
      <c r="C1818" s="51" t="s">
        <v>3580</v>
      </c>
      <c r="D1818" s="51" t="s">
        <v>4544</v>
      </c>
      <c r="E1818" s="51" t="s">
        <v>997</v>
      </c>
      <c r="F1818" s="52">
        <v>28.868749999999999</v>
      </c>
      <c r="G1818" s="52">
        <v>0</v>
      </c>
      <c r="H1818" s="52">
        <v>0</v>
      </c>
      <c r="I1818" s="52">
        <v>0</v>
      </c>
      <c r="J1818" s="51">
        <v>0</v>
      </c>
      <c r="K1818" s="54">
        <v>0</v>
      </c>
      <c r="L1818" s="51">
        <v>0</v>
      </c>
      <c r="M1818" s="54">
        <v>0</v>
      </c>
      <c r="N1818" s="53">
        <f t="shared" si="56"/>
        <v>0</v>
      </c>
      <c r="O1818" s="53">
        <f t="shared" si="57"/>
        <v>0</v>
      </c>
    </row>
    <row r="1819" spans="1:15" x14ac:dyDescent="0.2">
      <c r="A1819" s="51" t="s">
        <v>3567</v>
      </c>
      <c r="B1819" s="51" t="s">
        <v>3568</v>
      </c>
      <c r="C1819" s="51" t="s">
        <v>54</v>
      </c>
      <c r="D1819" s="51" t="s">
        <v>3442</v>
      </c>
      <c r="E1819" s="51" t="s">
        <v>3441</v>
      </c>
      <c r="F1819" s="52">
        <v>4073.4533405784391</v>
      </c>
      <c r="G1819" s="52">
        <v>21410</v>
      </c>
      <c r="H1819" s="52">
        <v>17360</v>
      </c>
      <c r="I1819" s="52">
        <v>38770</v>
      </c>
      <c r="J1819" s="51">
        <v>0</v>
      </c>
      <c r="K1819" s="54">
        <v>0</v>
      </c>
      <c r="L1819" s="51">
        <v>2</v>
      </c>
      <c r="M1819" s="54">
        <v>33000</v>
      </c>
      <c r="N1819" s="53">
        <f t="shared" si="56"/>
        <v>-33000</v>
      </c>
      <c r="O1819" s="53">
        <f t="shared" si="57"/>
        <v>33000</v>
      </c>
    </row>
    <row r="1820" spans="1:15" x14ac:dyDescent="0.2">
      <c r="A1820" s="51" t="s">
        <v>3567</v>
      </c>
      <c r="B1820" s="51" t="s">
        <v>3568</v>
      </c>
      <c r="C1820" s="51" t="s">
        <v>83</v>
      </c>
      <c r="D1820" s="51" t="s">
        <v>2938</v>
      </c>
      <c r="E1820" s="51" t="s">
        <v>2937</v>
      </c>
      <c r="F1820" s="52">
        <v>1743.34030594316</v>
      </c>
      <c r="G1820" s="52">
        <v>0</v>
      </c>
      <c r="H1820" s="52">
        <v>5000</v>
      </c>
      <c r="I1820" s="52">
        <v>5000</v>
      </c>
      <c r="J1820" s="51">
        <v>0</v>
      </c>
      <c r="K1820" s="54">
        <v>0</v>
      </c>
      <c r="L1820" s="51">
        <v>1</v>
      </c>
      <c r="M1820" s="54">
        <v>5000</v>
      </c>
      <c r="N1820" s="53">
        <f t="shared" si="56"/>
        <v>-5000</v>
      </c>
      <c r="O1820" s="53">
        <f t="shared" si="57"/>
        <v>5000</v>
      </c>
    </row>
    <row r="1821" spans="1:15" x14ac:dyDescent="0.2">
      <c r="A1821" s="51" t="s">
        <v>3567</v>
      </c>
      <c r="B1821" s="51" t="s">
        <v>3568</v>
      </c>
      <c r="C1821" s="51" t="s">
        <v>82</v>
      </c>
      <c r="D1821" s="51" t="s">
        <v>722</v>
      </c>
      <c r="E1821" s="51" t="s">
        <v>721</v>
      </c>
      <c r="F1821" s="52">
        <v>6247.6071000000002</v>
      </c>
      <c r="G1821" s="52">
        <v>6810</v>
      </c>
      <c r="H1821" s="52">
        <v>15530</v>
      </c>
      <c r="I1821" s="52">
        <v>22340</v>
      </c>
      <c r="J1821" s="51">
        <v>1</v>
      </c>
      <c r="K1821" s="54">
        <v>5000</v>
      </c>
      <c r="L1821" s="51">
        <v>2</v>
      </c>
      <c r="M1821" s="54">
        <v>31000</v>
      </c>
      <c r="N1821" s="53">
        <f t="shared" si="56"/>
        <v>-26000</v>
      </c>
      <c r="O1821" s="53">
        <f t="shared" si="57"/>
        <v>26000</v>
      </c>
    </row>
    <row r="1822" spans="1:15" x14ac:dyDescent="0.2">
      <c r="A1822" s="51" t="s">
        <v>3567</v>
      </c>
      <c r="B1822" s="51" t="s">
        <v>3568</v>
      </c>
      <c r="C1822" s="51" t="s">
        <v>55</v>
      </c>
      <c r="D1822" s="51" t="s">
        <v>485</v>
      </c>
      <c r="E1822" s="51" t="s">
        <v>484</v>
      </c>
      <c r="F1822" s="52">
        <v>5122.6737144040526</v>
      </c>
      <c r="G1822" s="52">
        <v>0</v>
      </c>
      <c r="H1822" s="52">
        <v>0</v>
      </c>
      <c r="I1822" s="52">
        <v>0</v>
      </c>
      <c r="J1822" s="51">
        <v>1</v>
      </c>
      <c r="K1822" s="54">
        <v>5000</v>
      </c>
      <c r="L1822" s="51">
        <v>0</v>
      </c>
      <c r="M1822" s="54">
        <v>0</v>
      </c>
      <c r="N1822" s="53">
        <f t="shared" si="56"/>
        <v>5000</v>
      </c>
      <c r="O1822" s="53">
        <f t="shared" si="57"/>
        <v>-5000</v>
      </c>
    </row>
    <row r="1823" spans="1:15" x14ac:dyDescent="0.2">
      <c r="A1823" s="51" t="s">
        <v>3567</v>
      </c>
      <c r="B1823" s="51" t="s">
        <v>3568</v>
      </c>
      <c r="C1823" s="51" t="s">
        <v>61</v>
      </c>
      <c r="D1823" s="51" t="s">
        <v>2220</v>
      </c>
      <c r="E1823" s="51" t="s">
        <v>2219</v>
      </c>
      <c r="F1823" s="52">
        <v>5709.0566282607997</v>
      </c>
      <c r="G1823" s="52">
        <v>405</v>
      </c>
      <c r="H1823" s="52">
        <v>370</v>
      </c>
      <c r="I1823" s="52">
        <v>775</v>
      </c>
      <c r="J1823" s="51">
        <v>1</v>
      </c>
      <c r="K1823" s="54">
        <v>5000</v>
      </c>
      <c r="L1823" s="51">
        <v>0</v>
      </c>
      <c r="M1823" s="54">
        <v>0</v>
      </c>
      <c r="N1823" s="53">
        <f t="shared" si="56"/>
        <v>5000</v>
      </c>
      <c r="O1823" s="53">
        <f t="shared" si="57"/>
        <v>-5000</v>
      </c>
    </row>
    <row r="1824" spans="1:15" x14ac:dyDescent="0.2">
      <c r="A1824" s="51" t="s">
        <v>3567</v>
      </c>
      <c r="B1824" s="51" t="s">
        <v>3568</v>
      </c>
      <c r="C1824" s="51" t="s">
        <v>52</v>
      </c>
      <c r="D1824" s="51" t="s">
        <v>2672</v>
      </c>
      <c r="E1824" s="51" t="s">
        <v>2671</v>
      </c>
      <c r="F1824" s="52">
        <v>9095.7640608695001</v>
      </c>
      <c r="G1824" s="52">
        <v>2700</v>
      </c>
      <c r="H1824" s="52">
        <v>4675</v>
      </c>
      <c r="I1824" s="52">
        <v>7375</v>
      </c>
      <c r="J1824" s="51">
        <v>0</v>
      </c>
      <c r="K1824" s="54">
        <v>0</v>
      </c>
      <c r="L1824" s="51">
        <v>1</v>
      </c>
      <c r="M1824" s="54">
        <v>15000</v>
      </c>
      <c r="N1824" s="53">
        <f t="shared" si="56"/>
        <v>-15000</v>
      </c>
      <c r="O1824" s="53">
        <f t="shared" si="57"/>
        <v>15000</v>
      </c>
    </row>
    <row r="1825" spans="1:15" x14ac:dyDescent="0.2">
      <c r="A1825" s="51" t="s">
        <v>3567</v>
      </c>
      <c r="B1825" s="51" t="s">
        <v>3568</v>
      </c>
      <c r="C1825" s="51" t="s">
        <v>73</v>
      </c>
      <c r="D1825" s="51" t="s">
        <v>1689</v>
      </c>
      <c r="E1825" s="51" t="s">
        <v>1688</v>
      </c>
      <c r="F1825" s="52">
        <v>47.954349999999998</v>
      </c>
      <c r="G1825" s="52">
        <v>5000</v>
      </c>
      <c r="H1825" s="52">
        <v>0</v>
      </c>
      <c r="I1825" s="52">
        <v>5000</v>
      </c>
      <c r="J1825" s="51">
        <v>1</v>
      </c>
      <c r="K1825" s="54">
        <v>5000</v>
      </c>
      <c r="L1825" s="51">
        <v>0</v>
      </c>
      <c r="M1825" s="54">
        <v>0</v>
      </c>
      <c r="N1825" s="53">
        <f t="shared" si="56"/>
        <v>5000</v>
      </c>
      <c r="O1825" s="53">
        <f t="shared" si="57"/>
        <v>-5000</v>
      </c>
    </row>
    <row r="1826" spans="1:15" x14ac:dyDescent="0.2">
      <c r="A1826" s="51" t="s">
        <v>3567</v>
      </c>
      <c r="B1826" s="51" t="s">
        <v>3568</v>
      </c>
      <c r="C1826" s="51" t="s">
        <v>77</v>
      </c>
      <c r="D1826" s="51" t="s">
        <v>1494</v>
      </c>
      <c r="E1826" s="51" t="s">
        <v>1493</v>
      </c>
      <c r="F1826" s="52">
        <v>2024.1940589999999</v>
      </c>
      <c r="G1826" s="52">
        <v>9264</v>
      </c>
      <c r="H1826" s="52">
        <v>5230</v>
      </c>
      <c r="I1826" s="52">
        <v>14494</v>
      </c>
      <c r="J1826" s="51">
        <v>0</v>
      </c>
      <c r="K1826" s="54">
        <v>0</v>
      </c>
      <c r="L1826" s="51">
        <v>1</v>
      </c>
      <c r="M1826" s="54">
        <v>50000</v>
      </c>
      <c r="N1826" s="53">
        <f t="shared" si="56"/>
        <v>-50000</v>
      </c>
      <c r="O1826" s="53">
        <f t="shared" si="57"/>
        <v>50000</v>
      </c>
    </row>
    <row r="1827" spans="1:15" x14ac:dyDescent="0.2">
      <c r="A1827" s="51" t="s">
        <v>3567</v>
      </c>
      <c r="B1827" s="51" t="s">
        <v>3568</v>
      </c>
      <c r="C1827" s="51" t="s">
        <v>80</v>
      </c>
      <c r="D1827" s="51" t="s">
        <v>493</v>
      </c>
      <c r="E1827" s="51" t="s">
        <v>492</v>
      </c>
      <c r="F1827" s="52">
        <v>9586.0393104486993</v>
      </c>
      <c r="G1827" s="52">
        <v>12780</v>
      </c>
      <c r="H1827" s="52">
        <v>13430</v>
      </c>
      <c r="I1827" s="52">
        <v>26210</v>
      </c>
      <c r="J1827" s="51">
        <v>1</v>
      </c>
      <c r="K1827" s="54">
        <v>10000</v>
      </c>
      <c r="L1827" s="51">
        <v>0</v>
      </c>
      <c r="M1827" s="54">
        <v>0</v>
      </c>
      <c r="N1827" s="53">
        <f t="shared" si="56"/>
        <v>10000</v>
      </c>
      <c r="O1827" s="53">
        <f t="shared" si="57"/>
        <v>-10000</v>
      </c>
    </row>
    <row r="1828" spans="1:15" x14ac:dyDescent="0.2">
      <c r="A1828" s="51" t="s">
        <v>3567</v>
      </c>
      <c r="B1828" s="51" t="s">
        <v>3568</v>
      </c>
      <c r="C1828" s="51" t="s">
        <v>62</v>
      </c>
      <c r="D1828" s="51" t="s">
        <v>650</v>
      </c>
      <c r="E1828" s="51" t="s">
        <v>649</v>
      </c>
      <c r="F1828" s="52">
        <v>1553.7336263560769</v>
      </c>
      <c r="G1828" s="52">
        <v>26930</v>
      </c>
      <c r="H1828" s="52">
        <v>22185</v>
      </c>
      <c r="I1828" s="52">
        <v>49115</v>
      </c>
      <c r="J1828" s="51">
        <v>0</v>
      </c>
      <c r="K1828" s="54">
        <v>0</v>
      </c>
      <c r="L1828" s="51">
        <v>1</v>
      </c>
      <c r="M1828" s="54">
        <v>10000</v>
      </c>
      <c r="N1828" s="53">
        <f t="shared" si="56"/>
        <v>-10000</v>
      </c>
      <c r="O1828" s="53">
        <f t="shared" si="57"/>
        <v>10000</v>
      </c>
    </row>
    <row r="1829" spans="1:15" x14ac:dyDescent="0.2">
      <c r="A1829" s="51" t="s">
        <v>3567</v>
      </c>
      <c r="B1829" s="51" t="s">
        <v>3568</v>
      </c>
      <c r="C1829" s="51" t="s">
        <v>72</v>
      </c>
      <c r="D1829" s="51" t="s">
        <v>3007</v>
      </c>
      <c r="E1829" s="51" t="s">
        <v>3006</v>
      </c>
      <c r="F1829" s="52">
        <v>2312.1453688866841</v>
      </c>
      <c r="G1829" s="52">
        <v>3870</v>
      </c>
      <c r="H1829" s="52">
        <v>9250</v>
      </c>
      <c r="I1829" s="52">
        <v>13120</v>
      </c>
      <c r="J1829" s="51">
        <v>0</v>
      </c>
      <c r="K1829" s="54">
        <v>0</v>
      </c>
      <c r="L1829" s="51">
        <v>1</v>
      </c>
      <c r="M1829" s="54">
        <v>5000</v>
      </c>
      <c r="N1829" s="53">
        <f t="shared" si="56"/>
        <v>-5000</v>
      </c>
      <c r="O1829" s="53">
        <f t="shared" si="57"/>
        <v>5000</v>
      </c>
    </row>
    <row r="1830" spans="1:15" x14ac:dyDescent="0.2">
      <c r="A1830" s="51" t="s">
        <v>3567</v>
      </c>
      <c r="B1830" s="51" t="s">
        <v>3568</v>
      </c>
      <c r="C1830" s="51" t="s">
        <v>71</v>
      </c>
      <c r="D1830" s="51" t="s">
        <v>1681</v>
      </c>
      <c r="E1830" s="51" t="s">
        <v>1680</v>
      </c>
      <c r="F1830" s="52">
        <v>50171.811034918028</v>
      </c>
      <c r="G1830" s="52">
        <v>9270</v>
      </c>
      <c r="H1830" s="52">
        <v>23720</v>
      </c>
      <c r="I1830" s="52">
        <v>32990</v>
      </c>
      <c r="J1830" s="51">
        <v>1</v>
      </c>
      <c r="K1830" s="54">
        <v>5000</v>
      </c>
      <c r="L1830" s="51">
        <v>1</v>
      </c>
      <c r="M1830" s="54">
        <v>30000</v>
      </c>
      <c r="N1830" s="53">
        <f t="shared" si="56"/>
        <v>-25000</v>
      </c>
      <c r="O1830" s="53">
        <f t="shared" si="57"/>
        <v>25000</v>
      </c>
    </row>
    <row r="1831" spans="1:15" x14ac:dyDescent="0.2">
      <c r="A1831" s="51" t="s">
        <v>3567</v>
      </c>
      <c r="B1831" s="51" t="s">
        <v>3568</v>
      </c>
      <c r="C1831" s="51" t="s">
        <v>85</v>
      </c>
      <c r="D1831" s="51" t="s">
        <v>4531</v>
      </c>
      <c r="E1831" s="51" t="s">
        <v>4532</v>
      </c>
      <c r="F1831" s="52">
        <v>1.2787356949882189</v>
      </c>
      <c r="G1831" s="52">
        <v>0</v>
      </c>
      <c r="H1831" s="52">
        <v>0</v>
      </c>
      <c r="I1831" s="52">
        <v>0</v>
      </c>
      <c r="J1831" s="51">
        <v>0</v>
      </c>
      <c r="K1831" s="54">
        <v>0</v>
      </c>
      <c r="L1831" s="51">
        <v>0</v>
      </c>
      <c r="M1831" s="54">
        <v>0</v>
      </c>
      <c r="N1831" s="53">
        <f t="shared" si="56"/>
        <v>0</v>
      </c>
      <c r="O1831" s="53">
        <f t="shared" si="57"/>
        <v>0</v>
      </c>
    </row>
    <row r="1832" spans="1:15" x14ac:dyDescent="0.2">
      <c r="A1832" s="51" t="s">
        <v>3567</v>
      </c>
      <c r="B1832" s="51" t="s">
        <v>3568</v>
      </c>
      <c r="C1832" s="51" t="s">
        <v>67</v>
      </c>
      <c r="D1832" s="51" t="s">
        <v>2326</v>
      </c>
      <c r="E1832" s="51" t="s">
        <v>2325</v>
      </c>
      <c r="F1832" s="52">
        <v>1287.5170741933409</v>
      </c>
      <c r="G1832" s="52">
        <v>3300</v>
      </c>
      <c r="H1832" s="52">
        <v>6440</v>
      </c>
      <c r="I1832" s="52">
        <v>9740</v>
      </c>
      <c r="J1832" s="51">
        <v>0</v>
      </c>
      <c r="K1832" s="54">
        <v>0</v>
      </c>
      <c r="L1832" s="51">
        <v>1</v>
      </c>
      <c r="M1832" s="54">
        <v>13000</v>
      </c>
      <c r="N1832" s="53">
        <f t="shared" si="56"/>
        <v>-13000</v>
      </c>
      <c r="O1832" s="53">
        <f t="shared" si="57"/>
        <v>13000</v>
      </c>
    </row>
    <row r="1833" spans="1:15" x14ac:dyDescent="0.2">
      <c r="A1833" s="51" t="s">
        <v>3567</v>
      </c>
      <c r="B1833" s="51" t="s">
        <v>3568</v>
      </c>
      <c r="C1833" s="51" t="s">
        <v>76</v>
      </c>
      <c r="D1833" s="51" t="s">
        <v>3143</v>
      </c>
      <c r="E1833" s="51" t="s">
        <v>3142</v>
      </c>
      <c r="F1833" s="52">
        <v>63.014749354583778</v>
      </c>
      <c r="G1833" s="52">
        <v>6950</v>
      </c>
      <c r="H1833" s="52">
        <v>9600</v>
      </c>
      <c r="I1833" s="52">
        <v>16550</v>
      </c>
      <c r="J1833" s="51">
        <v>0</v>
      </c>
      <c r="K1833" s="54">
        <v>0</v>
      </c>
      <c r="L1833" s="51">
        <v>1</v>
      </c>
      <c r="M1833" s="54">
        <v>6000</v>
      </c>
      <c r="N1833" s="53">
        <f t="shared" si="56"/>
        <v>-6000</v>
      </c>
      <c r="O1833" s="53">
        <f t="shared" si="57"/>
        <v>6000</v>
      </c>
    </row>
    <row r="1834" spans="1:15" x14ac:dyDescent="0.2">
      <c r="A1834" s="51" t="s">
        <v>3567</v>
      </c>
      <c r="B1834" s="51" t="s">
        <v>3568</v>
      </c>
      <c r="C1834" s="51" t="s">
        <v>66</v>
      </c>
      <c r="D1834" s="51" t="s">
        <v>1048</v>
      </c>
      <c r="E1834" s="51" t="s">
        <v>1047</v>
      </c>
      <c r="F1834" s="52">
        <v>8908.5033619718361</v>
      </c>
      <c r="G1834" s="52">
        <v>660</v>
      </c>
      <c r="H1834" s="52">
        <v>8040</v>
      </c>
      <c r="I1834" s="52">
        <v>8700</v>
      </c>
      <c r="J1834" s="51">
        <v>0</v>
      </c>
      <c r="K1834" s="54">
        <v>0</v>
      </c>
      <c r="L1834" s="51">
        <v>1</v>
      </c>
      <c r="M1834" s="54">
        <v>5000</v>
      </c>
      <c r="N1834" s="53">
        <f t="shared" si="56"/>
        <v>-5000</v>
      </c>
      <c r="O1834" s="53">
        <f t="shared" si="57"/>
        <v>5000</v>
      </c>
    </row>
    <row r="1835" spans="1:15" x14ac:dyDescent="0.2">
      <c r="A1835" s="51" t="s">
        <v>3567</v>
      </c>
      <c r="B1835" s="51" t="s">
        <v>3568</v>
      </c>
      <c r="C1835" s="51" t="s">
        <v>58</v>
      </c>
      <c r="D1835" s="51" t="s">
        <v>4530</v>
      </c>
      <c r="E1835" s="51" t="s">
        <v>2315</v>
      </c>
      <c r="F1835" s="52">
        <v>15.736599999999999</v>
      </c>
      <c r="G1835" s="52">
        <v>0</v>
      </c>
      <c r="H1835" s="52">
        <v>0</v>
      </c>
      <c r="I1835" s="52">
        <v>0</v>
      </c>
      <c r="J1835" s="51">
        <v>0</v>
      </c>
      <c r="K1835" s="54">
        <v>0</v>
      </c>
      <c r="L1835" s="51">
        <v>0</v>
      </c>
      <c r="M1835" s="54">
        <v>0</v>
      </c>
      <c r="N1835" s="53">
        <f t="shared" si="56"/>
        <v>0</v>
      </c>
      <c r="O1835" s="53">
        <f t="shared" si="57"/>
        <v>0</v>
      </c>
    </row>
    <row r="1836" spans="1:15" x14ac:dyDescent="0.2">
      <c r="A1836" s="51" t="s">
        <v>3567</v>
      </c>
      <c r="B1836" s="51" t="s">
        <v>3568</v>
      </c>
      <c r="C1836" s="51" t="s">
        <v>55</v>
      </c>
      <c r="D1836" s="51" t="s">
        <v>894</v>
      </c>
      <c r="E1836" s="51" t="s">
        <v>893</v>
      </c>
      <c r="F1836" s="52">
        <v>7541.6420608694998</v>
      </c>
      <c r="G1836" s="52">
        <v>7060</v>
      </c>
      <c r="H1836" s="52">
        <v>1880</v>
      </c>
      <c r="I1836" s="52">
        <v>8940</v>
      </c>
      <c r="J1836" s="51">
        <v>1</v>
      </c>
      <c r="K1836" s="54">
        <v>5000</v>
      </c>
      <c r="L1836" s="51">
        <v>1</v>
      </c>
      <c r="M1836" s="54">
        <v>13000</v>
      </c>
      <c r="N1836" s="53">
        <f t="shared" si="56"/>
        <v>-8000</v>
      </c>
      <c r="O1836" s="53">
        <f t="shared" si="57"/>
        <v>8000</v>
      </c>
    </row>
    <row r="1837" spans="1:15" x14ac:dyDescent="0.2">
      <c r="A1837" s="51" t="s">
        <v>3567</v>
      </c>
      <c r="B1837" s="51" t="s">
        <v>3568</v>
      </c>
      <c r="C1837" s="51" t="s">
        <v>79</v>
      </c>
      <c r="D1837" s="51" t="s">
        <v>2606</v>
      </c>
      <c r="E1837" s="51" t="s">
        <v>2605</v>
      </c>
      <c r="F1837" s="52">
        <v>1706.9171434783</v>
      </c>
      <c r="G1837" s="52">
        <v>5000</v>
      </c>
      <c r="H1837" s="52">
        <v>200</v>
      </c>
      <c r="I1837" s="52">
        <v>5200</v>
      </c>
      <c r="J1837" s="51">
        <v>0</v>
      </c>
      <c r="K1837" s="54">
        <v>0</v>
      </c>
      <c r="L1837" s="51">
        <v>1</v>
      </c>
      <c r="M1837" s="54">
        <v>5000</v>
      </c>
      <c r="N1837" s="53">
        <f t="shared" si="56"/>
        <v>-5000</v>
      </c>
      <c r="O1837" s="53">
        <f t="shared" si="57"/>
        <v>5000</v>
      </c>
    </row>
    <row r="1838" spans="1:15" x14ac:dyDescent="0.2">
      <c r="A1838" s="51" t="s">
        <v>3567</v>
      </c>
      <c r="B1838" s="51" t="s">
        <v>3568</v>
      </c>
      <c r="C1838" s="51" t="s">
        <v>83</v>
      </c>
      <c r="D1838" s="51" t="s">
        <v>3533</v>
      </c>
      <c r="E1838" s="51" t="s">
        <v>3532</v>
      </c>
      <c r="F1838" s="52">
        <v>5087.491</v>
      </c>
      <c r="G1838" s="52">
        <v>0</v>
      </c>
      <c r="H1838" s="52">
        <v>0</v>
      </c>
      <c r="I1838" s="52">
        <v>0</v>
      </c>
      <c r="J1838" s="51">
        <v>0</v>
      </c>
      <c r="K1838" s="54">
        <v>0</v>
      </c>
      <c r="L1838" s="51">
        <v>0</v>
      </c>
      <c r="M1838" s="54">
        <v>0</v>
      </c>
      <c r="N1838" s="53">
        <f t="shared" si="56"/>
        <v>0</v>
      </c>
      <c r="O1838" s="53">
        <f t="shared" si="57"/>
        <v>0</v>
      </c>
    </row>
    <row r="1839" spans="1:15" x14ac:dyDescent="0.2">
      <c r="A1839" s="51" t="s">
        <v>3567</v>
      </c>
      <c r="B1839" s="51" t="s">
        <v>3568</v>
      </c>
      <c r="C1839" s="51" t="s">
        <v>65</v>
      </c>
      <c r="D1839" s="51" t="s">
        <v>2446</v>
      </c>
      <c r="E1839" s="51" t="s">
        <v>2445</v>
      </c>
      <c r="F1839" s="52">
        <v>886.76990000000001</v>
      </c>
      <c r="G1839" s="52">
        <v>22900</v>
      </c>
      <c r="H1839" s="52">
        <v>2500</v>
      </c>
      <c r="I1839" s="52">
        <v>25400</v>
      </c>
      <c r="J1839" s="51">
        <v>2</v>
      </c>
      <c r="K1839" s="54">
        <v>10000</v>
      </c>
      <c r="L1839" s="51">
        <v>0</v>
      </c>
      <c r="M1839" s="54">
        <v>0</v>
      </c>
      <c r="N1839" s="53">
        <f t="shared" si="56"/>
        <v>10000</v>
      </c>
      <c r="O1839" s="53">
        <f t="shared" si="57"/>
        <v>-10000</v>
      </c>
    </row>
    <row r="1840" spans="1:15" x14ac:dyDescent="0.2">
      <c r="A1840" s="51" t="s">
        <v>3567</v>
      </c>
      <c r="B1840" s="51" t="s">
        <v>3568</v>
      </c>
      <c r="C1840" s="51" t="s">
        <v>62</v>
      </c>
      <c r="D1840" s="51" t="s">
        <v>1230</v>
      </c>
      <c r="E1840" s="51" t="s">
        <v>887</v>
      </c>
      <c r="F1840" s="52">
        <v>7930.9172828665369</v>
      </c>
      <c r="G1840" s="52">
        <v>0</v>
      </c>
      <c r="H1840" s="52">
        <v>8920</v>
      </c>
      <c r="I1840" s="52">
        <v>8920</v>
      </c>
      <c r="J1840" s="51">
        <v>0</v>
      </c>
      <c r="K1840" s="54">
        <v>0</v>
      </c>
      <c r="L1840" s="51">
        <v>1</v>
      </c>
      <c r="M1840" s="54">
        <v>9000</v>
      </c>
      <c r="N1840" s="53">
        <f t="shared" si="56"/>
        <v>-9000</v>
      </c>
      <c r="O1840" s="53">
        <f t="shared" si="57"/>
        <v>9000</v>
      </c>
    </row>
    <row r="1841" spans="1:15" x14ac:dyDescent="0.2">
      <c r="A1841" s="51" t="s">
        <v>3567</v>
      </c>
      <c r="B1841" s="51" t="s">
        <v>3568</v>
      </c>
      <c r="C1841" s="51" t="s">
        <v>80</v>
      </c>
      <c r="D1841" s="51" t="s">
        <v>2362</v>
      </c>
      <c r="E1841" s="51" t="s">
        <v>2361</v>
      </c>
      <c r="F1841" s="52">
        <v>14309.58084720107</v>
      </c>
      <c r="G1841" s="52">
        <v>1900</v>
      </c>
      <c r="H1841" s="52">
        <v>19685</v>
      </c>
      <c r="I1841" s="52">
        <v>21585</v>
      </c>
      <c r="J1841" s="51">
        <v>0</v>
      </c>
      <c r="K1841" s="54">
        <v>0</v>
      </c>
      <c r="L1841" s="51">
        <v>1</v>
      </c>
      <c r="M1841" s="54">
        <v>10000</v>
      </c>
      <c r="N1841" s="53">
        <f t="shared" si="56"/>
        <v>-10000</v>
      </c>
      <c r="O1841" s="53">
        <f t="shared" si="57"/>
        <v>10000</v>
      </c>
    </row>
    <row r="1842" spans="1:15" x14ac:dyDescent="0.2">
      <c r="A1842" s="51" t="s">
        <v>3567</v>
      </c>
      <c r="B1842" s="51" t="s">
        <v>3568</v>
      </c>
      <c r="C1842" s="51" t="s">
        <v>69</v>
      </c>
      <c r="D1842" s="51" t="s">
        <v>1086</v>
      </c>
      <c r="E1842" s="51" t="s">
        <v>1085</v>
      </c>
      <c r="F1842" s="52">
        <v>294.7653608360219</v>
      </c>
      <c r="G1842" s="52">
        <v>15365</v>
      </c>
      <c r="H1842" s="52">
        <v>566</v>
      </c>
      <c r="I1842" s="52">
        <v>15931</v>
      </c>
      <c r="J1842" s="51">
        <v>2</v>
      </c>
      <c r="K1842" s="54">
        <v>17000</v>
      </c>
      <c r="L1842" s="51">
        <v>1</v>
      </c>
      <c r="M1842" s="54">
        <v>2000</v>
      </c>
      <c r="N1842" s="53">
        <f t="shared" si="56"/>
        <v>15000</v>
      </c>
      <c r="O1842" s="53">
        <f t="shared" si="57"/>
        <v>-15000</v>
      </c>
    </row>
    <row r="1843" spans="1:15" x14ac:dyDescent="0.2">
      <c r="A1843" s="51" t="s">
        <v>3567</v>
      </c>
      <c r="B1843" s="51" t="s">
        <v>3568</v>
      </c>
      <c r="C1843" s="51" t="s">
        <v>74</v>
      </c>
      <c r="D1843" s="51" t="s">
        <v>3388</v>
      </c>
      <c r="E1843" s="51" t="s">
        <v>3387</v>
      </c>
      <c r="F1843" s="52">
        <v>6557.9490898886479</v>
      </c>
      <c r="G1843" s="52">
        <v>0</v>
      </c>
      <c r="H1843" s="52">
        <v>1000</v>
      </c>
      <c r="I1843" s="52">
        <v>1000</v>
      </c>
      <c r="J1843" s="51">
        <v>1</v>
      </c>
      <c r="K1843" s="54">
        <v>6000</v>
      </c>
      <c r="L1843" s="51">
        <v>1</v>
      </c>
      <c r="M1843" s="54">
        <v>1000</v>
      </c>
      <c r="N1843" s="53">
        <f t="shared" si="56"/>
        <v>5000</v>
      </c>
      <c r="O1843" s="53">
        <f t="shared" si="57"/>
        <v>-5000</v>
      </c>
    </row>
    <row r="1844" spans="1:15" x14ac:dyDescent="0.2">
      <c r="A1844" s="51" t="s">
        <v>3567</v>
      </c>
      <c r="B1844" s="51" t="s">
        <v>3568</v>
      </c>
      <c r="C1844" s="51" t="s">
        <v>76</v>
      </c>
      <c r="D1844" s="51" t="s">
        <v>1906</v>
      </c>
      <c r="E1844" s="51" t="s">
        <v>1905</v>
      </c>
      <c r="F1844" s="52">
        <v>34877.599699999999</v>
      </c>
      <c r="G1844" s="52">
        <v>11800</v>
      </c>
      <c r="H1844" s="52">
        <v>8870</v>
      </c>
      <c r="I1844" s="52">
        <v>20670</v>
      </c>
      <c r="J1844" s="51">
        <v>0</v>
      </c>
      <c r="K1844" s="54">
        <v>0</v>
      </c>
      <c r="L1844" s="51">
        <v>1</v>
      </c>
      <c r="M1844" s="54">
        <v>5000</v>
      </c>
      <c r="N1844" s="53">
        <f t="shared" si="56"/>
        <v>-5000</v>
      </c>
      <c r="O1844" s="53">
        <f t="shared" si="57"/>
        <v>5000</v>
      </c>
    </row>
    <row r="1845" spans="1:15" x14ac:dyDescent="0.2">
      <c r="A1845" s="51" t="s">
        <v>3567</v>
      </c>
      <c r="B1845" s="51" t="s">
        <v>3568</v>
      </c>
      <c r="C1845" s="51" t="s">
        <v>3650</v>
      </c>
      <c r="D1845" s="51" t="s">
        <v>4528</v>
      </c>
      <c r="E1845" s="51" t="s">
        <v>4529</v>
      </c>
      <c r="F1845" s="52">
        <v>6.4724368796652296</v>
      </c>
      <c r="G1845" s="52">
        <v>0</v>
      </c>
      <c r="H1845" s="52">
        <v>0</v>
      </c>
      <c r="I1845" s="52">
        <v>0</v>
      </c>
      <c r="J1845" s="51">
        <v>0</v>
      </c>
      <c r="K1845" s="54">
        <v>0</v>
      </c>
      <c r="L1845" s="51">
        <v>0</v>
      </c>
      <c r="M1845" s="54">
        <v>0</v>
      </c>
      <c r="N1845" s="53">
        <f t="shared" si="56"/>
        <v>0</v>
      </c>
      <c r="O1845" s="53">
        <f t="shared" si="57"/>
        <v>0</v>
      </c>
    </row>
    <row r="1846" spans="1:15" x14ac:dyDescent="0.2">
      <c r="A1846" s="51" t="s">
        <v>3567</v>
      </c>
      <c r="B1846" s="51" t="s">
        <v>3568</v>
      </c>
      <c r="C1846" s="51" t="s">
        <v>77</v>
      </c>
      <c r="D1846" s="51" t="s">
        <v>412</v>
      </c>
      <c r="E1846" s="51" t="s">
        <v>411</v>
      </c>
      <c r="F1846" s="52">
        <v>5364.1338999999998</v>
      </c>
      <c r="G1846" s="52">
        <v>0</v>
      </c>
      <c r="H1846" s="52">
        <v>0</v>
      </c>
      <c r="I1846" s="52">
        <v>0</v>
      </c>
      <c r="J1846" s="51">
        <v>0</v>
      </c>
      <c r="K1846" s="54">
        <v>0</v>
      </c>
      <c r="L1846" s="51">
        <v>0</v>
      </c>
      <c r="M1846" s="54">
        <v>0</v>
      </c>
      <c r="N1846" s="53">
        <f t="shared" si="56"/>
        <v>0</v>
      </c>
      <c r="O1846" s="53">
        <f t="shared" si="57"/>
        <v>0</v>
      </c>
    </row>
    <row r="1847" spans="1:15" x14ac:dyDescent="0.2">
      <c r="A1847" s="51" t="s">
        <v>3567</v>
      </c>
      <c r="B1847" s="51" t="s">
        <v>3568</v>
      </c>
      <c r="C1847" s="51" t="s">
        <v>92</v>
      </c>
      <c r="D1847" s="51" t="s">
        <v>2494</v>
      </c>
      <c r="E1847" s="51" t="s">
        <v>2493</v>
      </c>
      <c r="F1847" s="52">
        <v>7229.0442000000003</v>
      </c>
      <c r="G1847" s="52">
        <v>1000</v>
      </c>
      <c r="H1847" s="52">
        <v>0</v>
      </c>
      <c r="I1847" s="52">
        <v>1000</v>
      </c>
      <c r="J1847" s="51">
        <v>1</v>
      </c>
      <c r="K1847" s="54">
        <v>5000</v>
      </c>
      <c r="L1847" s="51">
        <v>0</v>
      </c>
      <c r="M1847" s="54">
        <v>0</v>
      </c>
      <c r="N1847" s="53">
        <f t="shared" si="56"/>
        <v>5000</v>
      </c>
      <c r="O1847" s="53">
        <f t="shared" si="57"/>
        <v>-5000</v>
      </c>
    </row>
    <row r="1848" spans="1:15" x14ac:dyDescent="0.2">
      <c r="A1848" s="51" t="s">
        <v>3567</v>
      </c>
      <c r="B1848" s="51" t="s">
        <v>3568</v>
      </c>
      <c r="C1848" s="51" t="s">
        <v>75</v>
      </c>
      <c r="D1848" s="51" t="s">
        <v>1832</v>
      </c>
      <c r="E1848" s="51" t="s">
        <v>1831</v>
      </c>
      <c r="F1848" s="52">
        <v>104.6446</v>
      </c>
      <c r="G1848" s="52">
        <v>200</v>
      </c>
      <c r="H1848" s="52">
        <v>0</v>
      </c>
      <c r="I1848" s="52">
        <v>200</v>
      </c>
      <c r="J1848" s="51">
        <v>0</v>
      </c>
      <c r="K1848" s="54">
        <v>0</v>
      </c>
      <c r="L1848" s="51">
        <v>0</v>
      </c>
      <c r="M1848" s="54">
        <v>0</v>
      </c>
      <c r="N1848" s="53">
        <f t="shared" si="56"/>
        <v>0</v>
      </c>
      <c r="O1848" s="53">
        <f t="shared" si="57"/>
        <v>0</v>
      </c>
    </row>
    <row r="1849" spans="1:15" x14ac:dyDescent="0.2">
      <c r="A1849" s="51" t="s">
        <v>3567</v>
      </c>
      <c r="B1849" s="51" t="s">
        <v>3568</v>
      </c>
      <c r="C1849" s="51" t="s">
        <v>70</v>
      </c>
      <c r="D1849" s="51" t="s">
        <v>4548</v>
      </c>
      <c r="E1849" s="51" t="s">
        <v>4549</v>
      </c>
      <c r="F1849" s="52">
        <v>0.819613066539705</v>
      </c>
      <c r="G1849" s="52">
        <v>0</v>
      </c>
      <c r="H1849" s="52">
        <v>0</v>
      </c>
      <c r="I1849" s="52">
        <v>0</v>
      </c>
      <c r="J1849" s="51">
        <v>0</v>
      </c>
      <c r="K1849" s="54">
        <v>0</v>
      </c>
      <c r="L1849" s="51">
        <v>0</v>
      </c>
      <c r="M1849" s="54">
        <v>0</v>
      </c>
      <c r="N1849" s="53">
        <f t="shared" si="56"/>
        <v>0</v>
      </c>
      <c r="O1849" s="53">
        <f t="shared" si="57"/>
        <v>0</v>
      </c>
    </row>
    <row r="1850" spans="1:15" x14ac:dyDescent="0.2">
      <c r="A1850" s="51" t="s">
        <v>3567</v>
      </c>
      <c r="B1850" s="51" t="s">
        <v>3568</v>
      </c>
      <c r="C1850" s="51" t="s">
        <v>53</v>
      </c>
      <c r="D1850" s="51" t="s">
        <v>2743</v>
      </c>
      <c r="E1850" s="51" t="s">
        <v>2742</v>
      </c>
      <c r="F1850" s="52">
        <v>155.1272871342145</v>
      </c>
      <c r="G1850" s="52">
        <v>13105</v>
      </c>
      <c r="H1850" s="52">
        <v>2000</v>
      </c>
      <c r="I1850" s="52">
        <v>15105</v>
      </c>
      <c r="J1850" s="51">
        <v>1</v>
      </c>
      <c r="K1850" s="54">
        <v>5000</v>
      </c>
      <c r="L1850" s="51">
        <v>0</v>
      </c>
      <c r="M1850" s="54">
        <v>0</v>
      </c>
      <c r="N1850" s="53">
        <f t="shared" si="56"/>
        <v>5000</v>
      </c>
      <c r="O1850" s="53">
        <f t="shared" si="57"/>
        <v>-5000</v>
      </c>
    </row>
    <row r="1851" spans="1:15" x14ac:dyDescent="0.2">
      <c r="A1851" s="51" t="s">
        <v>3567</v>
      </c>
      <c r="B1851" s="51" t="s">
        <v>3568</v>
      </c>
      <c r="C1851" s="51" t="s">
        <v>64</v>
      </c>
      <c r="D1851" s="51" t="s">
        <v>3096</v>
      </c>
      <c r="E1851" s="51" t="s">
        <v>3095</v>
      </c>
      <c r="F1851" s="52">
        <v>4655.4073590492226</v>
      </c>
      <c r="G1851" s="52">
        <v>26300</v>
      </c>
      <c r="H1851" s="52">
        <v>4895</v>
      </c>
      <c r="I1851" s="52">
        <v>31195</v>
      </c>
      <c r="J1851" s="51">
        <v>2</v>
      </c>
      <c r="K1851" s="54">
        <v>15000</v>
      </c>
      <c r="L1851" s="51">
        <v>0</v>
      </c>
      <c r="M1851" s="54">
        <v>0</v>
      </c>
      <c r="N1851" s="53">
        <f t="shared" si="56"/>
        <v>15000</v>
      </c>
      <c r="O1851" s="53">
        <f t="shared" si="57"/>
        <v>-15000</v>
      </c>
    </row>
    <row r="1852" spans="1:15" x14ac:dyDescent="0.2">
      <c r="A1852" s="51" t="s">
        <v>3567</v>
      </c>
      <c r="B1852" s="51" t="s">
        <v>3568</v>
      </c>
      <c r="C1852" s="51" t="s">
        <v>74</v>
      </c>
      <c r="D1852" s="51" t="s">
        <v>3517</v>
      </c>
      <c r="E1852" s="51" t="s">
        <v>3516</v>
      </c>
      <c r="F1852" s="52">
        <v>13.999700000000001</v>
      </c>
      <c r="G1852" s="52">
        <v>0</v>
      </c>
      <c r="H1852" s="52">
        <v>2000</v>
      </c>
      <c r="I1852" s="52">
        <v>2000</v>
      </c>
      <c r="J1852" s="51">
        <v>0</v>
      </c>
      <c r="K1852" s="54">
        <v>0</v>
      </c>
      <c r="L1852" s="51">
        <v>1</v>
      </c>
      <c r="M1852" s="54">
        <v>5000</v>
      </c>
      <c r="N1852" s="53">
        <f t="shared" si="56"/>
        <v>-5000</v>
      </c>
      <c r="O1852" s="53">
        <f t="shared" si="57"/>
        <v>5000</v>
      </c>
    </row>
    <row r="1853" spans="1:15" x14ac:dyDescent="0.2">
      <c r="A1853" s="51" t="s">
        <v>3567</v>
      </c>
      <c r="B1853" s="51" t="s">
        <v>3568</v>
      </c>
      <c r="C1853" s="51" t="s">
        <v>67</v>
      </c>
      <c r="D1853" s="51" t="s">
        <v>1946</v>
      </c>
      <c r="E1853" s="51" t="s">
        <v>1945</v>
      </c>
      <c r="F1853" s="52">
        <v>6061.2260528804791</v>
      </c>
      <c r="G1853" s="52">
        <v>0</v>
      </c>
      <c r="H1853" s="52">
        <v>670</v>
      </c>
      <c r="I1853" s="52">
        <v>670</v>
      </c>
      <c r="J1853" s="51">
        <v>1</v>
      </c>
      <c r="K1853" s="54">
        <v>5000</v>
      </c>
      <c r="L1853" s="51">
        <v>0</v>
      </c>
      <c r="M1853" s="54">
        <v>0</v>
      </c>
      <c r="N1853" s="53">
        <f t="shared" si="56"/>
        <v>5000</v>
      </c>
      <c r="O1853" s="53">
        <f t="shared" si="57"/>
        <v>-5000</v>
      </c>
    </row>
    <row r="1854" spans="1:15" x14ac:dyDescent="0.2">
      <c r="A1854" s="51" t="s">
        <v>3567</v>
      </c>
      <c r="B1854" s="51" t="s">
        <v>3568</v>
      </c>
      <c r="C1854" s="51" t="s">
        <v>64</v>
      </c>
      <c r="D1854" s="51" t="s">
        <v>4581</v>
      </c>
      <c r="E1854" s="51" t="s">
        <v>4582</v>
      </c>
      <c r="F1854" s="52">
        <v>33.477249999999998</v>
      </c>
      <c r="G1854" s="52">
        <v>0</v>
      </c>
      <c r="H1854" s="52">
        <v>0</v>
      </c>
      <c r="I1854" s="52">
        <v>0</v>
      </c>
      <c r="J1854" s="51">
        <v>0</v>
      </c>
      <c r="K1854" s="54">
        <v>0</v>
      </c>
      <c r="L1854" s="51">
        <v>0</v>
      </c>
      <c r="M1854" s="54">
        <v>0</v>
      </c>
      <c r="N1854" s="53">
        <f t="shared" si="56"/>
        <v>0</v>
      </c>
      <c r="O1854" s="53">
        <f t="shared" si="57"/>
        <v>0</v>
      </c>
    </row>
    <row r="1855" spans="1:15" x14ac:dyDescent="0.2">
      <c r="A1855" s="51" t="s">
        <v>3567</v>
      </c>
      <c r="B1855" s="51" t="s">
        <v>3568</v>
      </c>
      <c r="C1855" s="51" t="s">
        <v>86</v>
      </c>
      <c r="D1855" s="51" t="s">
        <v>680</v>
      </c>
      <c r="E1855" s="51" t="s">
        <v>679</v>
      </c>
      <c r="F1855" s="52">
        <v>5141.533686849797</v>
      </c>
      <c r="G1855" s="52">
        <v>0</v>
      </c>
      <c r="H1855" s="52">
        <v>6550</v>
      </c>
      <c r="I1855" s="52">
        <v>6550</v>
      </c>
      <c r="J1855" s="51">
        <v>0</v>
      </c>
      <c r="K1855" s="54">
        <v>0</v>
      </c>
      <c r="L1855" s="51">
        <v>1</v>
      </c>
      <c r="M1855" s="54">
        <v>19000</v>
      </c>
      <c r="N1855" s="53">
        <f t="shared" si="56"/>
        <v>-19000</v>
      </c>
      <c r="O1855" s="53">
        <f t="shared" si="57"/>
        <v>19000</v>
      </c>
    </row>
    <row r="1856" spans="1:15" x14ac:dyDescent="0.2">
      <c r="A1856" s="51" t="s">
        <v>3567</v>
      </c>
      <c r="B1856" s="51" t="s">
        <v>3568</v>
      </c>
      <c r="C1856" s="51" t="s">
        <v>84</v>
      </c>
      <c r="D1856" s="51" t="s">
        <v>2177</v>
      </c>
      <c r="E1856" s="51" t="s">
        <v>2176</v>
      </c>
      <c r="F1856" s="52">
        <v>13811.23644831558</v>
      </c>
      <c r="G1856" s="52">
        <v>8240</v>
      </c>
      <c r="H1856" s="52">
        <v>58690</v>
      </c>
      <c r="I1856" s="52">
        <v>66930</v>
      </c>
      <c r="J1856" s="51">
        <v>0</v>
      </c>
      <c r="K1856" s="54">
        <v>0</v>
      </c>
      <c r="L1856" s="51">
        <v>2</v>
      </c>
      <c r="M1856" s="54">
        <v>55000</v>
      </c>
      <c r="N1856" s="53">
        <f t="shared" si="56"/>
        <v>-55000</v>
      </c>
      <c r="O1856" s="53">
        <f t="shared" si="57"/>
        <v>55000</v>
      </c>
    </row>
    <row r="1857" spans="1:15" x14ac:dyDescent="0.2">
      <c r="A1857" s="51" t="s">
        <v>3567</v>
      </c>
      <c r="B1857" s="51" t="s">
        <v>3568</v>
      </c>
      <c r="C1857" s="51" t="s">
        <v>3610</v>
      </c>
      <c r="D1857" s="51" t="s">
        <v>4562</v>
      </c>
      <c r="E1857" s="51" t="s">
        <v>2183</v>
      </c>
      <c r="F1857" s="52">
        <v>0</v>
      </c>
      <c r="G1857" s="52">
        <v>0</v>
      </c>
      <c r="H1857" s="52">
        <v>0</v>
      </c>
      <c r="I1857" s="52">
        <v>0</v>
      </c>
      <c r="J1857" s="51">
        <v>0</v>
      </c>
      <c r="K1857" s="54">
        <v>0</v>
      </c>
      <c r="L1857" s="51">
        <v>0</v>
      </c>
      <c r="M1857" s="54">
        <v>0</v>
      </c>
      <c r="N1857" s="53">
        <f t="shared" si="56"/>
        <v>0</v>
      </c>
      <c r="O1857" s="53">
        <f t="shared" si="57"/>
        <v>0</v>
      </c>
    </row>
    <row r="1858" spans="1:15" x14ac:dyDescent="0.2">
      <c r="A1858" s="51" t="s">
        <v>3567</v>
      </c>
      <c r="B1858" s="51" t="s">
        <v>3568</v>
      </c>
      <c r="C1858" s="51" t="s">
        <v>86</v>
      </c>
      <c r="D1858" s="51" t="s">
        <v>150</v>
      </c>
      <c r="E1858" s="51" t="s">
        <v>149</v>
      </c>
      <c r="F1858" s="52">
        <v>1452.750454357026</v>
      </c>
      <c r="G1858" s="52">
        <v>200</v>
      </c>
      <c r="H1858" s="52">
        <v>1600</v>
      </c>
      <c r="I1858" s="52">
        <v>1800</v>
      </c>
      <c r="J1858" s="51">
        <v>0</v>
      </c>
      <c r="K1858" s="54">
        <v>0</v>
      </c>
      <c r="L1858" s="51">
        <v>0</v>
      </c>
      <c r="M1858" s="54">
        <v>0</v>
      </c>
      <c r="N1858" s="53">
        <f t="shared" si="56"/>
        <v>0</v>
      </c>
      <c r="O1858" s="53">
        <f t="shared" si="57"/>
        <v>0</v>
      </c>
    </row>
    <row r="1859" spans="1:15" x14ac:dyDescent="0.2">
      <c r="A1859" s="51" t="s">
        <v>3567</v>
      </c>
      <c r="B1859" s="51" t="s">
        <v>3568</v>
      </c>
      <c r="C1859" s="51" t="s">
        <v>3756</v>
      </c>
      <c r="D1859" s="51" t="s">
        <v>4575</v>
      </c>
      <c r="E1859" s="51" t="s">
        <v>4576</v>
      </c>
      <c r="F1859" s="52">
        <v>8.4629473536520265</v>
      </c>
      <c r="G1859" s="52">
        <v>0</v>
      </c>
      <c r="H1859" s="52">
        <v>0</v>
      </c>
      <c r="I1859" s="52">
        <v>0</v>
      </c>
      <c r="J1859" s="51">
        <v>0</v>
      </c>
      <c r="K1859" s="54">
        <v>0</v>
      </c>
      <c r="L1859" s="51">
        <v>0</v>
      </c>
      <c r="M1859" s="54">
        <v>0</v>
      </c>
      <c r="N1859" s="53">
        <f t="shared" ref="N1859:N1922" si="58">K1859-M1859</f>
        <v>0</v>
      </c>
      <c r="O1859" s="53">
        <f t="shared" ref="O1859:O1922" si="59">M1859-K1859</f>
        <v>0</v>
      </c>
    </row>
    <row r="1860" spans="1:15" x14ac:dyDescent="0.2">
      <c r="A1860" s="51" t="s">
        <v>3567</v>
      </c>
      <c r="B1860" s="51" t="s">
        <v>3568</v>
      </c>
      <c r="C1860" s="51" t="s">
        <v>67</v>
      </c>
      <c r="D1860" s="51" t="s">
        <v>2102</v>
      </c>
      <c r="E1860" s="51" t="s">
        <v>2101</v>
      </c>
      <c r="F1860" s="52">
        <v>35.786340000000003</v>
      </c>
      <c r="G1860" s="52">
        <v>0</v>
      </c>
      <c r="H1860" s="52">
        <v>0</v>
      </c>
      <c r="I1860" s="52">
        <v>0</v>
      </c>
      <c r="J1860" s="51">
        <v>1</v>
      </c>
      <c r="K1860" s="54">
        <v>5000</v>
      </c>
      <c r="L1860" s="51">
        <v>0</v>
      </c>
      <c r="M1860" s="54">
        <v>0</v>
      </c>
      <c r="N1860" s="53">
        <f t="shared" si="58"/>
        <v>5000</v>
      </c>
      <c r="O1860" s="53">
        <f t="shared" si="59"/>
        <v>-5000</v>
      </c>
    </row>
    <row r="1861" spans="1:15" x14ac:dyDescent="0.2">
      <c r="A1861" s="51" t="s">
        <v>3567</v>
      </c>
      <c r="B1861" s="51" t="s">
        <v>3568</v>
      </c>
      <c r="C1861" s="51" t="s">
        <v>86</v>
      </c>
      <c r="D1861" s="51" t="s">
        <v>1842</v>
      </c>
      <c r="E1861" s="51" t="s">
        <v>1841</v>
      </c>
      <c r="F1861" s="52">
        <v>2155.8886946739772</v>
      </c>
      <c r="G1861" s="52">
        <v>710</v>
      </c>
      <c r="H1861" s="52">
        <v>10715</v>
      </c>
      <c r="I1861" s="52">
        <v>11425</v>
      </c>
      <c r="J1861" s="51">
        <v>0</v>
      </c>
      <c r="K1861" s="54">
        <v>0</v>
      </c>
      <c r="L1861" s="51">
        <v>1</v>
      </c>
      <c r="M1861" s="54">
        <v>10000</v>
      </c>
      <c r="N1861" s="53">
        <f t="shared" si="58"/>
        <v>-10000</v>
      </c>
      <c r="O1861" s="53">
        <f t="shared" si="59"/>
        <v>10000</v>
      </c>
    </row>
    <row r="1862" spans="1:15" x14ac:dyDescent="0.2">
      <c r="A1862" s="51" t="s">
        <v>3567</v>
      </c>
      <c r="B1862" s="51" t="s">
        <v>3568</v>
      </c>
      <c r="C1862" s="51" t="s">
        <v>74</v>
      </c>
      <c r="D1862" s="51" t="s">
        <v>2773</v>
      </c>
      <c r="E1862" s="51" t="s">
        <v>2772</v>
      </c>
      <c r="F1862" s="52">
        <v>11849.4313</v>
      </c>
      <c r="G1862" s="52">
        <v>10870</v>
      </c>
      <c r="H1862" s="52">
        <v>10860</v>
      </c>
      <c r="I1862" s="52">
        <v>21730</v>
      </c>
      <c r="J1862" s="51">
        <v>2</v>
      </c>
      <c r="K1862" s="54">
        <v>10000</v>
      </c>
      <c r="L1862" s="51">
        <v>1</v>
      </c>
      <c r="M1862" s="54">
        <v>5000</v>
      </c>
      <c r="N1862" s="53">
        <f t="shared" si="58"/>
        <v>5000</v>
      </c>
      <c r="O1862" s="53">
        <f t="shared" si="59"/>
        <v>-5000</v>
      </c>
    </row>
    <row r="1863" spans="1:15" x14ac:dyDescent="0.2">
      <c r="A1863" s="51" t="s">
        <v>3567</v>
      </c>
      <c r="B1863" s="51" t="s">
        <v>3568</v>
      </c>
      <c r="C1863" s="51" t="s">
        <v>3597</v>
      </c>
      <c r="D1863" s="51" t="s">
        <v>4563</v>
      </c>
      <c r="E1863" s="51" t="s">
        <v>4564</v>
      </c>
      <c r="F1863" s="52">
        <v>12.3816558059735</v>
      </c>
      <c r="G1863" s="52">
        <v>0</v>
      </c>
      <c r="H1863" s="52">
        <v>0</v>
      </c>
      <c r="I1863" s="52">
        <v>0</v>
      </c>
      <c r="J1863" s="51">
        <v>0</v>
      </c>
      <c r="K1863" s="54">
        <v>0</v>
      </c>
      <c r="L1863" s="51">
        <v>0</v>
      </c>
      <c r="M1863" s="54">
        <v>0</v>
      </c>
      <c r="N1863" s="53">
        <f t="shared" si="58"/>
        <v>0</v>
      </c>
      <c r="O1863" s="53">
        <f t="shared" si="59"/>
        <v>0</v>
      </c>
    </row>
    <row r="1864" spans="1:15" x14ac:dyDescent="0.2">
      <c r="A1864" s="51" t="s">
        <v>3567</v>
      </c>
      <c r="B1864" s="51" t="s">
        <v>3568</v>
      </c>
      <c r="C1864" s="51" t="s">
        <v>68</v>
      </c>
      <c r="D1864" s="51" t="s">
        <v>819</v>
      </c>
      <c r="E1864" s="51" t="s">
        <v>818</v>
      </c>
      <c r="F1864" s="52">
        <v>9014.2384866071334</v>
      </c>
      <c r="G1864" s="52">
        <v>2100</v>
      </c>
      <c r="H1864" s="52">
        <v>4190</v>
      </c>
      <c r="I1864" s="52">
        <v>6290</v>
      </c>
      <c r="J1864" s="51">
        <v>1</v>
      </c>
      <c r="K1864" s="54">
        <v>5000</v>
      </c>
      <c r="L1864" s="51">
        <v>0</v>
      </c>
      <c r="M1864" s="54">
        <v>0</v>
      </c>
      <c r="N1864" s="53">
        <f t="shared" si="58"/>
        <v>5000</v>
      </c>
      <c r="O1864" s="53">
        <f t="shared" si="59"/>
        <v>-5000</v>
      </c>
    </row>
    <row r="1865" spans="1:15" x14ac:dyDescent="0.2">
      <c r="A1865" s="51" t="s">
        <v>3567</v>
      </c>
      <c r="B1865" s="51" t="s">
        <v>3568</v>
      </c>
      <c r="C1865" s="51" t="s">
        <v>63</v>
      </c>
      <c r="D1865" s="51" t="s">
        <v>615</v>
      </c>
      <c r="E1865" s="51" t="s">
        <v>614</v>
      </c>
      <c r="F1865" s="52">
        <v>9103.0869754798514</v>
      </c>
      <c r="G1865" s="52">
        <v>18420</v>
      </c>
      <c r="H1865" s="52">
        <v>31580</v>
      </c>
      <c r="I1865" s="52">
        <v>50000</v>
      </c>
      <c r="J1865" s="51">
        <v>0</v>
      </c>
      <c r="K1865" s="54">
        <v>0</v>
      </c>
      <c r="L1865" s="51">
        <v>2</v>
      </c>
      <c r="M1865" s="54">
        <v>36000</v>
      </c>
      <c r="N1865" s="53">
        <f t="shared" si="58"/>
        <v>-36000</v>
      </c>
      <c r="O1865" s="53">
        <f t="shared" si="59"/>
        <v>36000</v>
      </c>
    </row>
    <row r="1866" spans="1:15" x14ac:dyDescent="0.2">
      <c r="A1866" s="51" t="s">
        <v>3567</v>
      </c>
      <c r="B1866" s="51" t="s">
        <v>3568</v>
      </c>
      <c r="C1866" s="51" t="s">
        <v>79</v>
      </c>
      <c r="D1866" s="51" t="s">
        <v>978</v>
      </c>
      <c r="E1866" s="51" t="s">
        <v>977</v>
      </c>
      <c r="F1866" s="52">
        <v>13109.102500000001</v>
      </c>
      <c r="G1866" s="52">
        <v>30700</v>
      </c>
      <c r="H1866" s="52">
        <v>10100</v>
      </c>
      <c r="I1866" s="52">
        <v>40800</v>
      </c>
      <c r="J1866" s="51">
        <v>1</v>
      </c>
      <c r="K1866" s="54">
        <v>6000</v>
      </c>
      <c r="L1866" s="51">
        <v>0</v>
      </c>
      <c r="M1866" s="54">
        <v>0</v>
      </c>
      <c r="N1866" s="53">
        <f t="shared" si="58"/>
        <v>6000</v>
      </c>
      <c r="O1866" s="53">
        <f t="shared" si="59"/>
        <v>-6000</v>
      </c>
    </row>
    <row r="1867" spans="1:15" x14ac:dyDescent="0.2">
      <c r="A1867" s="51" t="s">
        <v>3567</v>
      </c>
      <c r="B1867" s="51" t="s">
        <v>3568</v>
      </c>
      <c r="C1867" s="51" t="s">
        <v>61</v>
      </c>
      <c r="D1867" s="51" t="s">
        <v>454</v>
      </c>
      <c r="E1867" s="51" t="s">
        <v>453</v>
      </c>
      <c r="F1867" s="52">
        <v>23947.527204670721</v>
      </c>
      <c r="G1867" s="52">
        <v>21320</v>
      </c>
      <c r="H1867" s="52">
        <v>15140</v>
      </c>
      <c r="I1867" s="52">
        <v>36460</v>
      </c>
      <c r="J1867" s="51">
        <v>1</v>
      </c>
      <c r="K1867" s="54">
        <v>5000</v>
      </c>
      <c r="L1867" s="51">
        <v>1</v>
      </c>
      <c r="M1867" s="54">
        <v>20000</v>
      </c>
      <c r="N1867" s="53">
        <f t="shared" si="58"/>
        <v>-15000</v>
      </c>
      <c r="O1867" s="53">
        <f t="shared" si="59"/>
        <v>15000</v>
      </c>
    </row>
    <row r="1868" spans="1:15" x14ac:dyDescent="0.2">
      <c r="A1868" s="51" t="s">
        <v>3567</v>
      </c>
      <c r="B1868" s="51" t="s">
        <v>3568</v>
      </c>
      <c r="C1868" s="51" t="s">
        <v>54</v>
      </c>
      <c r="D1868" s="51" t="s">
        <v>3067</v>
      </c>
      <c r="E1868" s="51" t="s">
        <v>3066</v>
      </c>
      <c r="F1868" s="52">
        <v>12037.726816365121</v>
      </c>
      <c r="G1868" s="52">
        <v>4702</v>
      </c>
      <c r="H1868" s="52">
        <v>3350</v>
      </c>
      <c r="I1868" s="52">
        <v>8052</v>
      </c>
      <c r="J1868" s="51">
        <v>1</v>
      </c>
      <c r="K1868" s="54">
        <v>5000</v>
      </c>
      <c r="L1868" s="51">
        <v>0</v>
      </c>
      <c r="M1868" s="54">
        <v>0</v>
      </c>
      <c r="N1868" s="53">
        <f t="shared" si="58"/>
        <v>5000</v>
      </c>
      <c r="O1868" s="53">
        <f t="shared" si="59"/>
        <v>-5000</v>
      </c>
    </row>
    <row r="1869" spans="1:15" x14ac:dyDescent="0.2">
      <c r="A1869" s="51" t="s">
        <v>3567</v>
      </c>
      <c r="B1869" s="51" t="s">
        <v>3568</v>
      </c>
      <c r="C1869" s="51" t="s">
        <v>70</v>
      </c>
      <c r="D1869" s="51" t="s">
        <v>2346</v>
      </c>
      <c r="E1869" s="51" t="s">
        <v>2345</v>
      </c>
      <c r="F1869" s="52">
        <v>155.9287075394175</v>
      </c>
      <c r="G1869" s="52">
        <v>23100</v>
      </c>
      <c r="H1869" s="52">
        <v>0</v>
      </c>
      <c r="I1869" s="52">
        <v>23100</v>
      </c>
      <c r="J1869" s="51">
        <v>4</v>
      </c>
      <c r="K1869" s="54">
        <v>27000</v>
      </c>
      <c r="L1869" s="51">
        <v>0</v>
      </c>
      <c r="M1869" s="54">
        <v>0</v>
      </c>
      <c r="N1869" s="53">
        <f t="shared" si="58"/>
        <v>27000</v>
      </c>
      <c r="O1869" s="53">
        <f t="shared" si="59"/>
        <v>-27000</v>
      </c>
    </row>
    <row r="1870" spans="1:15" x14ac:dyDescent="0.2">
      <c r="A1870" s="51" t="s">
        <v>3567</v>
      </c>
      <c r="B1870" s="51" t="s">
        <v>3568</v>
      </c>
      <c r="C1870" s="51" t="s">
        <v>93</v>
      </c>
      <c r="D1870" s="51" t="s">
        <v>1881</v>
      </c>
      <c r="E1870" s="51" t="s">
        <v>1880</v>
      </c>
      <c r="F1870" s="52">
        <v>6458.3004391775239</v>
      </c>
      <c r="G1870" s="52">
        <v>0</v>
      </c>
      <c r="H1870" s="52">
        <v>1020</v>
      </c>
      <c r="I1870" s="52">
        <v>1020</v>
      </c>
      <c r="J1870" s="51">
        <v>1</v>
      </c>
      <c r="K1870" s="54">
        <v>5000</v>
      </c>
      <c r="L1870" s="51">
        <v>0</v>
      </c>
      <c r="M1870" s="54">
        <v>0</v>
      </c>
      <c r="N1870" s="53">
        <f t="shared" si="58"/>
        <v>5000</v>
      </c>
      <c r="O1870" s="53">
        <f t="shared" si="59"/>
        <v>-5000</v>
      </c>
    </row>
    <row r="1871" spans="1:15" x14ac:dyDescent="0.2">
      <c r="A1871" s="51" t="s">
        <v>3567</v>
      </c>
      <c r="B1871" s="51" t="s">
        <v>3568</v>
      </c>
      <c r="C1871" s="51" t="s">
        <v>78</v>
      </c>
      <c r="D1871" s="51" t="s">
        <v>1167</v>
      </c>
      <c r="E1871" s="51" t="s">
        <v>1166</v>
      </c>
      <c r="F1871" s="52">
        <v>7.2741655965716774</v>
      </c>
      <c r="G1871" s="52">
        <v>0</v>
      </c>
      <c r="H1871" s="52">
        <v>0</v>
      </c>
      <c r="I1871" s="52">
        <v>0</v>
      </c>
      <c r="J1871" s="51">
        <v>0</v>
      </c>
      <c r="K1871" s="54">
        <v>0</v>
      </c>
      <c r="L1871" s="51">
        <v>0</v>
      </c>
      <c r="M1871" s="54">
        <v>0</v>
      </c>
      <c r="N1871" s="53">
        <f t="shared" si="58"/>
        <v>0</v>
      </c>
      <c r="O1871" s="53">
        <f t="shared" si="59"/>
        <v>0</v>
      </c>
    </row>
    <row r="1872" spans="1:15" x14ac:dyDescent="0.2">
      <c r="A1872" s="51" t="s">
        <v>3567</v>
      </c>
      <c r="B1872" s="51" t="s">
        <v>3568</v>
      </c>
      <c r="C1872" s="51" t="s">
        <v>3698</v>
      </c>
      <c r="D1872" s="51" t="s">
        <v>4569</v>
      </c>
      <c r="E1872" s="51" t="s">
        <v>4570</v>
      </c>
      <c r="F1872" s="52">
        <v>3586.4882140693162</v>
      </c>
      <c r="G1872" s="52">
        <v>0</v>
      </c>
      <c r="H1872" s="52">
        <v>0</v>
      </c>
      <c r="I1872" s="52">
        <v>0</v>
      </c>
      <c r="J1872" s="51">
        <v>0</v>
      </c>
      <c r="K1872" s="54">
        <v>0</v>
      </c>
      <c r="L1872" s="51">
        <v>0</v>
      </c>
      <c r="M1872" s="54">
        <v>0</v>
      </c>
      <c r="N1872" s="53">
        <f t="shared" si="58"/>
        <v>0</v>
      </c>
      <c r="O1872" s="53">
        <f t="shared" si="59"/>
        <v>0</v>
      </c>
    </row>
    <row r="1873" spans="1:15" x14ac:dyDescent="0.2">
      <c r="A1873" s="51" t="s">
        <v>3567</v>
      </c>
      <c r="B1873" s="51" t="s">
        <v>3568</v>
      </c>
      <c r="C1873" s="51" t="s">
        <v>3590</v>
      </c>
      <c r="D1873" s="51" t="s">
        <v>4577</v>
      </c>
      <c r="E1873" s="51" t="s">
        <v>4578</v>
      </c>
      <c r="F1873" s="52">
        <v>34.678800000000003</v>
      </c>
      <c r="G1873" s="52">
        <v>0</v>
      </c>
      <c r="H1873" s="52">
        <v>0</v>
      </c>
      <c r="I1873" s="52">
        <v>0</v>
      </c>
      <c r="J1873" s="51">
        <v>0</v>
      </c>
      <c r="K1873" s="54">
        <v>0</v>
      </c>
      <c r="L1873" s="51">
        <v>0</v>
      </c>
      <c r="M1873" s="54">
        <v>0</v>
      </c>
      <c r="N1873" s="53">
        <f t="shared" si="58"/>
        <v>0</v>
      </c>
      <c r="O1873" s="53">
        <f t="shared" si="59"/>
        <v>0</v>
      </c>
    </row>
    <row r="1874" spans="1:15" x14ac:dyDescent="0.2">
      <c r="A1874" s="51" t="s">
        <v>3567</v>
      </c>
      <c r="B1874" s="51" t="s">
        <v>3568</v>
      </c>
      <c r="C1874" s="51" t="s">
        <v>92</v>
      </c>
      <c r="D1874" s="51" t="s">
        <v>2840</v>
      </c>
      <c r="E1874" s="51" t="s">
        <v>1005</v>
      </c>
      <c r="F1874" s="52">
        <v>32050.669699999999</v>
      </c>
      <c r="G1874" s="52">
        <v>7400</v>
      </c>
      <c r="H1874" s="52">
        <v>15980</v>
      </c>
      <c r="I1874" s="52">
        <v>23380</v>
      </c>
      <c r="J1874" s="51">
        <v>0</v>
      </c>
      <c r="K1874" s="54">
        <v>0</v>
      </c>
      <c r="L1874" s="51">
        <v>1</v>
      </c>
      <c r="M1874" s="54">
        <v>5000</v>
      </c>
      <c r="N1874" s="53">
        <f t="shared" si="58"/>
        <v>-5000</v>
      </c>
      <c r="O1874" s="53">
        <f t="shared" si="59"/>
        <v>5000</v>
      </c>
    </row>
    <row r="1875" spans="1:15" x14ac:dyDescent="0.2">
      <c r="A1875" s="51" t="s">
        <v>3567</v>
      </c>
      <c r="B1875" s="51" t="s">
        <v>3568</v>
      </c>
      <c r="C1875" s="51" t="s">
        <v>60</v>
      </c>
      <c r="D1875" s="51" t="s">
        <v>4558</v>
      </c>
      <c r="E1875" s="51" t="s">
        <v>4559</v>
      </c>
      <c r="F1875" s="52">
        <v>11.1724</v>
      </c>
      <c r="G1875" s="52">
        <v>0</v>
      </c>
      <c r="H1875" s="52">
        <v>0</v>
      </c>
      <c r="I1875" s="52">
        <v>0</v>
      </c>
      <c r="J1875" s="51">
        <v>0</v>
      </c>
      <c r="K1875" s="54">
        <v>0</v>
      </c>
      <c r="L1875" s="51">
        <v>0</v>
      </c>
      <c r="M1875" s="54">
        <v>0</v>
      </c>
      <c r="N1875" s="53">
        <f t="shared" si="58"/>
        <v>0</v>
      </c>
      <c r="O1875" s="53">
        <f t="shared" si="59"/>
        <v>0</v>
      </c>
    </row>
    <row r="1876" spans="1:15" x14ac:dyDescent="0.2">
      <c r="A1876" s="51" t="s">
        <v>3567</v>
      </c>
      <c r="B1876" s="51" t="s">
        <v>3568</v>
      </c>
      <c r="C1876" s="51" t="s">
        <v>63</v>
      </c>
      <c r="D1876" s="51" t="s">
        <v>3180</v>
      </c>
      <c r="E1876" s="51" t="s">
        <v>3179</v>
      </c>
      <c r="F1876" s="52">
        <v>25371.649758262261</v>
      </c>
      <c r="G1876" s="52">
        <v>300</v>
      </c>
      <c r="H1876" s="52">
        <v>4800</v>
      </c>
      <c r="I1876" s="52">
        <v>5100</v>
      </c>
      <c r="J1876" s="51">
        <v>0</v>
      </c>
      <c r="K1876" s="54">
        <v>0</v>
      </c>
      <c r="L1876" s="51">
        <v>1</v>
      </c>
      <c r="M1876" s="54">
        <v>20000</v>
      </c>
      <c r="N1876" s="53">
        <f t="shared" si="58"/>
        <v>-20000</v>
      </c>
      <c r="O1876" s="53">
        <f t="shared" si="59"/>
        <v>20000</v>
      </c>
    </row>
    <row r="1877" spans="1:15" x14ac:dyDescent="0.2">
      <c r="A1877" s="51" t="s">
        <v>3567</v>
      </c>
      <c r="B1877" s="51" t="s">
        <v>3568</v>
      </c>
      <c r="C1877" s="51" t="s">
        <v>4149</v>
      </c>
      <c r="D1877" s="51" t="s">
        <v>4565</v>
      </c>
      <c r="E1877" s="51" t="s">
        <v>4566</v>
      </c>
      <c r="F1877" s="52">
        <v>14.270832311224099</v>
      </c>
      <c r="G1877" s="52">
        <v>0</v>
      </c>
      <c r="H1877" s="52">
        <v>0</v>
      </c>
      <c r="I1877" s="52">
        <v>0</v>
      </c>
      <c r="J1877" s="51">
        <v>0</v>
      </c>
      <c r="K1877" s="54">
        <v>0</v>
      </c>
      <c r="L1877" s="51">
        <v>0</v>
      </c>
      <c r="M1877" s="54">
        <v>0</v>
      </c>
      <c r="N1877" s="53">
        <f t="shared" si="58"/>
        <v>0</v>
      </c>
      <c r="O1877" s="53">
        <f t="shared" si="59"/>
        <v>0</v>
      </c>
    </row>
    <row r="1878" spans="1:15" x14ac:dyDescent="0.2">
      <c r="A1878" s="51" t="s">
        <v>3567</v>
      </c>
      <c r="B1878" s="51" t="s">
        <v>3568</v>
      </c>
      <c r="C1878" s="51" t="s">
        <v>73</v>
      </c>
      <c r="D1878" s="51" t="s">
        <v>1360</v>
      </c>
      <c r="E1878" s="51" t="s">
        <v>1359</v>
      </c>
      <c r="F1878" s="52">
        <v>19832.861400000002</v>
      </c>
      <c r="G1878" s="52">
        <v>1324</v>
      </c>
      <c r="H1878" s="52">
        <v>2440</v>
      </c>
      <c r="I1878" s="52">
        <v>3764</v>
      </c>
      <c r="J1878" s="51">
        <v>1</v>
      </c>
      <c r="K1878" s="54">
        <v>10000</v>
      </c>
      <c r="L1878" s="51">
        <v>0</v>
      </c>
      <c r="M1878" s="54">
        <v>0</v>
      </c>
      <c r="N1878" s="53">
        <f t="shared" si="58"/>
        <v>10000</v>
      </c>
      <c r="O1878" s="53">
        <f t="shared" si="59"/>
        <v>-10000</v>
      </c>
    </row>
    <row r="1879" spans="1:15" x14ac:dyDescent="0.2">
      <c r="A1879" s="51" t="s">
        <v>3567</v>
      </c>
      <c r="B1879" s="51" t="s">
        <v>3568</v>
      </c>
      <c r="C1879" s="51" t="s">
        <v>83</v>
      </c>
      <c r="D1879" s="51" t="s">
        <v>4560</v>
      </c>
      <c r="E1879" s="51" t="s">
        <v>4561</v>
      </c>
      <c r="F1879" s="52">
        <v>49.342599999999997</v>
      </c>
      <c r="G1879" s="52">
        <v>0</v>
      </c>
      <c r="H1879" s="52">
        <v>0</v>
      </c>
      <c r="I1879" s="52">
        <v>0</v>
      </c>
      <c r="J1879" s="51">
        <v>0</v>
      </c>
      <c r="K1879" s="54">
        <v>0</v>
      </c>
      <c r="L1879" s="51">
        <v>0</v>
      </c>
      <c r="M1879" s="54">
        <v>0</v>
      </c>
      <c r="N1879" s="53">
        <f t="shared" si="58"/>
        <v>0</v>
      </c>
      <c r="O1879" s="53">
        <f t="shared" si="59"/>
        <v>0</v>
      </c>
    </row>
    <row r="1880" spans="1:15" x14ac:dyDescent="0.2">
      <c r="A1880" s="51" t="s">
        <v>3567</v>
      </c>
      <c r="B1880" s="51" t="s">
        <v>3568</v>
      </c>
      <c r="C1880" s="51" t="s">
        <v>72</v>
      </c>
      <c r="D1880" s="51" t="s">
        <v>1102</v>
      </c>
      <c r="E1880" s="51" t="s">
        <v>1101</v>
      </c>
      <c r="F1880" s="52">
        <v>15268.313776277209</v>
      </c>
      <c r="G1880" s="52">
        <v>26170</v>
      </c>
      <c r="H1880" s="52">
        <v>9575</v>
      </c>
      <c r="I1880" s="52">
        <v>35745</v>
      </c>
      <c r="J1880" s="51">
        <v>1</v>
      </c>
      <c r="K1880" s="54">
        <v>5000</v>
      </c>
      <c r="L1880" s="51">
        <v>0</v>
      </c>
      <c r="M1880" s="54">
        <v>0</v>
      </c>
      <c r="N1880" s="53">
        <f t="shared" si="58"/>
        <v>5000</v>
      </c>
      <c r="O1880" s="53">
        <f t="shared" si="59"/>
        <v>-5000</v>
      </c>
    </row>
    <row r="1881" spans="1:15" x14ac:dyDescent="0.2">
      <c r="A1881" s="51" t="s">
        <v>3567</v>
      </c>
      <c r="B1881" s="51" t="s">
        <v>3568</v>
      </c>
      <c r="C1881" s="51" t="s">
        <v>85</v>
      </c>
      <c r="D1881" s="51" t="s">
        <v>434</v>
      </c>
      <c r="E1881" s="51" t="s">
        <v>433</v>
      </c>
      <c r="F1881" s="52">
        <v>40198.796099382918</v>
      </c>
      <c r="G1881" s="52">
        <v>6945</v>
      </c>
      <c r="H1881" s="52">
        <v>41699</v>
      </c>
      <c r="I1881" s="52">
        <v>48644</v>
      </c>
      <c r="J1881" s="51">
        <v>0</v>
      </c>
      <c r="K1881" s="54">
        <v>0</v>
      </c>
      <c r="L1881" s="51">
        <v>1</v>
      </c>
      <c r="M1881" s="54">
        <v>25000</v>
      </c>
      <c r="N1881" s="53">
        <f t="shared" si="58"/>
        <v>-25000</v>
      </c>
      <c r="O1881" s="53">
        <f t="shared" si="59"/>
        <v>25000</v>
      </c>
    </row>
    <row r="1882" spans="1:15" x14ac:dyDescent="0.2">
      <c r="A1882" s="51" t="s">
        <v>3567</v>
      </c>
      <c r="B1882" s="51" t="s">
        <v>3568</v>
      </c>
      <c r="C1882" s="51" t="s">
        <v>3653</v>
      </c>
      <c r="D1882" s="51" t="s">
        <v>4571</v>
      </c>
      <c r="E1882" s="51" t="s">
        <v>4572</v>
      </c>
      <c r="F1882" s="52">
        <v>22.918650026714651</v>
      </c>
      <c r="G1882" s="52">
        <v>0</v>
      </c>
      <c r="H1882" s="52">
        <v>0</v>
      </c>
      <c r="I1882" s="52">
        <v>0</v>
      </c>
      <c r="J1882" s="51">
        <v>0</v>
      </c>
      <c r="K1882" s="54">
        <v>0</v>
      </c>
      <c r="L1882" s="51">
        <v>0</v>
      </c>
      <c r="M1882" s="54">
        <v>0</v>
      </c>
      <c r="N1882" s="53">
        <f t="shared" si="58"/>
        <v>0</v>
      </c>
      <c r="O1882" s="53">
        <f t="shared" si="59"/>
        <v>0</v>
      </c>
    </row>
    <row r="1883" spans="1:15" x14ac:dyDescent="0.2">
      <c r="A1883" s="51" t="s">
        <v>3567</v>
      </c>
      <c r="B1883" s="51" t="s">
        <v>3568</v>
      </c>
      <c r="C1883" s="51" t="s">
        <v>87</v>
      </c>
      <c r="D1883" s="51" t="s">
        <v>2418</v>
      </c>
      <c r="E1883" s="51" t="s">
        <v>2417</v>
      </c>
      <c r="F1883" s="52">
        <v>2613.7942351287429</v>
      </c>
      <c r="G1883" s="52">
        <v>1310</v>
      </c>
      <c r="H1883" s="52">
        <v>4150</v>
      </c>
      <c r="I1883" s="52">
        <v>5460</v>
      </c>
      <c r="J1883" s="51">
        <v>1</v>
      </c>
      <c r="K1883" s="54">
        <v>5000</v>
      </c>
      <c r="L1883" s="51">
        <v>1</v>
      </c>
      <c r="M1883" s="54">
        <v>11000</v>
      </c>
      <c r="N1883" s="53">
        <f t="shared" si="58"/>
        <v>-6000</v>
      </c>
      <c r="O1883" s="53">
        <f t="shared" si="59"/>
        <v>6000</v>
      </c>
    </row>
    <row r="1884" spans="1:15" x14ac:dyDescent="0.2">
      <c r="A1884" s="51" t="s">
        <v>3567</v>
      </c>
      <c r="B1884" s="51" t="s">
        <v>3568</v>
      </c>
      <c r="C1884" s="51" t="s">
        <v>87</v>
      </c>
      <c r="D1884" s="51" t="s">
        <v>1965</v>
      </c>
      <c r="E1884" s="51" t="s">
        <v>1964</v>
      </c>
      <c r="F1884" s="52">
        <v>5059.3680000000004</v>
      </c>
      <c r="G1884" s="52">
        <v>5988</v>
      </c>
      <c r="H1884" s="52">
        <v>390</v>
      </c>
      <c r="I1884" s="52">
        <v>6378</v>
      </c>
      <c r="J1884" s="51">
        <v>2</v>
      </c>
      <c r="K1884" s="54">
        <v>8000</v>
      </c>
      <c r="L1884" s="51">
        <v>0</v>
      </c>
      <c r="M1884" s="54">
        <v>0</v>
      </c>
      <c r="N1884" s="53">
        <f t="shared" si="58"/>
        <v>8000</v>
      </c>
      <c r="O1884" s="53">
        <f t="shared" si="59"/>
        <v>-8000</v>
      </c>
    </row>
    <row r="1885" spans="1:15" x14ac:dyDescent="0.2">
      <c r="A1885" s="51" t="s">
        <v>3567</v>
      </c>
      <c r="B1885" s="51" t="s">
        <v>3568</v>
      </c>
      <c r="C1885" s="51" t="s">
        <v>70</v>
      </c>
      <c r="D1885" s="51" t="s">
        <v>1052</v>
      </c>
      <c r="E1885" s="51" t="s">
        <v>1051</v>
      </c>
      <c r="F1885" s="52">
        <v>85.945499999999996</v>
      </c>
      <c r="G1885" s="52">
        <v>0</v>
      </c>
      <c r="H1885" s="52">
        <v>0</v>
      </c>
      <c r="I1885" s="52">
        <v>0</v>
      </c>
      <c r="J1885" s="51">
        <v>0</v>
      </c>
      <c r="K1885" s="54">
        <v>0</v>
      </c>
      <c r="L1885" s="51">
        <v>0</v>
      </c>
      <c r="M1885" s="54">
        <v>0</v>
      </c>
      <c r="N1885" s="53">
        <f t="shared" si="58"/>
        <v>0</v>
      </c>
      <c r="O1885" s="53">
        <f t="shared" si="59"/>
        <v>0</v>
      </c>
    </row>
    <row r="1886" spans="1:15" x14ac:dyDescent="0.2">
      <c r="A1886" s="51" t="s">
        <v>3567</v>
      </c>
      <c r="B1886" s="51" t="s">
        <v>3568</v>
      </c>
      <c r="C1886" s="51" t="s">
        <v>56</v>
      </c>
      <c r="D1886" s="51" t="s">
        <v>1274</v>
      </c>
      <c r="E1886" s="51" t="s">
        <v>1273</v>
      </c>
      <c r="F1886" s="52">
        <v>38094.627874846439</v>
      </c>
      <c r="G1886" s="52">
        <v>2000</v>
      </c>
      <c r="H1886" s="52">
        <v>0</v>
      </c>
      <c r="I1886" s="52">
        <v>2000</v>
      </c>
      <c r="J1886" s="51">
        <v>0</v>
      </c>
      <c r="K1886" s="54">
        <v>0</v>
      </c>
      <c r="L1886" s="51">
        <v>1</v>
      </c>
      <c r="M1886" s="54">
        <v>16000</v>
      </c>
      <c r="N1886" s="53">
        <f t="shared" si="58"/>
        <v>-16000</v>
      </c>
      <c r="O1886" s="53">
        <f t="shared" si="59"/>
        <v>16000</v>
      </c>
    </row>
    <row r="1887" spans="1:15" x14ac:dyDescent="0.2">
      <c r="A1887" s="51" t="s">
        <v>3567</v>
      </c>
      <c r="B1887" s="51" t="s">
        <v>3568</v>
      </c>
      <c r="C1887" s="51" t="s">
        <v>85</v>
      </c>
      <c r="D1887" s="51" t="s">
        <v>2001</v>
      </c>
      <c r="E1887" s="51" t="s">
        <v>2000</v>
      </c>
      <c r="F1887" s="52">
        <v>7121.7479000000003</v>
      </c>
      <c r="G1887" s="52">
        <v>2820</v>
      </c>
      <c r="H1887" s="52">
        <v>12230</v>
      </c>
      <c r="I1887" s="52">
        <v>15050</v>
      </c>
      <c r="J1887" s="51">
        <v>1</v>
      </c>
      <c r="K1887" s="54">
        <v>5000</v>
      </c>
      <c r="L1887" s="51">
        <v>1</v>
      </c>
      <c r="M1887" s="54">
        <v>10000</v>
      </c>
      <c r="N1887" s="53">
        <f t="shared" si="58"/>
        <v>-5000</v>
      </c>
      <c r="O1887" s="53">
        <f t="shared" si="59"/>
        <v>5000</v>
      </c>
    </row>
    <row r="1888" spans="1:15" x14ac:dyDescent="0.2">
      <c r="A1888" s="51" t="s">
        <v>3567</v>
      </c>
      <c r="B1888" s="51" t="s">
        <v>3568</v>
      </c>
      <c r="C1888" s="51" t="s">
        <v>70</v>
      </c>
      <c r="D1888" s="51" t="s">
        <v>2232</v>
      </c>
      <c r="E1888" s="51" t="s">
        <v>2231</v>
      </c>
      <c r="F1888" s="52">
        <v>1.3952007082</v>
      </c>
      <c r="G1888" s="52">
        <v>8369</v>
      </c>
      <c r="H1888" s="52">
        <v>0</v>
      </c>
      <c r="I1888" s="52">
        <v>8369</v>
      </c>
      <c r="J1888" s="51">
        <v>2</v>
      </c>
      <c r="K1888" s="54">
        <v>8000</v>
      </c>
      <c r="L1888" s="51">
        <v>0</v>
      </c>
      <c r="M1888" s="54">
        <v>0</v>
      </c>
      <c r="N1888" s="53">
        <f t="shared" si="58"/>
        <v>8000</v>
      </c>
      <c r="O1888" s="53">
        <f t="shared" si="59"/>
        <v>-8000</v>
      </c>
    </row>
    <row r="1889" spans="1:15" x14ac:dyDescent="0.2">
      <c r="A1889" s="51" t="s">
        <v>3567</v>
      </c>
      <c r="B1889" s="51" t="s">
        <v>3568</v>
      </c>
      <c r="C1889" s="51" t="s">
        <v>65</v>
      </c>
      <c r="D1889" s="51" t="s">
        <v>2775</v>
      </c>
      <c r="E1889" s="51" t="s">
        <v>2774</v>
      </c>
      <c r="F1889" s="52">
        <v>5074.4240943245559</v>
      </c>
      <c r="G1889" s="52">
        <v>0</v>
      </c>
      <c r="H1889" s="52">
        <v>0</v>
      </c>
      <c r="I1889" s="52">
        <v>0</v>
      </c>
      <c r="J1889" s="51">
        <v>1</v>
      </c>
      <c r="K1889" s="54">
        <v>5000</v>
      </c>
      <c r="L1889" s="51">
        <v>0</v>
      </c>
      <c r="M1889" s="54">
        <v>0</v>
      </c>
      <c r="N1889" s="53">
        <f t="shared" si="58"/>
        <v>5000</v>
      </c>
      <c r="O1889" s="53">
        <f t="shared" si="59"/>
        <v>-5000</v>
      </c>
    </row>
    <row r="1890" spans="1:15" x14ac:dyDescent="0.2">
      <c r="A1890" s="51" t="s">
        <v>3567</v>
      </c>
      <c r="B1890" s="51" t="s">
        <v>3568</v>
      </c>
      <c r="C1890" s="51" t="s">
        <v>79</v>
      </c>
      <c r="D1890" s="51" t="s">
        <v>2608</v>
      </c>
      <c r="E1890" s="51" t="s">
        <v>2607</v>
      </c>
      <c r="F1890" s="52">
        <v>31.134</v>
      </c>
      <c r="G1890" s="52">
        <v>500</v>
      </c>
      <c r="H1890" s="52">
        <v>0</v>
      </c>
      <c r="I1890" s="52">
        <v>500</v>
      </c>
      <c r="J1890" s="51">
        <v>0</v>
      </c>
      <c r="K1890" s="54">
        <v>0</v>
      </c>
      <c r="L1890" s="51">
        <v>0</v>
      </c>
      <c r="M1890" s="54">
        <v>0</v>
      </c>
      <c r="N1890" s="53">
        <f t="shared" si="58"/>
        <v>0</v>
      </c>
      <c r="O1890" s="53">
        <f t="shared" si="59"/>
        <v>0</v>
      </c>
    </row>
    <row r="1891" spans="1:15" x14ac:dyDescent="0.2">
      <c r="A1891" s="51" t="s">
        <v>3567</v>
      </c>
      <c r="B1891" s="51" t="s">
        <v>3568</v>
      </c>
      <c r="C1891" s="51" t="s">
        <v>87</v>
      </c>
      <c r="D1891" s="51" t="s">
        <v>1242</v>
      </c>
      <c r="E1891" s="51" t="s">
        <v>1241</v>
      </c>
      <c r="F1891" s="52">
        <v>3982.801100703286</v>
      </c>
      <c r="G1891" s="52">
        <v>3215</v>
      </c>
      <c r="H1891" s="52">
        <v>4350</v>
      </c>
      <c r="I1891" s="52">
        <v>7565</v>
      </c>
      <c r="J1891" s="51">
        <v>1</v>
      </c>
      <c r="K1891" s="54">
        <v>5000</v>
      </c>
      <c r="L1891" s="51">
        <v>0</v>
      </c>
      <c r="M1891" s="54">
        <v>0</v>
      </c>
      <c r="N1891" s="53">
        <f t="shared" si="58"/>
        <v>5000</v>
      </c>
      <c r="O1891" s="53">
        <f t="shared" si="59"/>
        <v>-5000</v>
      </c>
    </row>
    <row r="1892" spans="1:15" x14ac:dyDescent="0.2">
      <c r="A1892" s="51" t="s">
        <v>3567</v>
      </c>
      <c r="B1892" s="51" t="s">
        <v>3568</v>
      </c>
      <c r="C1892" s="51" t="s">
        <v>59</v>
      </c>
      <c r="D1892" s="51" t="s">
        <v>249</v>
      </c>
      <c r="E1892" s="51" t="s">
        <v>248</v>
      </c>
      <c r="F1892" s="52">
        <v>7.1051906116048684</v>
      </c>
      <c r="G1892" s="52">
        <v>0</v>
      </c>
      <c r="H1892" s="52">
        <v>0</v>
      </c>
      <c r="I1892" s="52">
        <v>0</v>
      </c>
      <c r="J1892" s="51">
        <v>0</v>
      </c>
      <c r="K1892" s="54">
        <v>0</v>
      </c>
      <c r="L1892" s="51">
        <v>0</v>
      </c>
      <c r="M1892" s="54">
        <v>0</v>
      </c>
      <c r="N1892" s="53">
        <f t="shared" si="58"/>
        <v>0</v>
      </c>
      <c r="O1892" s="53">
        <f t="shared" si="59"/>
        <v>0</v>
      </c>
    </row>
    <row r="1893" spans="1:15" x14ac:dyDescent="0.2">
      <c r="A1893" s="51" t="s">
        <v>3567</v>
      </c>
      <c r="B1893" s="51" t="s">
        <v>3568</v>
      </c>
      <c r="C1893" s="51" t="s">
        <v>79</v>
      </c>
      <c r="D1893" s="51" t="s">
        <v>3035</v>
      </c>
      <c r="E1893" s="51" t="s">
        <v>3034</v>
      </c>
      <c r="F1893" s="52">
        <v>2207.6775295138409</v>
      </c>
      <c r="G1893" s="52">
        <v>0</v>
      </c>
      <c r="H1893" s="52">
        <v>1900</v>
      </c>
      <c r="I1893" s="52">
        <v>1900</v>
      </c>
      <c r="J1893" s="51">
        <v>0</v>
      </c>
      <c r="K1893" s="54">
        <v>0</v>
      </c>
      <c r="L1893" s="51">
        <v>0</v>
      </c>
      <c r="M1893" s="54">
        <v>0</v>
      </c>
      <c r="N1893" s="53">
        <f t="shared" si="58"/>
        <v>0</v>
      </c>
      <c r="O1893" s="53">
        <f t="shared" si="59"/>
        <v>0</v>
      </c>
    </row>
    <row r="1894" spans="1:15" x14ac:dyDescent="0.2">
      <c r="A1894" s="51" t="s">
        <v>3567</v>
      </c>
      <c r="B1894" s="51" t="s">
        <v>3568</v>
      </c>
      <c r="C1894" s="51" t="s">
        <v>3718</v>
      </c>
      <c r="D1894" s="51" t="s">
        <v>4554</v>
      </c>
      <c r="E1894" s="51" t="s">
        <v>4555</v>
      </c>
      <c r="F1894" s="52">
        <v>17.404499999999999</v>
      </c>
      <c r="G1894" s="52">
        <v>0</v>
      </c>
      <c r="H1894" s="52">
        <v>0</v>
      </c>
      <c r="I1894" s="52">
        <v>0</v>
      </c>
      <c r="J1894" s="51">
        <v>0</v>
      </c>
      <c r="K1894" s="54">
        <v>0</v>
      </c>
      <c r="L1894" s="51">
        <v>0</v>
      </c>
      <c r="M1894" s="54">
        <v>0</v>
      </c>
      <c r="N1894" s="53">
        <f t="shared" si="58"/>
        <v>0</v>
      </c>
      <c r="O1894" s="53">
        <f t="shared" si="59"/>
        <v>0</v>
      </c>
    </row>
    <row r="1895" spans="1:15" x14ac:dyDescent="0.2">
      <c r="A1895" s="51" t="s">
        <v>3567</v>
      </c>
      <c r="B1895" s="51" t="s">
        <v>3568</v>
      </c>
      <c r="C1895" s="51" t="s">
        <v>3698</v>
      </c>
      <c r="D1895" s="51" t="s">
        <v>4585</v>
      </c>
      <c r="E1895" s="51" t="s">
        <v>4586</v>
      </c>
      <c r="F1895" s="52">
        <v>4.8045847199109977</v>
      </c>
      <c r="G1895" s="52">
        <v>0</v>
      </c>
      <c r="H1895" s="52">
        <v>0</v>
      </c>
      <c r="I1895" s="52">
        <v>0</v>
      </c>
      <c r="J1895" s="51">
        <v>0</v>
      </c>
      <c r="K1895" s="54">
        <v>0</v>
      </c>
      <c r="L1895" s="51">
        <v>0</v>
      </c>
      <c r="M1895" s="54">
        <v>0</v>
      </c>
      <c r="N1895" s="53">
        <f t="shared" si="58"/>
        <v>0</v>
      </c>
      <c r="O1895" s="53">
        <f t="shared" si="59"/>
        <v>0</v>
      </c>
    </row>
    <row r="1896" spans="1:15" x14ac:dyDescent="0.2">
      <c r="A1896" s="51" t="s">
        <v>3567</v>
      </c>
      <c r="B1896" s="51" t="s">
        <v>3568</v>
      </c>
      <c r="C1896" s="51" t="s">
        <v>75</v>
      </c>
      <c r="D1896" s="51" t="s">
        <v>1152</v>
      </c>
      <c r="E1896" s="51" t="s">
        <v>1151</v>
      </c>
      <c r="F1896" s="52">
        <v>27613.95915988999</v>
      </c>
      <c r="G1896" s="52">
        <v>5748</v>
      </c>
      <c r="H1896" s="52">
        <v>6240</v>
      </c>
      <c r="I1896" s="52">
        <v>11988</v>
      </c>
      <c r="J1896" s="51">
        <v>0</v>
      </c>
      <c r="K1896" s="54">
        <v>0</v>
      </c>
      <c r="L1896" s="51">
        <v>1</v>
      </c>
      <c r="M1896" s="54">
        <v>50000</v>
      </c>
      <c r="N1896" s="53">
        <f t="shared" si="58"/>
        <v>-50000</v>
      </c>
      <c r="O1896" s="53">
        <f t="shared" si="59"/>
        <v>50000</v>
      </c>
    </row>
    <row r="1897" spans="1:15" x14ac:dyDescent="0.2">
      <c r="A1897" s="51" t="s">
        <v>3567</v>
      </c>
      <c r="B1897" s="51" t="s">
        <v>3568</v>
      </c>
      <c r="C1897" s="51" t="s">
        <v>54</v>
      </c>
      <c r="D1897" s="51" t="s">
        <v>2696</v>
      </c>
      <c r="E1897" s="51" t="s">
        <v>2695</v>
      </c>
      <c r="F1897" s="52">
        <v>12989.761169565199</v>
      </c>
      <c r="G1897" s="52">
        <v>2500</v>
      </c>
      <c r="H1897" s="52">
        <v>17210</v>
      </c>
      <c r="I1897" s="52">
        <v>19710</v>
      </c>
      <c r="J1897" s="51">
        <v>1</v>
      </c>
      <c r="K1897" s="54">
        <v>5000</v>
      </c>
      <c r="L1897" s="51">
        <v>0</v>
      </c>
      <c r="M1897" s="54">
        <v>0</v>
      </c>
      <c r="N1897" s="53">
        <f t="shared" si="58"/>
        <v>5000</v>
      </c>
      <c r="O1897" s="53">
        <f t="shared" si="59"/>
        <v>-5000</v>
      </c>
    </row>
    <row r="1898" spans="1:15" x14ac:dyDescent="0.2">
      <c r="A1898" s="51" t="s">
        <v>3567</v>
      </c>
      <c r="B1898" s="51" t="s">
        <v>3568</v>
      </c>
      <c r="C1898" s="51" t="s">
        <v>72</v>
      </c>
      <c r="D1898" s="51" t="s">
        <v>2058</v>
      </c>
      <c r="E1898" s="51" t="s">
        <v>2057</v>
      </c>
      <c r="F1898" s="52">
        <v>4737.8255568644718</v>
      </c>
      <c r="G1898" s="52">
        <v>1300</v>
      </c>
      <c r="H1898" s="52">
        <v>3000</v>
      </c>
      <c r="I1898" s="52">
        <v>4300</v>
      </c>
      <c r="J1898" s="51">
        <v>0</v>
      </c>
      <c r="K1898" s="54">
        <v>0</v>
      </c>
      <c r="L1898" s="51">
        <v>0</v>
      </c>
      <c r="M1898" s="54">
        <v>0</v>
      </c>
      <c r="N1898" s="53">
        <f t="shared" si="58"/>
        <v>0</v>
      </c>
      <c r="O1898" s="53">
        <f t="shared" si="59"/>
        <v>0</v>
      </c>
    </row>
    <row r="1899" spans="1:15" x14ac:dyDescent="0.2">
      <c r="A1899" s="51" t="s">
        <v>3567</v>
      </c>
      <c r="B1899" s="51" t="s">
        <v>3568</v>
      </c>
      <c r="C1899" s="51" t="s">
        <v>3610</v>
      </c>
      <c r="D1899" s="51" t="s">
        <v>4597</v>
      </c>
      <c r="E1899" s="51" t="s">
        <v>4598</v>
      </c>
      <c r="F1899" s="52">
        <v>26.57334388030344</v>
      </c>
      <c r="G1899" s="52">
        <v>0</v>
      </c>
      <c r="H1899" s="52">
        <v>0</v>
      </c>
      <c r="I1899" s="52">
        <v>0</v>
      </c>
      <c r="J1899" s="51">
        <v>0</v>
      </c>
      <c r="K1899" s="54">
        <v>0</v>
      </c>
      <c r="L1899" s="51">
        <v>0</v>
      </c>
      <c r="M1899" s="54">
        <v>0</v>
      </c>
      <c r="N1899" s="53">
        <f t="shared" si="58"/>
        <v>0</v>
      </c>
      <c r="O1899" s="53">
        <f t="shared" si="59"/>
        <v>0</v>
      </c>
    </row>
    <row r="1900" spans="1:15" x14ac:dyDescent="0.2">
      <c r="A1900" s="51" t="s">
        <v>3567</v>
      </c>
      <c r="B1900" s="51" t="s">
        <v>3568</v>
      </c>
      <c r="C1900" s="51" t="s">
        <v>80</v>
      </c>
      <c r="D1900" s="51" t="s">
        <v>1545</v>
      </c>
      <c r="E1900" s="51" t="s">
        <v>1544</v>
      </c>
      <c r="F1900" s="52">
        <v>14864.141299999999</v>
      </c>
      <c r="G1900" s="52">
        <v>4320</v>
      </c>
      <c r="H1900" s="52">
        <v>1000</v>
      </c>
      <c r="I1900" s="52">
        <v>5320</v>
      </c>
      <c r="J1900" s="51">
        <v>1</v>
      </c>
      <c r="K1900" s="54">
        <v>10000</v>
      </c>
      <c r="L1900" s="51">
        <v>0</v>
      </c>
      <c r="M1900" s="54">
        <v>0</v>
      </c>
      <c r="N1900" s="53">
        <f t="shared" si="58"/>
        <v>10000</v>
      </c>
      <c r="O1900" s="53">
        <f t="shared" si="59"/>
        <v>-10000</v>
      </c>
    </row>
    <row r="1901" spans="1:15" x14ac:dyDescent="0.2">
      <c r="A1901" s="51" t="s">
        <v>3567</v>
      </c>
      <c r="B1901" s="51" t="s">
        <v>3568</v>
      </c>
      <c r="C1901" s="51" t="s">
        <v>75</v>
      </c>
      <c r="D1901" s="51" t="s">
        <v>4591</v>
      </c>
      <c r="E1901" s="51" t="s">
        <v>4592</v>
      </c>
      <c r="F1901" s="52">
        <v>40.098199999999999</v>
      </c>
      <c r="G1901" s="52">
        <v>0</v>
      </c>
      <c r="H1901" s="52">
        <v>0</v>
      </c>
      <c r="I1901" s="52">
        <v>0</v>
      </c>
      <c r="J1901" s="51">
        <v>0</v>
      </c>
      <c r="K1901" s="54">
        <v>0</v>
      </c>
      <c r="L1901" s="51">
        <v>0</v>
      </c>
      <c r="M1901" s="54">
        <v>0</v>
      </c>
      <c r="N1901" s="53">
        <f t="shared" si="58"/>
        <v>0</v>
      </c>
      <c r="O1901" s="53">
        <f t="shared" si="59"/>
        <v>0</v>
      </c>
    </row>
    <row r="1902" spans="1:15" x14ac:dyDescent="0.2">
      <c r="A1902" s="51" t="s">
        <v>3567</v>
      </c>
      <c r="B1902" s="51" t="s">
        <v>3568</v>
      </c>
      <c r="C1902" s="51" t="s">
        <v>86</v>
      </c>
      <c r="D1902" s="51" t="s">
        <v>2731</v>
      </c>
      <c r="E1902" s="51" t="s">
        <v>2730</v>
      </c>
      <c r="F1902" s="52">
        <v>3890.1163999999999</v>
      </c>
      <c r="G1902" s="52">
        <v>1950</v>
      </c>
      <c r="H1902" s="52">
        <v>34590</v>
      </c>
      <c r="I1902" s="52">
        <v>36540</v>
      </c>
      <c r="J1902" s="51">
        <v>0</v>
      </c>
      <c r="K1902" s="54">
        <v>0</v>
      </c>
      <c r="L1902" s="51">
        <v>2</v>
      </c>
      <c r="M1902" s="54">
        <v>70000</v>
      </c>
      <c r="N1902" s="53">
        <f t="shared" si="58"/>
        <v>-70000</v>
      </c>
      <c r="O1902" s="53">
        <f t="shared" si="59"/>
        <v>70000</v>
      </c>
    </row>
    <row r="1903" spans="1:15" x14ac:dyDescent="0.2">
      <c r="A1903" s="51" t="s">
        <v>3567</v>
      </c>
      <c r="B1903" s="51" t="s">
        <v>3568</v>
      </c>
      <c r="C1903" s="51" t="s">
        <v>79</v>
      </c>
      <c r="D1903" s="51" t="s">
        <v>2630</v>
      </c>
      <c r="E1903" s="51" t="s">
        <v>2629</v>
      </c>
      <c r="F1903" s="52">
        <v>19330.969400000002</v>
      </c>
      <c r="G1903" s="52">
        <v>0</v>
      </c>
      <c r="H1903" s="52">
        <v>3000</v>
      </c>
      <c r="I1903" s="52">
        <v>3000</v>
      </c>
      <c r="J1903" s="51">
        <v>0</v>
      </c>
      <c r="K1903" s="54">
        <v>0</v>
      </c>
      <c r="L1903" s="51">
        <v>0</v>
      </c>
      <c r="M1903" s="54">
        <v>0</v>
      </c>
      <c r="N1903" s="53">
        <f t="shared" si="58"/>
        <v>0</v>
      </c>
      <c r="O1903" s="53">
        <f t="shared" si="59"/>
        <v>0</v>
      </c>
    </row>
    <row r="1904" spans="1:15" x14ac:dyDescent="0.2">
      <c r="A1904" s="51" t="s">
        <v>3567</v>
      </c>
      <c r="B1904" s="51" t="s">
        <v>3568</v>
      </c>
      <c r="C1904" s="51" t="s">
        <v>3653</v>
      </c>
      <c r="D1904" s="51" t="s">
        <v>4589</v>
      </c>
      <c r="E1904" s="51" t="s">
        <v>4590</v>
      </c>
      <c r="F1904" s="52">
        <v>224.31498300000001</v>
      </c>
      <c r="G1904" s="52">
        <v>0</v>
      </c>
      <c r="H1904" s="52">
        <v>0</v>
      </c>
      <c r="I1904" s="52">
        <v>0</v>
      </c>
      <c r="J1904" s="51">
        <v>0</v>
      </c>
      <c r="K1904" s="54">
        <v>0</v>
      </c>
      <c r="L1904" s="51">
        <v>0</v>
      </c>
      <c r="M1904" s="54">
        <v>0</v>
      </c>
      <c r="N1904" s="53">
        <f t="shared" si="58"/>
        <v>0</v>
      </c>
      <c r="O1904" s="53">
        <f t="shared" si="59"/>
        <v>0</v>
      </c>
    </row>
    <row r="1905" spans="1:15" x14ac:dyDescent="0.2">
      <c r="A1905" s="51" t="s">
        <v>3567</v>
      </c>
      <c r="B1905" s="51" t="s">
        <v>3568</v>
      </c>
      <c r="C1905" s="51" t="s">
        <v>76</v>
      </c>
      <c r="D1905" s="51" t="s">
        <v>1202</v>
      </c>
      <c r="E1905" s="51" t="s">
        <v>1201</v>
      </c>
      <c r="F1905" s="52">
        <v>6057.1955399999997</v>
      </c>
      <c r="G1905" s="52">
        <v>1000</v>
      </c>
      <c r="H1905" s="52">
        <v>0</v>
      </c>
      <c r="I1905" s="52">
        <v>1000</v>
      </c>
      <c r="J1905" s="51">
        <v>0</v>
      </c>
      <c r="K1905" s="54">
        <v>0</v>
      </c>
      <c r="L1905" s="51">
        <v>0</v>
      </c>
      <c r="M1905" s="54">
        <v>0</v>
      </c>
      <c r="N1905" s="53">
        <f t="shared" si="58"/>
        <v>0</v>
      </c>
      <c r="O1905" s="53">
        <f t="shared" si="59"/>
        <v>0</v>
      </c>
    </row>
    <row r="1906" spans="1:15" x14ac:dyDescent="0.2">
      <c r="A1906" s="51" t="s">
        <v>3567</v>
      </c>
      <c r="B1906" s="51" t="s">
        <v>3568</v>
      </c>
      <c r="C1906" s="51" t="s">
        <v>3650</v>
      </c>
      <c r="D1906" s="51" t="s">
        <v>4595</v>
      </c>
      <c r="E1906" s="51" t="s">
        <v>4596</v>
      </c>
      <c r="F1906" s="52">
        <v>526.95585595370733</v>
      </c>
      <c r="G1906" s="52">
        <v>0</v>
      </c>
      <c r="H1906" s="52">
        <v>0</v>
      </c>
      <c r="I1906" s="52">
        <v>0</v>
      </c>
      <c r="J1906" s="51">
        <v>0</v>
      </c>
      <c r="K1906" s="54">
        <v>0</v>
      </c>
      <c r="L1906" s="51">
        <v>0</v>
      </c>
      <c r="M1906" s="54">
        <v>0</v>
      </c>
      <c r="N1906" s="53">
        <f t="shared" si="58"/>
        <v>0</v>
      </c>
      <c r="O1906" s="53">
        <f t="shared" si="59"/>
        <v>0</v>
      </c>
    </row>
    <row r="1907" spans="1:15" x14ac:dyDescent="0.2">
      <c r="A1907" s="51" t="s">
        <v>3567</v>
      </c>
      <c r="B1907" s="51" t="s">
        <v>3568</v>
      </c>
      <c r="C1907" s="51" t="s">
        <v>75</v>
      </c>
      <c r="D1907" s="51" t="s">
        <v>664</v>
      </c>
      <c r="E1907" s="51" t="s">
        <v>663</v>
      </c>
      <c r="F1907" s="52">
        <v>15554.17635</v>
      </c>
      <c r="G1907" s="52">
        <v>20540</v>
      </c>
      <c r="H1907" s="52">
        <v>23330</v>
      </c>
      <c r="I1907" s="52">
        <v>43870</v>
      </c>
      <c r="J1907" s="51">
        <v>1</v>
      </c>
      <c r="K1907" s="54">
        <v>10000</v>
      </c>
      <c r="L1907" s="51">
        <v>1</v>
      </c>
      <c r="M1907" s="54">
        <v>5000</v>
      </c>
      <c r="N1907" s="53">
        <f t="shared" si="58"/>
        <v>5000</v>
      </c>
      <c r="O1907" s="53">
        <f t="shared" si="59"/>
        <v>-5000</v>
      </c>
    </row>
    <row r="1908" spans="1:15" x14ac:dyDescent="0.2">
      <c r="A1908" s="51" t="s">
        <v>3567</v>
      </c>
      <c r="B1908" s="51" t="s">
        <v>3568</v>
      </c>
      <c r="C1908" s="51" t="s">
        <v>3636</v>
      </c>
      <c r="D1908" s="51" t="s">
        <v>4602</v>
      </c>
      <c r="E1908" s="51" t="s">
        <v>4603</v>
      </c>
      <c r="F1908" s="52">
        <v>6.0074026109379792</v>
      </c>
      <c r="G1908" s="52">
        <v>0</v>
      </c>
      <c r="H1908" s="52">
        <v>0</v>
      </c>
      <c r="I1908" s="52">
        <v>0</v>
      </c>
      <c r="J1908" s="51">
        <v>0</v>
      </c>
      <c r="K1908" s="54">
        <v>0</v>
      </c>
      <c r="L1908" s="51">
        <v>0</v>
      </c>
      <c r="M1908" s="54">
        <v>0</v>
      </c>
      <c r="N1908" s="53">
        <f t="shared" si="58"/>
        <v>0</v>
      </c>
      <c r="O1908" s="53">
        <f t="shared" si="59"/>
        <v>0</v>
      </c>
    </row>
    <row r="1909" spans="1:15" x14ac:dyDescent="0.2">
      <c r="A1909" s="51" t="s">
        <v>3567</v>
      </c>
      <c r="B1909" s="51" t="s">
        <v>3568</v>
      </c>
      <c r="C1909" s="51" t="s">
        <v>69</v>
      </c>
      <c r="D1909" s="51" t="s">
        <v>2805</v>
      </c>
      <c r="E1909" s="51" t="s">
        <v>2804</v>
      </c>
      <c r="F1909" s="52">
        <v>140.44675960524029</v>
      </c>
      <c r="G1909" s="52">
        <v>0</v>
      </c>
      <c r="H1909" s="52">
        <v>4246</v>
      </c>
      <c r="I1909" s="52">
        <v>4246</v>
      </c>
      <c r="J1909" s="51">
        <v>0</v>
      </c>
      <c r="K1909" s="54">
        <v>0</v>
      </c>
      <c r="L1909" s="51">
        <v>1</v>
      </c>
      <c r="M1909" s="54">
        <v>5000</v>
      </c>
      <c r="N1909" s="53">
        <f t="shared" si="58"/>
        <v>-5000</v>
      </c>
      <c r="O1909" s="53">
        <f t="shared" si="59"/>
        <v>5000</v>
      </c>
    </row>
    <row r="1910" spans="1:15" x14ac:dyDescent="0.2">
      <c r="A1910" s="51" t="s">
        <v>3567</v>
      </c>
      <c r="B1910" s="51" t="s">
        <v>3568</v>
      </c>
      <c r="C1910" s="51" t="s">
        <v>86</v>
      </c>
      <c r="D1910" s="51" t="s">
        <v>706</v>
      </c>
      <c r="E1910" s="51" t="s">
        <v>705</v>
      </c>
      <c r="F1910" s="52">
        <v>29886.202348923609</v>
      </c>
      <c r="G1910" s="52">
        <v>4130</v>
      </c>
      <c r="H1910" s="52">
        <v>46000</v>
      </c>
      <c r="I1910" s="52">
        <v>50130</v>
      </c>
      <c r="J1910" s="51">
        <v>1</v>
      </c>
      <c r="K1910" s="54">
        <v>5000</v>
      </c>
      <c r="L1910" s="51">
        <v>2</v>
      </c>
      <c r="M1910" s="54">
        <v>115000</v>
      </c>
      <c r="N1910" s="53">
        <f t="shared" si="58"/>
        <v>-110000</v>
      </c>
      <c r="O1910" s="53">
        <f t="shared" si="59"/>
        <v>110000</v>
      </c>
    </row>
    <row r="1911" spans="1:15" x14ac:dyDescent="0.2">
      <c r="A1911" s="51" t="s">
        <v>3567</v>
      </c>
      <c r="B1911" s="51" t="s">
        <v>3568</v>
      </c>
      <c r="C1911" s="51" t="s">
        <v>57</v>
      </c>
      <c r="D1911" s="51" t="s">
        <v>3550</v>
      </c>
      <c r="E1911" s="51" t="s">
        <v>3549</v>
      </c>
      <c r="F1911" s="52">
        <v>5200.9106000000002</v>
      </c>
      <c r="G1911" s="52">
        <v>0</v>
      </c>
      <c r="H1911" s="52">
        <v>0</v>
      </c>
      <c r="I1911" s="52">
        <v>0</v>
      </c>
      <c r="J1911" s="51">
        <v>1</v>
      </c>
      <c r="K1911" s="54">
        <v>5000</v>
      </c>
      <c r="L1911" s="51">
        <v>0</v>
      </c>
      <c r="M1911" s="54">
        <v>0</v>
      </c>
      <c r="N1911" s="53">
        <f t="shared" si="58"/>
        <v>5000</v>
      </c>
      <c r="O1911" s="53">
        <f t="shared" si="59"/>
        <v>-5000</v>
      </c>
    </row>
    <row r="1912" spans="1:15" x14ac:dyDescent="0.2">
      <c r="A1912" s="51" t="s">
        <v>3567</v>
      </c>
      <c r="B1912" s="51" t="s">
        <v>3568</v>
      </c>
      <c r="C1912" s="51" t="s">
        <v>85</v>
      </c>
      <c r="D1912" s="51" t="s">
        <v>4604</v>
      </c>
      <c r="E1912" s="51" t="s">
        <v>4605</v>
      </c>
      <c r="F1912" s="52">
        <v>5.4389000000000003</v>
      </c>
      <c r="G1912" s="52">
        <v>0</v>
      </c>
      <c r="H1912" s="52">
        <v>0</v>
      </c>
      <c r="I1912" s="52">
        <v>0</v>
      </c>
      <c r="J1912" s="51">
        <v>0</v>
      </c>
      <c r="K1912" s="54">
        <v>0</v>
      </c>
      <c r="L1912" s="51">
        <v>0</v>
      </c>
      <c r="M1912" s="54">
        <v>0</v>
      </c>
      <c r="N1912" s="53">
        <f t="shared" si="58"/>
        <v>0</v>
      </c>
      <c r="O1912" s="53">
        <f t="shared" si="59"/>
        <v>0</v>
      </c>
    </row>
    <row r="1913" spans="1:15" x14ac:dyDescent="0.2">
      <c r="A1913" s="51" t="s">
        <v>3567</v>
      </c>
      <c r="B1913" s="51" t="s">
        <v>3568</v>
      </c>
      <c r="C1913" s="51" t="s">
        <v>93</v>
      </c>
      <c r="D1913" s="51" t="s">
        <v>4606</v>
      </c>
      <c r="E1913" s="51" t="s">
        <v>4607</v>
      </c>
      <c r="F1913" s="52">
        <v>7.1452999999999998</v>
      </c>
      <c r="G1913" s="52">
        <v>0</v>
      </c>
      <c r="H1913" s="52">
        <v>0</v>
      </c>
      <c r="I1913" s="52">
        <v>0</v>
      </c>
      <c r="J1913" s="51">
        <v>0</v>
      </c>
      <c r="K1913" s="54">
        <v>0</v>
      </c>
      <c r="L1913" s="51">
        <v>0</v>
      </c>
      <c r="M1913" s="54">
        <v>0</v>
      </c>
      <c r="N1913" s="53">
        <f t="shared" si="58"/>
        <v>0</v>
      </c>
      <c r="O1913" s="53">
        <f t="shared" si="59"/>
        <v>0</v>
      </c>
    </row>
    <row r="1914" spans="1:15" x14ac:dyDescent="0.2">
      <c r="A1914" s="51" t="s">
        <v>3567</v>
      </c>
      <c r="B1914" s="51" t="s">
        <v>3568</v>
      </c>
      <c r="C1914" s="51" t="s">
        <v>80</v>
      </c>
      <c r="D1914" s="51" t="s">
        <v>1865</v>
      </c>
      <c r="E1914" s="51" t="s">
        <v>1730</v>
      </c>
      <c r="F1914" s="52">
        <v>28599.559583313021</v>
      </c>
      <c r="G1914" s="52">
        <v>28360</v>
      </c>
      <c r="H1914" s="52">
        <v>16188</v>
      </c>
      <c r="I1914" s="52">
        <v>44548</v>
      </c>
      <c r="J1914" s="51">
        <v>3</v>
      </c>
      <c r="K1914" s="54">
        <v>35000</v>
      </c>
      <c r="L1914" s="51">
        <v>0</v>
      </c>
      <c r="M1914" s="54">
        <v>0</v>
      </c>
      <c r="N1914" s="53">
        <f t="shared" si="58"/>
        <v>35000</v>
      </c>
      <c r="O1914" s="53">
        <f t="shared" si="59"/>
        <v>-35000</v>
      </c>
    </row>
    <row r="1915" spans="1:15" x14ac:dyDescent="0.2">
      <c r="A1915" s="51" t="s">
        <v>3567</v>
      </c>
      <c r="B1915" s="51" t="s">
        <v>3568</v>
      </c>
      <c r="C1915" s="51" t="s">
        <v>3653</v>
      </c>
      <c r="D1915" s="51" t="s">
        <v>4599</v>
      </c>
      <c r="E1915" s="51" t="s">
        <v>4600</v>
      </c>
      <c r="F1915" s="52">
        <v>7.8406381305307526</v>
      </c>
      <c r="G1915" s="52">
        <v>0</v>
      </c>
      <c r="H1915" s="52">
        <v>0</v>
      </c>
      <c r="I1915" s="52">
        <v>0</v>
      </c>
      <c r="J1915" s="51">
        <v>0</v>
      </c>
      <c r="K1915" s="54">
        <v>0</v>
      </c>
      <c r="L1915" s="51">
        <v>0</v>
      </c>
      <c r="M1915" s="54">
        <v>0</v>
      </c>
      <c r="N1915" s="53">
        <f t="shared" si="58"/>
        <v>0</v>
      </c>
      <c r="O1915" s="53">
        <f t="shared" si="59"/>
        <v>0</v>
      </c>
    </row>
    <row r="1916" spans="1:15" x14ac:dyDescent="0.2">
      <c r="A1916" s="51" t="s">
        <v>3567</v>
      </c>
      <c r="B1916" s="51" t="s">
        <v>3568</v>
      </c>
      <c r="C1916" s="51" t="s">
        <v>3763</v>
      </c>
      <c r="D1916" s="51" t="s">
        <v>4567</v>
      </c>
      <c r="E1916" s="51" t="s">
        <v>4568</v>
      </c>
      <c r="F1916" s="52">
        <v>6.4369073977431999</v>
      </c>
      <c r="G1916" s="52">
        <v>0</v>
      </c>
      <c r="H1916" s="52">
        <v>0</v>
      </c>
      <c r="I1916" s="52">
        <v>0</v>
      </c>
      <c r="J1916" s="51">
        <v>0</v>
      </c>
      <c r="K1916" s="54">
        <v>0</v>
      </c>
      <c r="L1916" s="51">
        <v>0</v>
      </c>
      <c r="M1916" s="54">
        <v>0</v>
      </c>
      <c r="N1916" s="53">
        <f t="shared" si="58"/>
        <v>0</v>
      </c>
      <c r="O1916" s="53">
        <f t="shared" si="59"/>
        <v>0</v>
      </c>
    </row>
    <row r="1917" spans="1:15" x14ac:dyDescent="0.2">
      <c r="A1917" s="51" t="s">
        <v>3567</v>
      </c>
      <c r="B1917" s="51" t="s">
        <v>3568</v>
      </c>
      <c r="C1917" s="51" t="s">
        <v>57</v>
      </c>
      <c r="D1917" s="51" t="s">
        <v>2950</v>
      </c>
      <c r="E1917" s="51" t="s">
        <v>2949</v>
      </c>
      <c r="F1917" s="52">
        <v>9480.9493802196248</v>
      </c>
      <c r="G1917" s="52">
        <v>210</v>
      </c>
      <c r="H1917" s="52">
        <v>32375</v>
      </c>
      <c r="I1917" s="52">
        <v>32585</v>
      </c>
      <c r="J1917" s="51">
        <v>0</v>
      </c>
      <c r="K1917" s="54">
        <v>0</v>
      </c>
      <c r="L1917" s="51">
        <v>1</v>
      </c>
      <c r="M1917" s="54">
        <v>35000</v>
      </c>
      <c r="N1917" s="53">
        <f t="shared" si="58"/>
        <v>-35000</v>
      </c>
      <c r="O1917" s="53">
        <f t="shared" si="59"/>
        <v>35000</v>
      </c>
    </row>
    <row r="1918" spans="1:15" x14ac:dyDescent="0.2">
      <c r="A1918" s="51" t="s">
        <v>3567</v>
      </c>
      <c r="B1918" s="51" t="s">
        <v>3568</v>
      </c>
      <c r="C1918" s="51" t="s">
        <v>52</v>
      </c>
      <c r="D1918" s="51" t="s">
        <v>1004</v>
      </c>
      <c r="E1918" s="51" t="s">
        <v>1003</v>
      </c>
      <c r="F1918" s="52">
        <v>4778.1310999999996</v>
      </c>
      <c r="G1918" s="52">
        <v>400</v>
      </c>
      <c r="H1918" s="52">
        <v>0</v>
      </c>
      <c r="I1918" s="52">
        <v>400</v>
      </c>
      <c r="J1918" s="51">
        <v>1</v>
      </c>
      <c r="K1918" s="54">
        <v>5000</v>
      </c>
      <c r="L1918" s="51">
        <v>0</v>
      </c>
      <c r="M1918" s="54">
        <v>0</v>
      </c>
      <c r="N1918" s="53">
        <f t="shared" si="58"/>
        <v>5000</v>
      </c>
      <c r="O1918" s="53">
        <f t="shared" si="59"/>
        <v>-5000</v>
      </c>
    </row>
    <row r="1919" spans="1:15" x14ac:dyDescent="0.2">
      <c r="A1919" s="51" t="s">
        <v>3567</v>
      </c>
      <c r="B1919" s="51" t="s">
        <v>3568</v>
      </c>
      <c r="C1919" s="51" t="s">
        <v>60</v>
      </c>
      <c r="D1919" s="51" t="s">
        <v>3094</v>
      </c>
      <c r="E1919" s="51" t="s">
        <v>3093</v>
      </c>
      <c r="F1919" s="52">
        <v>127.62483398762041</v>
      </c>
      <c r="G1919" s="52">
        <v>0</v>
      </c>
      <c r="H1919" s="52">
        <v>4952</v>
      </c>
      <c r="I1919" s="52">
        <v>4952</v>
      </c>
      <c r="J1919" s="51">
        <v>0</v>
      </c>
      <c r="K1919" s="54">
        <v>0</v>
      </c>
      <c r="L1919" s="51">
        <v>1</v>
      </c>
      <c r="M1919" s="54">
        <v>5000</v>
      </c>
      <c r="N1919" s="53">
        <f t="shared" si="58"/>
        <v>-5000</v>
      </c>
      <c r="O1919" s="53">
        <f t="shared" si="59"/>
        <v>5000</v>
      </c>
    </row>
    <row r="1920" spans="1:15" x14ac:dyDescent="0.2">
      <c r="A1920" s="51" t="s">
        <v>3567</v>
      </c>
      <c r="B1920" s="51" t="s">
        <v>3568</v>
      </c>
      <c r="C1920" s="51" t="s">
        <v>74</v>
      </c>
      <c r="D1920" s="51" t="s">
        <v>1198</v>
      </c>
      <c r="E1920" s="51" t="s">
        <v>1197</v>
      </c>
      <c r="F1920" s="52">
        <v>752.54205000000002</v>
      </c>
      <c r="G1920" s="52">
        <v>0</v>
      </c>
      <c r="H1920" s="52">
        <v>4150</v>
      </c>
      <c r="I1920" s="52">
        <v>4150</v>
      </c>
      <c r="J1920" s="51">
        <v>0</v>
      </c>
      <c r="K1920" s="54">
        <v>0</v>
      </c>
      <c r="L1920" s="51">
        <v>1</v>
      </c>
      <c r="M1920" s="54">
        <v>10000</v>
      </c>
      <c r="N1920" s="53">
        <f t="shared" si="58"/>
        <v>-10000</v>
      </c>
      <c r="O1920" s="53">
        <f t="shared" si="59"/>
        <v>10000</v>
      </c>
    </row>
    <row r="1921" spans="1:15" x14ac:dyDescent="0.2">
      <c r="A1921" s="51" t="s">
        <v>3567</v>
      </c>
      <c r="B1921" s="51" t="s">
        <v>3568</v>
      </c>
      <c r="C1921" s="51" t="s">
        <v>61</v>
      </c>
      <c r="D1921" s="51" t="s">
        <v>968</v>
      </c>
      <c r="E1921" s="51" t="s">
        <v>967</v>
      </c>
      <c r="F1921" s="52">
        <v>4021.2127</v>
      </c>
      <c r="G1921" s="52">
        <v>0</v>
      </c>
      <c r="H1921" s="52">
        <v>2055</v>
      </c>
      <c r="I1921" s="52">
        <v>2055</v>
      </c>
      <c r="J1921" s="51">
        <v>0</v>
      </c>
      <c r="K1921" s="54">
        <v>0</v>
      </c>
      <c r="L1921" s="51">
        <v>1</v>
      </c>
      <c r="M1921" s="54">
        <v>5000</v>
      </c>
      <c r="N1921" s="53">
        <f t="shared" si="58"/>
        <v>-5000</v>
      </c>
      <c r="O1921" s="53">
        <f t="shared" si="59"/>
        <v>5000</v>
      </c>
    </row>
    <row r="1922" spans="1:15" x14ac:dyDescent="0.2">
      <c r="A1922" s="51" t="s">
        <v>3567</v>
      </c>
      <c r="B1922" s="51" t="s">
        <v>3568</v>
      </c>
      <c r="C1922" s="51" t="s">
        <v>64</v>
      </c>
      <c r="D1922" s="51" t="s">
        <v>817</v>
      </c>
      <c r="E1922" s="51" t="s">
        <v>816</v>
      </c>
      <c r="F1922" s="52">
        <v>4210.8615346041161</v>
      </c>
      <c r="G1922" s="52">
        <v>120</v>
      </c>
      <c r="H1922" s="52">
        <v>3309</v>
      </c>
      <c r="I1922" s="52">
        <v>3429</v>
      </c>
      <c r="J1922" s="51">
        <v>0</v>
      </c>
      <c r="K1922" s="54">
        <v>0</v>
      </c>
      <c r="L1922" s="51">
        <v>0</v>
      </c>
      <c r="M1922" s="54">
        <v>0</v>
      </c>
      <c r="N1922" s="53">
        <f t="shared" si="58"/>
        <v>0</v>
      </c>
      <c r="O1922" s="53">
        <f t="shared" si="59"/>
        <v>0</v>
      </c>
    </row>
    <row r="1923" spans="1:15" x14ac:dyDescent="0.2">
      <c r="A1923" s="51" t="s">
        <v>3567</v>
      </c>
      <c r="B1923" s="51" t="s">
        <v>3568</v>
      </c>
      <c r="C1923" s="51" t="s">
        <v>74</v>
      </c>
      <c r="D1923" s="51" t="s">
        <v>556</v>
      </c>
      <c r="E1923" s="51" t="s">
        <v>555</v>
      </c>
      <c r="F1923" s="52">
        <v>1951.827063854862</v>
      </c>
      <c r="G1923" s="52">
        <v>3974</v>
      </c>
      <c r="H1923" s="52">
        <v>30393</v>
      </c>
      <c r="I1923" s="52">
        <v>34367</v>
      </c>
      <c r="J1923" s="51">
        <v>0</v>
      </c>
      <c r="K1923" s="54">
        <v>0</v>
      </c>
      <c r="L1923" s="51">
        <v>3</v>
      </c>
      <c r="M1923" s="54">
        <v>44000</v>
      </c>
      <c r="N1923" s="53">
        <f t="shared" ref="N1923:N1986" si="60">K1923-M1923</f>
        <v>-44000</v>
      </c>
      <c r="O1923" s="53">
        <f t="shared" ref="O1923:O1986" si="61">M1923-K1923</f>
        <v>44000</v>
      </c>
    </row>
    <row r="1924" spans="1:15" x14ac:dyDescent="0.2">
      <c r="A1924" s="51" t="s">
        <v>3567</v>
      </c>
      <c r="B1924" s="51" t="s">
        <v>3568</v>
      </c>
      <c r="C1924" s="51" t="s">
        <v>3653</v>
      </c>
      <c r="D1924" s="51" t="s">
        <v>4556</v>
      </c>
      <c r="E1924" s="51" t="s">
        <v>4557</v>
      </c>
      <c r="F1924" s="52">
        <v>67.600775053543273</v>
      </c>
      <c r="G1924" s="52">
        <v>0</v>
      </c>
      <c r="H1924" s="52">
        <v>0</v>
      </c>
      <c r="I1924" s="52">
        <v>0</v>
      </c>
      <c r="J1924" s="51">
        <v>0</v>
      </c>
      <c r="K1924" s="54">
        <v>0</v>
      </c>
      <c r="L1924" s="51">
        <v>0</v>
      </c>
      <c r="M1924" s="54">
        <v>0</v>
      </c>
      <c r="N1924" s="53">
        <f t="shared" si="60"/>
        <v>0</v>
      </c>
      <c r="O1924" s="53">
        <f t="shared" si="61"/>
        <v>0</v>
      </c>
    </row>
    <row r="1925" spans="1:15" x14ac:dyDescent="0.2">
      <c r="A1925" s="51" t="s">
        <v>3567</v>
      </c>
      <c r="B1925" s="51" t="s">
        <v>3568</v>
      </c>
      <c r="C1925" s="51" t="s">
        <v>54</v>
      </c>
      <c r="D1925" s="51" t="s">
        <v>2458</v>
      </c>
      <c r="E1925" s="51" t="s">
        <v>2457</v>
      </c>
      <c r="F1925" s="52">
        <v>28396.437300000001</v>
      </c>
      <c r="G1925" s="52">
        <v>25089</v>
      </c>
      <c r="H1925" s="52">
        <v>25400</v>
      </c>
      <c r="I1925" s="52">
        <v>50489</v>
      </c>
      <c r="J1925" s="51">
        <v>0</v>
      </c>
      <c r="K1925" s="54">
        <v>0</v>
      </c>
      <c r="L1925" s="51">
        <v>1</v>
      </c>
      <c r="M1925" s="54">
        <v>5000</v>
      </c>
      <c r="N1925" s="53">
        <f t="shared" si="60"/>
        <v>-5000</v>
      </c>
      <c r="O1925" s="53">
        <f t="shared" si="61"/>
        <v>5000</v>
      </c>
    </row>
    <row r="1926" spans="1:15" x14ac:dyDescent="0.2">
      <c r="A1926" s="51" t="s">
        <v>3567</v>
      </c>
      <c r="B1926" s="51" t="s">
        <v>3568</v>
      </c>
      <c r="C1926" s="51" t="s">
        <v>52</v>
      </c>
      <c r="D1926" s="51" t="s">
        <v>1187</v>
      </c>
      <c r="E1926" s="51" t="s">
        <v>1186</v>
      </c>
      <c r="F1926" s="52">
        <v>3572.934087985097</v>
      </c>
      <c r="G1926" s="52">
        <v>1540</v>
      </c>
      <c r="H1926" s="52">
        <v>5650</v>
      </c>
      <c r="I1926" s="52">
        <v>7190</v>
      </c>
      <c r="J1926" s="51">
        <v>0</v>
      </c>
      <c r="K1926" s="54">
        <v>0</v>
      </c>
      <c r="L1926" s="51">
        <v>1</v>
      </c>
      <c r="M1926" s="54">
        <v>5000</v>
      </c>
      <c r="N1926" s="53">
        <f t="shared" si="60"/>
        <v>-5000</v>
      </c>
      <c r="O1926" s="53">
        <f t="shared" si="61"/>
        <v>5000</v>
      </c>
    </row>
    <row r="1927" spans="1:15" x14ac:dyDescent="0.2">
      <c r="A1927" s="51" t="s">
        <v>3567</v>
      </c>
      <c r="B1927" s="51" t="s">
        <v>3568</v>
      </c>
      <c r="C1927" s="51" t="s">
        <v>69</v>
      </c>
      <c r="D1927" s="51" t="s">
        <v>2112</v>
      </c>
      <c r="E1927" s="51" t="s">
        <v>2111</v>
      </c>
      <c r="F1927" s="52">
        <v>2044.0232172808551</v>
      </c>
      <c r="G1927" s="52">
        <v>4285</v>
      </c>
      <c r="H1927" s="52">
        <v>5025</v>
      </c>
      <c r="I1927" s="52">
        <v>9310</v>
      </c>
      <c r="J1927" s="51">
        <v>0</v>
      </c>
      <c r="K1927" s="54">
        <v>0</v>
      </c>
      <c r="L1927" s="51">
        <v>0</v>
      </c>
      <c r="M1927" s="54">
        <v>0</v>
      </c>
      <c r="N1927" s="53">
        <f t="shared" si="60"/>
        <v>0</v>
      </c>
      <c r="O1927" s="53">
        <f t="shared" si="61"/>
        <v>0</v>
      </c>
    </row>
    <row r="1928" spans="1:15" x14ac:dyDescent="0.2">
      <c r="A1928" s="51" t="s">
        <v>3567</v>
      </c>
      <c r="B1928" s="51" t="s">
        <v>3568</v>
      </c>
      <c r="C1928" s="51" t="s">
        <v>73</v>
      </c>
      <c r="D1928" s="51" t="s">
        <v>1856</v>
      </c>
      <c r="E1928" s="51" t="s">
        <v>1855</v>
      </c>
      <c r="F1928" s="52">
        <v>2.9746999999999999</v>
      </c>
      <c r="G1928" s="52">
        <v>0</v>
      </c>
      <c r="H1928" s="52">
        <v>25655</v>
      </c>
      <c r="I1928" s="52">
        <v>25655</v>
      </c>
      <c r="J1928" s="51">
        <v>1</v>
      </c>
      <c r="K1928" s="54">
        <v>5000</v>
      </c>
      <c r="L1928" s="51">
        <v>1</v>
      </c>
      <c r="M1928" s="54">
        <v>35000</v>
      </c>
      <c r="N1928" s="53">
        <f t="shared" si="60"/>
        <v>-30000</v>
      </c>
      <c r="O1928" s="53">
        <f t="shared" si="61"/>
        <v>30000</v>
      </c>
    </row>
    <row r="1929" spans="1:15" x14ac:dyDescent="0.2">
      <c r="A1929" s="51" t="s">
        <v>3567</v>
      </c>
      <c r="B1929" s="51" t="s">
        <v>3568</v>
      </c>
      <c r="C1929" s="51" t="s">
        <v>85</v>
      </c>
      <c r="D1929" s="51" t="s">
        <v>2958</v>
      </c>
      <c r="E1929" s="51" t="s">
        <v>887</v>
      </c>
      <c r="F1929" s="52">
        <v>9611.7640374091789</v>
      </c>
      <c r="G1929" s="52">
        <v>310</v>
      </c>
      <c r="H1929" s="52">
        <v>9720</v>
      </c>
      <c r="I1929" s="52">
        <v>10030</v>
      </c>
      <c r="J1929" s="51">
        <v>0</v>
      </c>
      <c r="K1929" s="54">
        <v>0</v>
      </c>
      <c r="L1929" s="51">
        <v>1</v>
      </c>
      <c r="M1929" s="54">
        <v>66000</v>
      </c>
      <c r="N1929" s="53">
        <f t="shared" si="60"/>
        <v>-66000</v>
      </c>
      <c r="O1929" s="53">
        <f t="shared" si="61"/>
        <v>66000</v>
      </c>
    </row>
    <row r="1930" spans="1:15" x14ac:dyDescent="0.2">
      <c r="A1930" s="51" t="s">
        <v>3567</v>
      </c>
      <c r="B1930" s="51" t="s">
        <v>3568</v>
      </c>
      <c r="C1930" s="51" t="s">
        <v>71</v>
      </c>
      <c r="D1930" s="51" t="s">
        <v>3263</v>
      </c>
      <c r="E1930" s="51" t="s">
        <v>3262</v>
      </c>
      <c r="F1930" s="52">
        <v>35669.32504359584</v>
      </c>
      <c r="G1930" s="52">
        <v>10800</v>
      </c>
      <c r="H1930" s="52">
        <v>41490</v>
      </c>
      <c r="I1930" s="52">
        <v>52290</v>
      </c>
      <c r="J1930" s="51">
        <v>0</v>
      </c>
      <c r="K1930" s="54">
        <v>0</v>
      </c>
      <c r="L1930" s="51">
        <v>1</v>
      </c>
      <c r="M1930" s="54">
        <v>25000</v>
      </c>
      <c r="N1930" s="53">
        <f t="shared" si="60"/>
        <v>-25000</v>
      </c>
      <c r="O1930" s="53">
        <f t="shared" si="61"/>
        <v>25000</v>
      </c>
    </row>
    <row r="1931" spans="1:15" x14ac:dyDescent="0.2">
      <c r="A1931" s="51" t="s">
        <v>3567</v>
      </c>
      <c r="B1931" s="51" t="s">
        <v>3568</v>
      </c>
      <c r="C1931" s="51" t="s">
        <v>62</v>
      </c>
      <c r="D1931" s="51" t="s">
        <v>1602</v>
      </c>
      <c r="E1931" s="51" t="s">
        <v>1601</v>
      </c>
      <c r="F1931" s="52">
        <v>519.99040000000002</v>
      </c>
      <c r="G1931" s="52">
        <v>0</v>
      </c>
      <c r="H1931" s="52">
        <v>0</v>
      </c>
      <c r="I1931" s="52">
        <v>0</v>
      </c>
      <c r="J1931" s="51">
        <v>0</v>
      </c>
      <c r="K1931" s="54">
        <v>0</v>
      </c>
      <c r="L1931" s="51">
        <v>1</v>
      </c>
      <c r="M1931" s="54">
        <v>6000</v>
      </c>
      <c r="N1931" s="53">
        <f t="shared" si="60"/>
        <v>-6000</v>
      </c>
      <c r="O1931" s="53">
        <f t="shared" si="61"/>
        <v>6000</v>
      </c>
    </row>
    <row r="1932" spans="1:15" x14ac:dyDescent="0.2">
      <c r="A1932" s="51" t="s">
        <v>3567</v>
      </c>
      <c r="B1932" s="51" t="s">
        <v>3568</v>
      </c>
      <c r="C1932" s="51" t="s">
        <v>81</v>
      </c>
      <c r="D1932" s="51" t="s">
        <v>4816</v>
      </c>
      <c r="E1932" s="51" t="s">
        <v>4817</v>
      </c>
      <c r="F1932" s="52">
        <v>747.30200000000002</v>
      </c>
      <c r="G1932" s="52">
        <v>0</v>
      </c>
      <c r="H1932" s="52">
        <v>10000</v>
      </c>
      <c r="I1932" s="52">
        <v>10000</v>
      </c>
      <c r="J1932" s="51">
        <v>0</v>
      </c>
      <c r="K1932" s="54">
        <v>0</v>
      </c>
      <c r="L1932" s="51">
        <v>1</v>
      </c>
      <c r="M1932" s="54">
        <v>10000</v>
      </c>
      <c r="N1932" s="53">
        <f t="shared" si="60"/>
        <v>-10000</v>
      </c>
      <c r="O1932" s="53">
        <f t="shared" si="61"/>
        <v>10000</v>
      </c>
    </row>
    <row r="1933" spans="1:15" x14ac:dyDescent="0.2">
      <c r="A1933" s="51" t="s">
        <v>3567</v>
      </c>
      <c r="B1933" s="51" t="s">
        <v>3568</v>
      </c>
      <c r="C1933" s="51" t="s">
        <v>59</v>
      </c>
      <c r="D1933" s="51" t="s">
        <v>2439</v>
      </c>
      <c r="E1933" s="51" t="s">
        <v>2438</v>
      </c>
      <c r="F1933" s="52">
        <v>6653.8589000000002</v>
      </c>
      <c r="G1933" s="52">
        <v>13800</v>
      </c>
      <c r="H1933" s="52">
        <v>22700</v>
      </c>
      <c r="I1933" s="52">
        <v>36500</v>
      </c>
      <c r="J1933" s="51">
        <v>1</v>
      </c>
      <c r="K1933" s="54">
        <v>5000</v>
      </c>
      <c r="L1933" s="51">
        <v>2</v>
      </c>
      <c r="M1933" s="54">
        <v>40000</v>
      </c>
      <c r="N1933" s="53">
        <f t="shared" si="60"/>
        <v>-35000</v>
      </c>
      <c r="O1933" s="53">
        <f t="shared" si="61"/>
        <v>35000</v>
      </c>
    </row>
    <row r="1934" spans="1:15" x14ac:dyDescent="0.2">
      <c r="A1934" s="51" t="s">
        <v>3567</v>
      </c>
      <c r="B1934" s="51" t="s">
        <v>3568</v>
      </c>
      <c r="C1934" s="51" t="s">
        <v>75</v>
      </c>
      <c r="D1934" s="51" t="s">
        <v>4579</v>
      </c>
      <c r="E1934" s="51" t="s">
        <v>4580</v>
      </c>
      <c r="F1934" s="52">
        <v>4.5705999999999998</v>
      </c>
      <c r="G1934" s="52">
        <v>0</v>
      </c>
      <c r="H1934" s="52">
        <v>0</v>
      </c>
      <c r="I1934" s="52">
        <v>0</v>
      </c>
      <c r="J1934" s="51">
        <v>0</v>
      </c>
      <c r="K1934" s="54">
        <v>0</v>
      </c>
      <c r="L1934" s="51">
        <v>0</v>
      </c>
      <c r="M1934" s="54">
        <v>0</v>
      </c>
      <c r="N1934" s="53">
        <f t="shared" si="60"/>
        <v>0</v>
      </c>
      <c r="O1934" s="53">
        <f t="shared" si="61"/>
        <v>0</v>
      </c>
    </row>
    <row r="1935" spans="1:15" x14ac:dyDescent="0.2">
      <c r="A1935" s="51" t="s">
        <v>3567</v>
      </c>
      <c r="B1935" s="51" t="s">
        <v>3568</v>
      </c>
      <c r="C1935" s="51" t="s">
        <v>59</v>
      </c>
      <c r="D1935" s="51" t="s">
        <v>4593</v>
      </c>
      <c r="E1935" s="51" t="s">
        <v>4594</v>
      </c>
      <c r="F1935" s="52">
        <v>1.2632200016999999</v>
      </c>
      <c r="G1935" s="52">
        <v>0</v>
      </c>
      <c r="H1935" s="52">
        <v>0</v>
      </c>
      <c r="I1935" s="52">
        <v>0</v>
      </c>
      <c r="J1935" s="51">
        <v>0</v>
      </c>
      <c r="K1935" s="54">
        <v>0</v>
      </c>
      <c r="L1935" s="51">
        <v>0</v>
      </c>
      <c r="M1935" s="54">
        <v>0</v>
      </c>
      <c r="N1935" s="53">
        <f t="shared" si="60"/>
        <v>0</v>
      </c>
      <c r="O1935" s="53">
        <f t="shared" si="61"/>
        <v>0</v>
      </c>
    </row>
    <row r="1936" spans="1:15" x14ac:dyDescent="0.2">
      <c r="A1936" s="51" t="s">
        <v>3567</v>
      </c>
      <c r="B1936" s="51" t="s">
        <v>3568</v>
      </c>
      <c r="C1936" s="51" t="s">
        <v>59</v>
      </c>
      <c r="D1936" s="51" t="s">
        <v>3121</v>
      </c>
      <c r="E1936" s="51" t="s">
        <v>3120</v>
      </c>
      <c r="F1936" s="52">
        <v>1362.302888111021</v>
      </c>
      <c r="G1936" s="52">
        <v>4030</v>
      </c>
      <c r="H1936" s="52">
        <v>9456</v>
      </c>
      <c r="I1936" s="52">
        <v>13486</v>
      </c>
      <c r="J1936" s="51">
        <v>0</v>
      </c>
      <c r="K1936" s="54">
        <v>0</v>
      </c>
      <c r="L1936" s="51">
        <v>2</v>
      </c>
      <c r="M1936" s="54">
        <v>10000</v>
      </c>
      <c r="N1936" s="53">
        <f t="shared" si="60"/>
        <v>-10000</v>
      </c>
      <c r="O1936" s="53">
        <f t="shared" si="61"/>
        <v>10000</v>
      </c>
    </row>
    <row r="1937" spans="1:15" x14ac:dyDescent="0.2">
      <c r="A1937" s="51" t="s">
        <v>3567</v>
      </c>
      <c r="B1937" s="51" t="s">
        <v>3568</v>
      </c>
      <c r="C1937" s="51" t="s">
        <v>64</v>
      </c>
      <c r="D1937" s="51" t="s">
        <v>2088</v>
      </c>
      <c r="E1937" s="51" t="s">
        <v>2087</v>
      </c>
      <c r="F1937" s="52">
        <v>10036.29733448257</v>
      </c>
      <c r="G1937" s="52">
        <v>0</v>
      </c>
      <c r="H1937" s="52">
        <v>0</v>
      </c>
      <c r="I1937" s="52">
        <v>0</v>
      </c>
      <c r="J1937" s="51">
        <v>1</v>
      </c>
      <c r="K1937" s="54">
        <v>6000</v>
      </c>
      <c r="L1937" s="51">
        <v>0</v>
      </c>
      <c r="M1937" s="54">
        <v>0</v>
      </c>
      <c r="N1937" s="53">
        <f t="shared" si="60"/>
        <v>6000</v>
      </c>
      <c r="O1937" s="53">
        <f t="shared" si="61"/>
        <v>-6000</v>
      </c>
    </row>
    <row r="1938" spans="1:15" x14ac:dyDescent="0.2">
      <c r="A1938" s="51" t="s">
        <v>3567</v>
      </c>
      <c r="B1938" s="51" t="s">
        <v>3568</v>
      </c>
      <c r="C1938" s="51" t="s">
        <v>54</v>
      </c>
      <c r="D1938" s="51" t="s">
        <v>208</v>
      </c>
      <c r="E1938" s="51" t="s">
        <v>207</v>
      </c>
      <c r="F1938" s="52">
        <v>17681.825359353039</v>
      </c>
      <c r="G1938" s="52">
        <v>11200</v>
      </c>
      <c r="H1938" s="52">
        <v>16850</v>
      </c>
      <c r="I1938" s="52">
        <v>28050</v>
      </c>
      <c r="J1938" s="51">
        <v>1</v>
      </c>
      <c r="K1938" s="54">
        <v>6000</v>
      </c>
      <c r="L1938" s="51">
        <v>0</v>
      </c>
      <c r="M1938" s="54">
        <v>0</v>
      </c>
      <c r="N1938" s="53">
        <f t="shared" si="60"/>
        <v>6000</v>
      </c>
      <c r="O1938" s="53">
        <f t="shared" si="61"/>
        <v>-6000</v>
      </c>
    </row>
    <row r="1939" spans="1:15" x14ac:dyDescent="0.2">
      <c r="A1939" s="51" t="s">
        <v>3567</v>
      </c>
      <c r="B1939" s="51" t="s">
        <v>3568</v>
      </c>
      <c r="C1939" s="51" t="s">
        <v>74</v>
      </c>
      <c r="D1939" s="51" t="s">
        <v>3011</v>
      </c>
      <c r="E1939" s="51" t="s">
        <v>3010</v>
      </c>
      <c r="F1939" s="52">
        <v>189.5692</v>
      </c>
      <c r="G1939" s="52">
        <v>0</v>
      </c>
      <c r="H1939" s="52">
        <v>0</v>
      </c>
      <c r="I1939" s="52">
        <v>0</v>
      </c>
      <c r="J1939" s="51">
        <v>0</v>
      </c>
      <c r="K1939" s="54">
        <v>0</v>
      </c>
      <c r="L1939" s="51">
        <v>0</v>
      </c>
      <c r="M1939" s="54">
        <v>0</v>
      </c>
      <c r="N1939" s="53">
        <f t="shared" si="60"/>
        <v>0</v>
      </c>
      <c r="O1939" s="53">
        <f t="shared" si="61"/>
        <v>0</v>
      </c>
    </row>
    <row r="1940" spans="1:15" x14ac:dyDescent="0.2">
      <c r="A1940" s="51" t="s">
        <v>3567</v>
      </c>
      <c r="B1940" s="51" t="s">
        <v>3568</v>
      </c>
      <c r="C1940" s="51" t="s">
        <v>57</v>
      </c>
      <c r="D1940" s="51" t="s">
        <v>982</v>
      </c>
      <c r="E1940" s="51" t="s">
        <v>981</v>
      </c>
      <c r="F1940" s="52">
        <v>1119.7672</v>
      </c>
      <c r="G1940" s="52">
        <v>0</v>
      </c>
      <c r="H1940" s="52">
        <v>38625</v>
      </c>
      <c r="I1940" s="52">
        <v>38625</v>
      </c>
      <c r="J1940" s="51">
        <v>0</v>
      </c>
      <c r="K1940" s="54">
        <v>0</v>
      </c>
      <c r="L1940" s="51">
        <v>2</v>
      </c>
      <c r="M1940" s="54">
        <v>40000</v>
      </c>
      <c r="N1940" s="53">
        <f t="shared" si="60"/>
        <v>-40000</v>
      </c>
      <c r="O1940" s="53">
        <f t="shared" si="61"/>
        <v>40000</v>
      </c>
    </row>
    <row r="1941" spans="1:15" x14ac:dyDescent="0.2">
      <c r="A1941" s="51" t="s">
        <v>3567</v>
      </c>
      <c r="B1941" s="51" t="s">
        <v>3568</v>
      </c>
      <c r="C1941" s="51" t="s">
        <v>68</v>
      </c>
      <c r="D1941" s="51" t="s">
        <v>4573</v>
      </c>
      <c r="E1941" s="51" t="s">
        <v>4574</v>
      </c>
      <c r="F1941" s="52">
        <v>5.1630985255999997</v>
      </c>
      <c r="G1941" s="52">
        <v>0</v>
      </c>
      <c r="H1941" s="52">
        <v>0</v>
      </c>
      <c r="I1941" s="52">
        <v>0</v>
      </c>
      <c r="J1941" s="51">
        <v>0</v>
      </c>
      <c r="K1941" s="54">
        <v>0</v>
      </c>
      <c r="L1941" s="51">
        <v>0</v>
      </c>
      <c r="M1941" s="54">
        <v>0</v>
      </c>
      <c r="N1941" s="53">
        <f t="shared" si="60"/>
        <v>0</v>
      </c>
      <c r="O1941" s="53">
        <f t="shared" si="61"/>
        <v>0</v>
      </c>
    </row>
    <row r="1942" spans="1:15" x14ac:dyDescent="0.2">
      <c r="A1942" s="51" t="s">
        <v>3567</v>
      </c>
      <c r="B1942" s="51" t="s">
        <v>3568</v>
      </c>
      <c r="C1942" s="51" t="s">
        <v>69</v>
      </c>
      <c r="D1942" s="51" t="s">
        <v>4587</v>
      </c>
      <c r="E1942" s="51" t="s">
        <v>4588</v>
      </c>
      <c r="F1942" s="52">
        <v>0.74680000000000002</v>
      </c>
      <c r="G1942" s="52">
        <v>0</v>
      </c>
      <c r="H1942" s="52">
        <v>0</v>
      </c>
      <c r="I1942" s="52">
        <v>0</v>
      </c>
      <c r="J1942" s="51">
        <v>0</v>
      </c>
      <c r="K1942" s="54">
        <v>0</v>
      </c>
      <c r="L1942" s="51">
        <v>0</v>
      </c>
      <c r="M1942" s="54">
        <v>0</v>
      </c>
      <c r="N1942" s="53">
        <f t="shared" si="60"/>
        <v>0</v>
      </c>
      <c r="O1942" s="53">
        <f t="shared" si="61"/>
        <v>0</v>
      </c>
    </row>
    <row r="1943" spans="1:15" x14ac:dyDescent="0.2">
      <c r="A1943" s="51" t="s">
        <v>3567</v>
      </c>
      <c r="B1943" s="51" t="s">
        <v>3568</v>
      </c>
      <c r="C1943" s="51" t="s">
        <v>55</v>
      </c>
      <c r="D1943" s="51" t="s">
        <v>2080</v>
      </c>
      <c r="E1943" s="51" t="s">
        <v>2079</v>
      </c>
      <c r="F1943" s="52">
        <v>22377.186688999998</v>
      </c>
      <c r="G1943" s="52">
        <v>15300</v>
      </c>
      <c r="H1943" s="52">
        <v>16900</v>
      </c>
      <c r="I1943" s="52">
        <v>32200</v>
      </c>
      <c r="J1943" s="51">
        <v>0</v>
      </c>
      <c r="K1943" s="54">
        <v>0</v>
      </c>
      <c r="L1943" s="51">
        <v>1</v>
      </c>
      <c r="M1943" s="54">
        <v>20000</v>
      </c>
      <c r="N1943" s="53">
        <f t="shared" si="60"/>
        <v>-20000</v>
      </c>
      <c r="O1943" s="53">
        <f t="shared" si="61"/>
        <v>20000</v>
      </c>
    </row>
    <row r="1944" spans="1:15" x14ac:dyDescent="0.2">
      <c r="A1944" s="51" t="s">
        <v>3567</v>
      </c>
      <c r="B1944" s="51" t="s">
        <v>3568</v>
      </c>
      <c r="C1944" s="51" t="s">
        <v>67</v>
      </c>
      <c r="D1944" s="51" t="s">
        <v>1655</v>
      </c>
      <c r="E1944" s="51" t="s">
        <v>1654</v>
      </c>
      <c r="F1944" s="52">
        <v>3593.449709</v>
      </c>
      <c r="G1944" s="52">
        <v>2255</v>
      </c>
      <c r="H1944" s="52">
        <v>15220</v>
      </c>
      <c r="I1944" s="52">
        <v>17475</v>
      </c>
      <c r="J1944" s="51">
        <v>0</v>
      </c>
      <c r="K1944" s="54">
        <v>0</v>
      </c>
      <c r="L1944" s="51">
        <v>2</v>
      </c>
      <c r="M1944" s="54">
        <v>23000</v>
      </c>
      <c r="N1944" s="53">
        <f t="shared" si="60"/>
        <v>-23000</v>
      </c>
      <c r="O1944" s="53">
        <f t="shared" si="61"/>
        <v>23000</v>
      </c>
    </row>
    <row r="1945" spans="1:15" x14ac:dyDescent="0.2">
      <c r="A1945" s="51" t="s">
        <v>3567</v>
      </c>
      <c r="B1945" s="51" t="s">
        <v>3568</v>
      </c>
      <c r="C1945" s="51" t="s">
        <v>58</v>
      </c>
      <c r="D1945" s="51" t="s">
        <v>4619</v>
      </c>
      <c r="E1945" s="51" t="s">
        <v>4620</v>
      </c>
      <c r="F1945" s="52">
        <v>214.32165000000001</v>
      </c>
      <c r="G1945" s="52">
        <v>0</v>
      </c>
      <c r="H1945" s="52">
        <v>0</v>
      </c>
      <c r="I1945" s="52">
        <v>0</v>
      </c>
      <c r="J1945" s="51">
        <v>0</v>
      </c>
      <c r="K1945" s="54">
        <v>0</v>
      </c>
      <c r="L1945" s="51">
        <v>0</v>
      </c>
      <c r="M1945" s="54">
        <v>0</v>
      </c>
      <c r="N1945" s="53">
        <f t="shared" si="60"/>
        <v>0</v>
      </c>
      <c r="O1945" s="53">
        <f t="shared" si="61"/>
        <v>0</v>
      </c>
    </row>
    <row r="1946" spans="1:15" x14ac:dyDescent="0.2">
      <c r="A1946" s="51" t="s">
        <v>3567</v>
      </c>
      <c r="B1946" s="51" t="s">
        <v>3568</v>
      </c>
      <c r="C1946" s="51" t="s">
        <v>68</v>
      </c>
      <c r="D1946" s="51" t="s">
        <v>2976</v>
      </c>
      <c r="E1946" s="51" t="s">
        <v>2975</v>
      </c>
      <c r="F1946" s="52">
        <v>9890.5365999999995</v>
      </c>
      <c r="G1946" s="52">
        <v>1250</v>
      </c>
      <c r="H1946" s="52">
        <v>2400</v>
      </c>
      <c r="I1946" s="52">
        <v>3650</v>
      </c>
      <c r="J1946" s="51">
        <v>1</v>
      </c>
      <c r="K1946" s="54">
        <v>5000</v>
      </c>
      <c r="L1946" s="51">
        <v>0</v>
      </c>
      <c r="M1946" s="54">
        <v>0</v>
      </c>
      <c r="N1946" s="53">
        <f t="shared" si="60"/>
        <v>5000</v>
      </c>
      <c r="O1946" s="53">
        <f t="shared" si="61"/>
        <v>-5000</v>
      </c>
    </row>
    <row r="1947" spans="1:15" x14ac:dyDescent="0.2">
      <c r="A1947" s="51" t="s">
        <v>3567</v>
      </c>
      <c r="B1947" s="51" t="s">
        <v>3568</v>
      </c>
      <c r="C1947" s="51" t="s">
        <v>75</v>
      </c>
      <c r="D1947" s="51" t="s">
        <v>2310</v>
      </c>
      <c r="E1947" s="51" t="s">
        <v>2309</v>
      </c>
      <c r="F1947" s="52">
        <v>84.190100000000001</v>
      </c>
      <c r="G1947" s="52">
        <v>0</v>
      </c>
      <c r="H1947" s="52">
        <v>0</v>
      </c>
      <c r="I1947" s="52">
        <v>0</v>
      </c>
      <c r="J1947" s="51">
        <v>0</v>
      </c>
      <c r="K1947" s="54">
        <v>0</v>
      </c>
      <c r="L1947" s="51">
        <v>1</v>
      </c>
      <c r="M1947" s="54">
        <v>6000</v>
      </c>
      <c r="N1947" s="53">
        <f t="shared" si="60"/>
        <v>-6000</v>
      </c>
      <c r="O1947" s="53">
        <f t="shared" si="61"/>
        <v>6000</v>
      </c>
    </row>
    <row r="1948" spans="1:15" x14ac:dyDescent="0.2">
      <c r="A1948" s="51" t="s">
        <v>3567</v>
      </c>
      <c r="B1948" s="51" t="s">
        <v>3568</v>
      </c>
      <c r="C1948" s="51" t="s">
        <v>64</v>
      </c>
      <c r="D1948" s="51" t="s">
        <v>462</v>
      </c>
      <c r="E1948" s="51" t="s">
        <v>461</v>
      </c>
      <c r="F1948" s="52">
        <v>36651.982750229472</v>
      </c>
      <c r="G1948" s="52">
        <v>0</v>
      </c>
      <c r="H1948" s="52">
        <v>0</v>
      </c>
      <c r="I1948" s="52">
        <v>0</v>
      </c>
      <c r="J1948" s="51">
        <v>1</v>
      </c>
      <c r="K1948" s="54">
        <v>5000</v>
      </c>
      <c r="L1948" s="51">
        <v>0</v>
      </c>
      <c r="M1948" s="54">
        <v>0</v>
      </c>
      <c r="N1948" s="53">
        <f t="shared" si="60"/>
        <v>5000</v>
      </c>
      <c r="O1948" s="53">
        <f t="shared" si="61"/>
        <v>-5000</v>
      </c>
    </row>
    <row r="1949" spans="1:15" x14ac:dyDescent="0.2">
      <c r="A1949" s="51" t="s">
        <v>3567</v>
      </c>
      <c r="B1949" s="51" t="s">
        <v>3568</v>
      </c>
      <c r="C1949" s="51" t="s">
        <v>81</v>
      </c>
      <c r="D1949" s="51" t="s">
        <v>2064</v>
      </c>
      <c r="E1949" s="51" t="s">
        <v>2063</v>
      </c>
      <c r="F1949" s="52">
        <v>7.8190999999999997</v>
      </c>
      <c r="G1949" s="52">
        <v>0</v>
      </c>
      <c r="H1949" s="52">
        <v>0</v>
      </c>
      <c r="I1949" s="52">
        <v>0</v>
      </c>
      <c r="J1949" s="51">
        <v>0</v>
      </c>
      <c r="K1949" s="54">
        <v>0</v>
      </c>
      <c r="L1949" s="51">
        <v>0</v>
      </c>
      <c r="M1949" s="54">
        <v>0</v>
      </c>
      <c r="N1949" s="53">
        <f t="shared" si="60"/>
        <v>0</v>
      </c>
      <c r="O1949" s="53">
        <f t="shared" si="61"/>
        <v>0</v>
      </c>
    </row>
    <row r="1950" spans="1:15" x14ac:dyDescent="0.2">
      <c r="A1950" s="51" t="s">
        <v>3567</v>
      </c>
      <c r="B1950" s="51" t="s">
        <v>3568</v>
      </c>
      <c r="C1950" s="51" t="s">
        <v>3571</v>
      </c>
      <c r="D1950" s="51" t="s">
        <v>4608</v>
      </c>
      <c r="E1950" s="51" t="s">
        <v>4609</v>
      </c>
      <c r="F1950" s="52">
        <v>0.88339262255932705</v>
      </c>
      <c r="G1950" s="52">
        <v>0</v>
      </c>
      <c r="H1950" s="52">
        <v>0</v>
      </c>
      <c r="I1950" s="52">
        <v>0</v>
      </c>
      <c r="J1950" s="51">
        <v>0</v>
      </c>
      <c r="K1950" s="54">
        <v>0</v>
      </c>
      <c r="L1950" s="51">
        <v>0</v>
      </c>
      <c r="M1950" s="54">
        <v>0</v>
      </c>
      <c r="N1950" s="53">
        <f t="shared" si="60"/>
        <v>0</v>
      </c>
      <c r="O1950" s="53">
        <f t="shared" si="61"/>
        <v>0</v>
      </c>
    </row>
    <row r="1951" spans="1:15" x14ac:dyDescent="0.2">
      <c r="A1951" s="51" t="s">
        <v>3567</v>
      </c>
      <c r="B1951" s="51" t="s">
        <v>3568</v>
      </c>
      <c r="C1951" s="51" t="s">
        <v>60</v>
      </c>
      <c r="D1951" s="51" t="s">
        <v>3119</v>
      </c>
      <c r="E1951" s="51" t="s">
        <v>3118</v>
      </c>
      <c r="F1951" s="52">
        <v>7869.3238576923404</v>
      </c>
      <c r="G1951" s="52">
        <v>10620</v>
      </c>
      <c r="H1951" s="52">
        <v>17345</v>
      </c>
      <c r="I1951" s="52">
        <v>27965</v>
      </c>
      <c r="J1951" s="51">
        <v>0</v>
      </c>
      <c r="K1951" s="54">
        <v>0</v>
      </c>
      <c r="L1951" s="51">
        <v>1</v>
      </c>
      <c r="M1951" s="54">
        <v>5000</v>
      </c>
      <c r="N1951" s="53">
        <f t="shared" si="60"/>
        <v>-5000</v>
      </c>
      <c r="O1951" s="53">
        <f t="shared" si="61"/>
        <v>5000</v>
      </c>
    </row>
    <row r="1952" spans="1:15" x14ac:dyDescent="0.2">
      <c r="A1952" s="51" t="s">
        <v>3567</v>
      </c>
      <c r="B1952" s="51" t="s">
        <v>3568</v>
      </c>
      <c r="C1952" s="51" t="s">
        <v>77</v>
      </c>
      <c r="D1952" s="51" t="s">
        <v>934</v>
      </c>
      <c r="E1952" s="51" t="s">
        <v>933</v>
      </c>
      <c r="F1952" s="52">
        <v>5460.7209000000003</v>
      </c>
      <c r="G1952" s="52">
        <v>7525</v>
      </c>
      <c r="H1952" s="52">
        <v>11275</v>
      </c>
      <c r="I1952" s="52">
        <v>18800</v>
      </c>
      <c r="J1952" s="51">
        <v>0</v>
      </c>
      <c r="K1952" s="54">
        <v>0</v>
      </c>
      <c r="L1952" s="51">
        <v>1</v>
      </c>
      <c r="M1952" s="54">
        <v>10000</v>
      </c>
      <c r="N1952" s="53">
        <f t="shared" si="60"/>
        <v>-10000</v>
      </c>
      <c r="O1952" s="53">
        <f t="shared" si="61"/>
        <v>10000</v>
      </c>
    </row>
    <row r="1953" spans="1:15" x14ac:dyDescent="0.2">
      <c r="A1953" s="51" t="s">
        <v>3567</v>
      </c>
      <c r="B1953" s="51" t="s">
        <v>3568</v>
      </c>
      <c r="C1953" s="51" t="s">
        <v>65</v>
      </c>
      <c r="D1953" s="51" t="s">
        <v>4623</v>
      </c>
      <c r="E1953" s="51" t="s">
        <v>4624</v>
      </c>
      <c r="F1953" s="52">
        <v>1.1675</v>
      </c>
      <c r="G1953" s="52">
        <v>0</v>
      </c>
      <c r="H1953" s="52">
        <v>0</v>
      </c>
      <c r="I1953" s="52">
        <v>0</v>
      </c>
      <c r="J1953" s="51">
        <v>0</v>
      </c>
      <c r="K1953" s="54">
        <v>0</v>
      </c>
      <c r="L1953" s="51">
        <v>0</v>
      </c>
      <c r="M1953" s="54">
        <v>0</v>
      </c>
      <c r="N1953" s="53">
        <f t="shared" si="60"/>
        <v>0</v>
      </c>
      <c r="O1953" s="53">
        <f t="shared" si="61"/>
        <v>0</v>
      </c>
    </row>
    <row r="1954" spans="1:15" x14ac:dyDescent="0.2">
      <c r="A1954" s="51" t="s">
        <v>3567</v>
      </c>
      <c r="B1954" s="51" t="s">
        <v>3568</v>
      </c>
      <c r="C1954" s="51" t="s">
        <v>61</v>
      </c>
      <c r="D1954" s="51" t="s">
        <v>1806</v>
      </c>
      <c r="E1954" s="51" t="s">
        <v>1805</v>
      </c>
      <c r="F1954" s="52">
        <v>19824.944073967661</v>
      </c>
      <c r="G1954" s="52">
        <v>4810</v>
      </c>
      <c r="H1954" s="52">
        <v>8810</v>
      </c>
      <c r="I1954" s="52">
        <v>13620</v>
      </c>
      <c r="J1954" s="51">
        <v>1</v>
      </c>
      <c r="K1954" s="54">
        <v>6000</v>
      </c>
      <c r="L1954" s="51">
        <v>1</v>
      </c>
      <c r="M1954" s="54">
        <v>12000</v>
      </c>
      <c r="N1954" s="53">
        <f t="shared" si="60"/>
        <v>-6000</v>
      </c>
      <c r="O1954" s="53">
        <f t="shared" si="61"/>
        <v>6000</v>
      </c>
    </row>
    <row r="1955" spans="1:15" x14ac:dyDescent="0.2">
      <c r="A1955" s="51" t="s">
        <v>3567</v>
      </c>
      <c r="B1955" s="51" t="s">
        <v>3568</v>
      </c>
      <c r="C1955" s="51" t="s">
        <v>75</v>
      </c>
      <c r="D1955" s="51" t="s">
        <v>3047</v>
      </c>
      <c r="E1955" s="51" t="s">
        <v>3046</v>
      </c>
      <c r="F1955" s="52">
        <v>11735.360155070401</v>
      </c>
      <c r="G1955" s="52">
        <v>400</v>
      </c>
      <c r="H1955" s="52">
        <v>0</v>
      </c>
      <c r="I1955" s="52">
        <v>400</v>
      </c>
      <c r="J1955" s="51">
        <v>1</v>
      </c>
      <c r="K1955" s="54">
        <v>5000</v>
      </c>
      <c r="L1955" s="51">
        <v>0</v>
      </c>
      <c r="M1955" s="54">
        <v>0</v>
      </c>
      <c r="N1955" s="53">
        <f t="shared" si="60"/>
        <v>5000</v>
      </c>
      <c r="O1955" s="53">
        <f t="shared" si="61"/>
        <v>-5000</v>
      </c>
    </row>
    <row r="1956" spans="1:15" x14ac:dyDescent="0.2">
      <c r="A1956" s="51" t="s">
        <v>3567</v>
      </c>
      <c r="B1956" s="51" t="s">
        <v>3568</v>
      </c>
      <c r="C1956" s="51" t="s">
        <v>3647</v>
      </c>
      <c r="D1956" s="51" t="s">
        <v>4638</v>
      </c>
      <c r="E1956" s="51" t="s">
        <v>4639</v>
      </c>
      <c r="F1956" s="52">
        <v>1024.739581651357</v>
      </c>
      <c r="G1956" s="52">
        <v>0</v>
      </c>
      <c r="H1956" s="52">
        <v>0</v>
      </c>
      <c r="I1956" s="52">
        <v>0</v>
      </c>
      <c r="J1956" s="51">
        <v>0</v>
      </c>
      <c r="K1956" s="54">
        <v>0</v>
      </c>
      <c r="L1956" s="51">
        <v>0</v>
      </c>
      <c r="M1956" s="54">
        <v>0</v>
      </c>
      <c r="N1956" s="53">
        <f t="shared" si="60"/>
        <v>0</v>
      </c>
      <c r="O1956" s="53">
        <f t="shared" si="61"/>
        <v>0</v>
      </c>
    </row>
    <row r="1957" spans="1:15" x14ac:dyDescent="0.2">
      <c r="A1957" s="51" t="s">
        <v>3567</v>
      </c>
      <c r="B1957" s="51" t="s">
        <v>3568</v>
      </c>
      <c r="C1957" s="51" t="s">
        <v>70</v>
      </c>
      <c r="D1957" s="51" t="s">
        <v>3463</v>
      </c>
      <c r="E1957" s="51" t="s">
        <v>3462</v>
      </c>
      <c r="F1957" s="52">
        <v>85234.623626335771</v>
      </c>
      <c r="G1957" s="52">
        <v>14360</v>
      </c>
      <c r="H1957" s="52">
        <v>121365</v>
      </c>
      <c r="I1957" s="52">
        <v>135725</v>
      </c>
      <c r="J1957" s="51">
        <v>0</v>
      </c>
      <c r="K1957" s="54">
        <v>0</v>
      </c>
      <c r="L1957" s="51">
        <v>2</v>
      </c>
      <c r="M1957" s="54">
        <v>135000</v>
      </c>
      <c r="N1957" s="53">
        <f t="shared" si="60"/>
        <v>-135000</v>
      </c>
      <c r="O1957" s="53">
        <f t="shared" si="61"/>
        <v>135000</v>
      </c>
    </row>
    <row r="1958" spans="1:15" x14ac:dyDescent="0.2">
      <c r="A1958" s="51" t="s">
        <v>3567</v>
      </c>
      <c r="B1958" s="51" t="s">
        <v>3568</v>
      </c>
      <c r="C1958" s="51" t="s">
        <v>87</v>
      </c>
      <c r="D1958" s="51" t="s">
        <v>2528</v>
      </c>
      <c r="E1958" s="51" t="s">
        <v>2527</v>
      </c>
      <c r="F1958" s="52">
        <v>2725.9926190000001</v>
      </c>
      <c r="G1958" s="52">
        <v>920</v>
      </c>
      <c r="H1958" s="52">
        <v>11680</v>
      </c>
      <c r="I1958" s="52">
        <v>12600</v>
      </c>
      <c r="J1958" s="51">
        <v>0</v>
      </c>
      <c r="K1958" s="54">
        <v>0</v>
      </c>
      <c r="L1958" s="51">
        <v>1</v>
      </c>
      <c r="M1958" s="54">
        <v>20000</v>
      </c>
      <c r="N1958" s="53">
        <f t="shared" si="60"/>
        <v>-20000</v>
      </c>
      <c r="O1958" s="53">
        <f t="shared" si="61"/>
        <v>20000</v>
      </c>
    </row>
    <row r="1959" spans="1:15" x14ac:dyDescent="0.2">
      <c r="A1959" s="51" t="s">
        <v>3567</v>
      </c>
      <c r="B1959" s="51" t="s">
        <v>3568</v>
      </c>
      <c r="C1959" s="51" t="s">
        <v>3619</v>
      </c>
      <c r="D1959" s="51" t="s">
        <v>4621</v>
      </c>
      <c r="E1959" s="51" t="s">
        <v>4622</v>
      </c>
      <c r="F1959" s="52">
        <v>8.4848503836215468</v>
      </c>
      <c r="G1959" s="52">
        <v>0</v>
      </c>
      <c r="H1959" s="52">
        <v>0</v>
      </c>
      <c r="I1959" s="52">
        <v>0</v>
      </c>
      <c r="J1959" s="51">
        <v>0</v>
      </c>
      <c r="K1959" s="54">
        <v>0</v>
      </c>
      <c r="L1959" s="51">
        <v>0</v>
      </c>
      <c r="M1959" s="54">
        <v>0</v>
      </c>
      <c r="N1959" s="53">
        <f t="shared" si="60"/>
        <v>0</v>
      </c>
      <c r="O1959" s="53">
        <f t="shared" si="61"/>
        <v>0</v>
      </c>
    </row>
    <row r="1960" spans="1:15" x14ac:dyDescent="0.2">
      <c r="A1960" s="51" t="s">
        <v>3567</v>
      </c>
      <c r="B1960" s="51" t="s">
        <v>3568</v>
      </c>
      <c r="C1960" s="51" t="s">
        <v>78</v>
      </c>
      <c r="D1960" s="51" t="s">
        <v>2781</v>
      </c>
      <c r="E1960" s="51" t="s">
        <v>2780</v>
      </c>
      <c r="F1960" s="52">
        <v>1371.208576294775</v>
      </c>
      <c r="G1960" s="52">
        <v>635</v>
      </c>
      <c r="H1960" s="52">
        <v>2400</v>
      </c>
      <c r="I1960" s="52">
        <v>3035</v>
      </c>
      <c r="J1960" s="51">
        <v>0</v>
      </c>
      <c r="K1960" s="54">
        <v>0</v>
      </c>
      <c r="L1960" s="51">
        <v>1</v>
      </c>
      <c r="M1960" s="54">
        <v>10000</v>
      </c>
      <c r="N1960" s="53">
        <f t="shared" si="60"/>
        <v>-10000</v>
      </c>
      <c r="O1960" s="53">
        <f t="shared" si="61"/>
        <v>10000</v>
      </c>
    </row>
    <row r="1961" spans="1:15" x14ac:dyDescent="0.2">
      <c r="A1961" s="51" t="s">
        <v>3567</v>
      </c>
      <c r="B1961" s="51" t="s">
        <v>3568</v>
      </c>
      <c r="C1961" s="51" t="s">
        <v>71</v>
      </c>
      <c r="D1961" s="51" t="s">
        <v>2966</v>
      </c>
      <c r="E1961" s="51" t="s">
        <v>2965</v>
      </c>
      <c r="F1961" s="52">
        <v>5840.600358152411</v>
      </c>
      <c r="G1961" s="52">
        <v>510</v>
      </c>
      <c r="H1961" s="52">
        <v>4770</v>
      </c>
      <c r="I1961" s="52">
        <v>5280</v>
      </c>
      <c r="J1961" s="51">
        <v>1</v>
      </c>
      <c r="K1961" s="54">
        <v>5000</v>
      </c>
      <c r="L1961" s="51">
        <v>1</v>
      </c>
      <c r="M1961" s="54">
        <v>10000</v>
      </c>
      <c r="N1961" s="53">
        <f t="shared" si="60"/>
        <v>-5000</v>
      </c>
      <c r="O1961" s="53">
        <f t="shared" si="61"/>
        <v>5000</v>
      </c>
    </row>
    <row r="1962" spans="1:15" x14ac:dyDescent="0.2">
      <c r="A1962" s="51" t="s">
        <v>3567</v>
      </c>
      <c r="B1962" s="51" t="s">
        <v>3568</v>
      </c>
      <c r="C1962" s="51" t="s">
        <v>80</v>
      </c>
      <c r="D1962" s="51" t="s">
        <v>3376</v>
      </c>
      <c r="E1962" s="51" t="s">
        <v>3375</v>
      </c>
      <c r="F1962" s="52">
        <v>9811.9215306046226</v>
      </c>
      <c r="G1962" s="52">
        <v>6280</v>
      </c>
      <c r="H1962" s="52">
        <v>24435</v>
      </c>
      <c r="I1962" s="52">
        <v>30715</v>
      </c>
      <c r="J1962" s="51">
        <v>0</v>
      </c>
      <c r="K1962" s="54">
        <v>0</v>
      </c>
      <c r="L1962" s="51">
        <v>2</v>
      </c>
      <c r="M1962" s="54">
        <v>40000</v>
      </c>
      <c r="N1962" s="53">
        <f t="shared" si="60"/>
        <v>-40000</v>
      </c>
      <c r="O1962" s="53">
        <f t="shared" si="61"/>
        <v>40000</v>
      </c>
    </row>
    <row r="1963" spans="1:15" x14ac:dyDescent="0.2">
      <c r="A1963" s="51" t="s">
        <v>3567</v>
      </c>
      <c r="B1963" s="51" t="s">
        <v>3568</v>
      </c>
      <c r="C1963" s="51" t="s">
        <v>93</v>
      </c>
      <c r="D1963" s="51" t="s">
        <v>1457</v>
      </c>
      <c r="E1963" s="51" t="s">
        <v>1456</v>
      </c>
      <c r="F1963" s="52">
        <v>16291.894061000001</v>
      </c>
      <c r="G1963" s="52">
        <v>37580</v>
      </c>
      <c r="H1963" s="52">
        <v>22302</v>
      </c>
      <c r="I1963" s="52">
        <v>59882</v>
      </c>
      <c r="J1963" s="51">
        <v>0</v>
      </c>
      <c r="K1963" s="54">
        <v>0</v>
      </c>
      <c r="L1963" s="51">
        <v>1</v>
      </c>
      <c r="M1963" s="54">
        <v>6000</v>
      </c>
      <c r="N1963" s="53">
        <f t="shared" si="60"/>
        <v>-6000</v>
      </c>
      <c r="O1963" s="53">
        <f t="shared" si="61"/>
        <v>6000</v>
      </c>
    </row>
    <row r="1964" spans="1:15" x14ac:dyDescent="0.2">
      <c r="A1964" s="51" t="s">
        <v>3567</v>
      </c>
      <c r="B1964" s="51" t="s">
        <v>3568</v>
      </c>
      <c r="C1964" s="51" t="s">
        <v>62</v>
      </c>
      <c r="D1964" s="51" t="s">
        <v>2982</v>
      </c>
      <c r="E1964" s="51" t="s">
        <v>2981</v>
      </c>
      <c r="F1964" s="52">
        <v>15232.28001174547</v>
      </c>
      <c r="G1964" s="52">
        <v>11000</v>
      </c>
      <c r="H1964" s="52">
        <v>500</v>
      </c>
      <c r="I1964" s="52">
        <v>11500</v>
      </c>
      <c r="J1964" s="51">
        <v>3</v>
      </c>
      <c r="K1964" s="54">
        <v>25000</v>
      </c>
      <c r="L1964" s="51">
        <v>0</v>
      </c>
      <c r="M1964" s="54">
        <v>0</v>
      </c>
      <c r="N1964" s="53">
        <f t="shared" si="60"/>
        <v>25000</v>
      </c>
      <c r="O1964" s="53">
        <f t="shared" si="61"/>
        <v>-25000</v>
      </c>
    </row>
    <row r="1965" spans="1:15" x14ac:dyDescent="0.2">
      <c r="A1965" s="51" t="s">
        <v>3567</v>
      </c>
      <c r="B1965" s="51" t="s">
        <v>3568</v>
      </c>
      <c r="C1965" s="51" t="s">
        <v>65</v>
      </c>
      <c r="D1965" s="51" t="s">
        <v>2084</v>
      </c>
      <c r="E1965" s="51" t="s">
        <v>2083</v>
      </c>
      <c r="F1965" s="52">
        <v>10194.062938968989</v>
      </c>
      <c r="G1965" s="52">
        <v>28430</v>
      </c>
      <c r="H1965" s="52">
        <v>7770</v>
      </c>
      <c r="I1965" s="52">
        <v>36200</v>
      </c>
      <c r="J1965" s="51">
        <v>1</v>
      </c>
      <c r="K1965" s="54">
        <v>10000</v>
      </c>
      <c r="L1965" s="51">
        <v>0</v>
      </c>
      <c r="M1965" s="54">
        <v>0</v>
      </c>
      <c r="N1965" s="53">
        <f t="shared" si="60"/>
        <v>10000</v>
      </c>
      <c r="O1965" s="53">
        <f t="shared" si="61"/>
        <v>-10000</v>
      </c>
    </row>
    <row r="1966" spans="1:15" x14ac:dyDescent="0.2">
      <c r="A1966" s="51" t="s">
        <v>3567</v>
      </c>
      <c r="B1966" s="51" t="s">
        <v>3568</v>
      </c>
      <c r="C1966" s="51" t="s">
        <v>93</v>
      </c>
      <c r="D1966" s="51" t="s">
        <v>2490</v>
      </c>
      <c r="E1966" s="51" t="s">
        <v>2489</v>
      </c>
      <c r="F1966" s="52">
        <v>34645.806600000004</v>
      </c>
      <c r="G1966" s="52">
        <v>19830</v>
      </c>
      <c r="H1966" s="52">
        <v>2410</v>
      </c>
      <c r="I1966" s="52">
        <v>22240</v>
      </c>
      <c r="J1966" s="51">
        <v>1</v>
      </c>
      <c r="K1966" s="54">
        <v>10000</v>
      </c>
      <c r="L1966" s="51">
        <v>0</v>
      </c>
      <c r="M1966" s="54">
        <v>0</v>
      </c>
      <c r="N1966" s="53">
        <f t="shared" si="60"/>
        <v>10000</v>
      </c>
      <c r="O1966" s="53">
        <f t="shared" si="61"/>
        <v>-10000</v>
      </c>
    </row>
    <row r="1967" spans="1:15" x14ac:dyDescent="0.2">
      <c r="A1967" s="51" t="s">
        <v>3567</v>
      </c>
      <c r="B1967" s="51" t="s">
        <v>3568</v>
      </c>
      <c r="C1967" s="51" t="s">
        <v>76</v>
      </c>
      <c r="D1967" s="51" t="s">
        <v>3265</v>
      </c>
      <c r="E1967" s="51" t="s">
        <v>3264</v>
      </c>
      <c r="F1967" s="52">
        <v>16638.242559367409</v>
      </c>
      <c r="G1967" s="52">
        <v>4670</v>
      </c>
      <c r="H1967" s="52">
        <v>3490</v>
      </c>
      <c r="I1967" s="52">
        <v>8160</v>
      </c>
      <c r="J1967" s="51">
        <v>0</v>
      </c>
      <c r="K1967" s="54">
        <v>0</v>
      </c>
      <c r="L1967" s="51">
        <v>1</v>
      </c>
      <c r="M1967" s="54">
        <v>20000</v>
      </c>
      <c r="N1967" s="53">
        <f t="shared" si="60"/>
        <v>-20000</v>
      </c>
      <c r="O1967" s="53">
        <f t="shared" si="61"/>
        <v>20000</v>
      </c>
    </row>
    <row r="1968" spans="1:15" x14ac:dyDescent="0.2">
      <c r="A1968" s="51" t="s">
        <v>3567</v>
      </c>
      <c r="B1968" s="51" t="s">
        <v>3568</v>
      </c>
      <c r="C1968" s="51" t="s">
        <v>78</v>
      </c>
      <c r="D1968" s="51" t="s">
        <v>3284</v>
      </c>
      <c r="E1968" s="51" t="s">
        <v>3283</v>
      </c>
      <c r="F1968" s="52">
        <v>7924.9197000000004</v>
      </c>
      <c r="G1968" s="52">
        <v>5570</v>
      </c>
      <c r="H1968" s="52">
        <v>7792</v>
      </c>
      <c r="I1968" s="52">
        <v>13362</v>
      </c>
      <c r="J1968" s="51">
        <v>0</v>
      </c>
      <c r="K1968" s="54">
        <v>0</v>
      </c>
      <c r="L1968" s="51">
        <v>1</v>
      </c>
      <c r="M1968" s="54">
        <v>20000</v>
      </c>
      <c r="N1968" s="53">
        <f t="shared" si="60"/>
        <v>-20000</v>
      </c>
      <c r="O1968" s="53">
        <f t="shared" si="61"/>
        <v>20000</v>
      </c>
    </row>
    <row r="1969" spans="1:15" x14ac:dyDescent="0.2">
      <c r="A1969" s="51" t="s">
        <v>3567</v>
      </c>
      <c r="B1969" s="51" t="s">
        <v>3568</v>
      </c>
      <c r="C1969" s="51" t="s">
        <v>58</v>
      </c>
      <c r="D1969" s="51" t="s">
        <v>4601</v>
      </c>
      <c r="E1969" s="51" t="s">
        <v>2217</v>
      </c>
      <c r="F1969" s="52">
        <v>2.5895999999999999</v>
      </c>
      <c r="G1969" s="52">
        <v>0</v>
      </c>
      <c r="H1969" s="52">
        <v>0</v>
      </c>
      <c r="I1969" s="52">
        <v>0</v>
      </c>
      <c r="J1969" s="51">
        <v>0</v>
      </c>
      <c r="K1969" s="54">
        <v>0</v>
      </c>
      <c r="L1969" s="51">
        <v>0</v>
      </c>
      <c r="M1969" s="54">
        <v>0</v>
      </c>
      <c r="N1969" s="53">
        <f t="shared" si="60"/>
        <v>0</v>
      </c>
      <c r="O1969" s="53">
        <f t="shared" si="61"/>
        <v>0</v>
      </c>
    </row>
    <row r="1970" spans="1:15" x14ac:dyDescent="0.2">
      <c r="A1970" s="51" t="s">
        <v>3567</v>
      </c>
      <c r="B1970" s="51" t="s">
        <v>3568</v>
      </c>
      <c r="C1970" s="51" t="s">
        <v>82</v>
      </c>
      <c r="D1970" s="51" t="s">
        <v>1500</v>
      </c>
      <c r="E1970" s="51" t="s">
        <v>1499</v>
      </c>
      <c r="F1970" s="52">
        <v>40.193803391300001</v>
      </c>
      <c r="G1970" s="52">
        <v>0</v>
      </c>
      <c r="H1970" s="52">
        <v>1500</v>
      </c>
      <c r="I1970" s="52">
        <v>1500</v>
      </c>
      <c r="J1970" s="51">
        <v>0</v>
      </c>
      <c r="K1970" s="54">
        <v>0</v>
      </c>
      <c r="L1970" s="51">
        <v>1</v>
      </c>
      <c r="M1970" s="54">
        <v>5000</v>
      </c>
      <c r="N1970" s="53">
        <f t="shared" si="60"/>
        <v>-5000</v>
      </c>
      <c r="O1970" s="53">
        <f t="shared" si="61"/>
        <v>5000</v>
      </c>
    </row>
    <row r="1971" spans="1:15" x14ac:dyDescent="0.2">
      <c r="A1971" s="51" t="s">
        <v>3567</v>
      </c>
      <c r="B1971" s="51" t="s">
        <v>3568</v>
      </c>
      <c r="C1971" s="51" t="s">
        <v>83</v>
      </c>
      <c r="D1971" s="51" t="s">
        <v>2668</v>
      </c>
      <c r="E1971" s="51" t="s">
        <v>2667</v>
      </c>
      <c r="F1971" s="52">
        <v>8104.4675999999999</v>
      </c>
      <c r="G1971" s="52">
        <v>6500</v>
      </c>
      <c r="H1971" s="52">
        <v>10600</v>
      </c>
      <c r="I1971" s="52">
        <v>17100</v>
      </c>
      <c r="J1971" s="51">
        <v>0</v>
      </c>
      <c r="K1971" s="54">
        <v>0</v>
      </c>
      <c r="L1971" s="51">
        <v>1</v>
      </c>
      <c r="M1971" s="54">
        <v>6000</v>
      </c>
      <c r="N1971" s="53">
        <f t="shared" si="60"/>
        <v>-6000</v>
      </c>
      <c r="O1971" s="53">
        <f t="shared" si="61"/>
        <v>6000</v>
      </c>
    </row>
    <row r="1972" spans="1:15" x14ac:dyDescent="0.2">
      <c r="A1972" s="51" t="s">
        <v>3567</v>
      </c>
      <c r="B1972" s="51" t="s">
        <v>3568</v>
      </c>
      <c r="C1972" s="51" t="s">
        <v>84</v>
      </c>
      <c r="D1972" s="51" t="s">
        <v>512</v>
      </c>
      <c r="E1972" s="51" t="s">
        <v>511</v>
      </c>
      <c r="F1972" s="52">
        <v>7047.3766858915506</v>
      </c>
      <c r="G1972" s="52">
        <v>1800</v>
      </c>
      <c r="H1972" s="52">
        <v>12310</v>
      </c>
      <c r="I1972" s="52">
        <v>14110</v>
      </c>
      <c r="J1972" s="51">
        <v>0</v>
      </c>
      <c r="K1972" s="54">
        <v>0</v>
      </c>
      <c r="L1972" s="51">
        <v>1</v>
      </c>
      <c r="M1972" s="54">
        <v>11000</v>
      </c>
      <c r="N1972" s="53">
        <f t="shared" si="60"/>
        <v>-11000</v>
      </c>
      <c r="O1972" s="53">
        <f t="shared" si="61"/>
        <v>11000</v>
      </c>
    </row>
    <row r="1973" spans="1:15" x14ac:dyDescent="0.2">
      <c r="A1973" s="51" t="s">
        <v>3567</v>
      </c>
      <c r="B1973" s="51" t="s">
        <v>3568</v>
      </c>
      <c r="C1973" s="51" t="s">
        <v>76</v>
      </c>
      <c r="D1973" s="51" t="s">
        <v>3507</v>
      </c>
      <c r="E1973" s="51" t="s">
        <v>3506</v>
      </c>
      <c r="F1973" s="52">
        <v>19655.4365</v>
      </c>
      <c r="G1973" s="52">
        <v>4300</v>
      </c>
      <c r="H1973" s="52">
        <v>0</v>
      </c>
      <c r="I1973" s="52">
        <v>4300</v>
      </c>
      <c r="J1973" s="51">
        <v>0</v>
      </c>
      <c r="K1973" s="54">
        <v>0</v>
      </c>
      <c r="L1973" s="51">
        <v>1</v>
      </c>
      <c r="M1973" s="54">
        <v>10000</v>
      </c>
      <c r="N1973" s="53">
        <f t="shared" si="60"/>
        <v>-10000</v>
      </c>
      <c r="O1973" s="53">
        <f t="shared" si="61"/>
        <v>10000</v>
      </c>
    </row>
    <row r="1974" spans="1:15" x14ac:dyDescent="0.2">
      <c r="A1974" s="51" t="s">
        <v>3567</v>
      </c>
      <c r="B1974" s="51" t="s">
        <v>3568</v>
      </c>
      <c r="C1974" s="51" t="s">
        <v>59</v>
      </c>
      <c r="D1974" s="51" t="s">
        <v>156</v>
      </c>
      <c r="E1974" s="51" t="s">
        <v>155</v>
      </c>
      <c r="F1974" s="52">
        <v>2288.1025</v>
      </c>
      <c r="G1974" s="52">
        <v>1000</v>
      </c>
      <c r="H1974" s="52">
        <v>9550</v>
      </c>
      <c r="I1974" s="52">
        <v>10550</v>
      </c>
      <c r="J1974" s="51">
        <v>0</v>
      </c>
      <c r="K1974" s="54">
        <v>0</v>
      </c>
      <c r="L1974" s="51">
        <v>2</v>
      </c>
      <c r="M1974" s="54">
        <v>25000</v>
      </c>
      <c r="N1974" s="53">
        <f t="shared" si="60"/>
        <v>-25000</v>
      </c>
      <c r="O1974" s="53">
        <f t="shared" si="61"/>
        <v>25000</v>
      </c>
    </row>
    <row r="1975" spans="1:15" x14ac:dyDescent="0.2">
      <c r="A1975" s="51" t="s">
        <v>3567</v>
      </c>
      <c r="B1975" s="51" t="s">
        <v>3568</v>
      </c>
      <c r="C1975" s="51" t="s">
        <v>63</v>
      </c>
      <c r="D1975" s="51" t="s">
        <v>2482</v>
      </c>
      <c r="E1975" s="51" t="s">
        <v>2481</v>
      </c>
      <c r="F1975" s="52">
        <v>12749.634</v>
      </c>
      <c r="G1975" s="52">
        <v>1430</v>
      </c>
      <c r="H1975" s="52">
        <v>1000</v>
      </c>
      <c r="I1975" s="52">
        <v>2430</v>
      </c>
      <c r="J1975" s="51">
        <v>1</v>
      </c>
      <c r="K1975" s="54">
        <v>5000</v>
      </c>
      <c r="L1975" s="51">
        <v>0</v>
      </c>
      <c r="M1975" s="54">
        <v>0</v>
      </c>
      <c r="N1975" s="53">
        <f t="shared" si="60"/>
        <v>5000</v>
      </c>
      <c r="O1975" s="53">
        <f t="shared" si="61"/>
        <v>-5000</v>
      </c>
    </row>
    <row r="1976" spans="1:15" x14ac:dyDescent="0.2">
      <c r="A1976" s="51" t="s">
        <v>3567</v>
      </c>
      <c r="B1976" s="51" t="s">
        <v>3568</v>
      </c>
      <c r="C1976" s="51" t="s">
        <v>3607</v>
      </c>
      <c r="D1976" s="51" t="s">
        <v>4615</v>
      </c>
      <c r="E1976" s="51" t="s">
        <v>4616</v>
      </c>
      <c r="F1976" s="52">
        <v>41.938800000000001</v>
      </c>
      <c r="G1976" s="52">
        <v>0</v>
      </c>
      <c r="H1976" s="52">
        <v>0</v>
      </c>
      <c r="I1976" s="52">
        <v>0</v>
      </c>
      <c r="J1976" s="51">
        <v>0</v>
      </c>
      <c r="K1976" s="54">
        <v>0</v>
      </c>
      <c r="L1976" s="51">
        <v>0</v>
      </c>
      <c r="M1976" s="54">
        <v>0</v>
      </c>
      <c r="N1976" s="53">
        <f t="shared" si="60"/>
        <v>0</v>
      </c>
      <c r="O1976" s="53">
        <f t="shared" si="61"/>
        <v>0</v>
      </c>
    </row>
    <row r="1977" spans="1:15" x14ac:dyDescent="0.2">
      <c r="A1977" s="51" t="s">
        <v>3567</v>
      </c>
      <c r="B1977" s="51" t="s">
        <v>3568</v>
      </c>
      <c r="C1977" s="51" t="s">
        <v>83</v>
      </c>
      <c r="D1977" s="51" t="s">
        <v>383</v>
      </c>
      <c r="E1977" s="51" t="s">
        <v>382</v>
      </c>
      <c r="F1977" s="52">
        <v>1.9850000000000001</v>
      </c>
      <c r="G1977" s="52">
        <v>0</v>
      </c>
      <c r="H1977" s="52">
        <v>0</v>
      </c>
      <c r="I1977" s="52">
        <v>0</v>
      </c>
      <c r="J1977" s="51">
        <v>0</v>
      </c>
      <c r="K1977" s="54">
        <v>0</v>
      </c>
      <c r="L1977" s="51">
        <v>0</v>
      </c>
      <c r="M1977" s="54">
        <v>0</v>
      </c>
      <c r="N1977" s="53">
        <f t="shared" si="60"/>
        <v>0</v>
      </c>
      <c r="O1977" s="53">
        <f t="shared" si="61"/>
        <v>0</v>
      </c>
    </row>
    <row r="1978" spans="1:15" x14ac:dyDescent="0.2">
      <c r="A1978" s="51" t="s">
        <v>3567</v>
      </c>
      <c r="B1978" s="51" t="s">
        <v>3568</v>
      </c>
      <c r="C1978" s="51" t="s">
        <v>70</v>
      </c>
      <c r="D1978" s="51" t="s">
        <v>1185</v>
      </c>
      <c r="E1978" s="51" t="s">
        <v>1184</v>
      </c>
      <c r="F1978" s="52">
        <v>337.36873342195031</v>
      </c>
      <c r="G1978" s="52">
        <v>12977</v>
      </c>
      <c r="H1978" s="52">
        <v>6487</v>
      </c>
      <c r="I1978" s="52">
        <v>19464</v>
      </c>
      <c r="J1978" s="51">
        <v>3</v>
      </c>
      <c r="K1978" s="54">
        <v>10000</v>
      </c>
      <c r="L1978" s="51">
        <v>1</v>
      </c>
      <c r="M1978" s="54">
        <v>1500</v>
      </c>
      <c r="N1978" s="53">
        <f t="shared" si="60"/>
        <v>8500</v>
      </c>
      <c r="O1978" s="53">
        <f t="shared" si="61"/>
        <v>-8500</v>
      </c>
    </row>
    <row r="1979" spans="1:15" x14ac:dyDescent="0.2">
      <c r="A1979" s="51" t="s">
        <v>3567</v>
      </c>
      <c r="B1979" s="51" t="s">
        <v>3568</v>
      </c>
      <c r="C1979" s="51" t="s">
        <v>83</v>
      </c>
      <c r="D1979" s="51" t="s">
        <v>2156</v>
      </c>
      <c r="E1979" s="51" t="s">
        <v>2155</v>
      </c>
      <c r="F1979" s="52">
        <v>643.39124995240002</v>
      </c>
      <c r="G1979" s="52">
        <v>0</v>
      </c>
      <c r="H1979" s="52">
        <v>3170</v>
      </c>
      <c r="I1979" s="52">
        <v>3170</v>
      </c>
      <c r="J1979" s="51">
        <v>0</v>
      </c>
      <c r="K1979" s="54">
        <v>0</v>
      </c>
      <c r="L1979" s="51">
        <v>1</v>
      </c>
      <c r="M1979" s="54">
        <v>6000</v>
      </c>
      <c r="N1979" s="53">
        <f t="shared" si="60"/>
        <v>-6000</v>
      </c>
      <c r="O1979" s="53">
        <f t="shared" si="61"/>
        <v>6000</v>
      </c>
    </row>
    <row r="1980" spans="1:15" x14ac:dyDescent="0.2">
      <c r="A1980" s="51" t="s">
        <v>3567</v>
      </c>
      <c r="B1980" s="51" t="s">
        <v>3568</v>
      </c>
      <c r="C1980" s="51" t="s">
        <v>83</v>
      </c>
      <c r="D1980" s="51" t="s">
        <v>3403</v>
      </c>
      <c r="E1980" s="51" t="s">
        <v>3342</v>
      </c>
      <c r="F1980" s="52">
        <v>0.72235830172599003</v>
      </c>
      <c r="G1980" s="52">
        <v>0</v>
      </c>
      <c r="H1980" s="52">
        <v>0</v>
      </c>
      <c r="I1980" s="52">
        <v>0</v>
      </c>
      <c r="J1980" s="51">
        <v>0</v>
      </c>
      <c r="K1980" s="54">
        <v>0</v>
      </c>
      <c r="L1980" s="51">
        <v>0</v>
      </c>
      <c r="M1980" s="54">
        <v>0</v>
      </c>
      <c r="N1980" s="53">
        <f t="shared" si="60"/>
        <v>0</v>
      </c>
      <c r="O1980" s="53">
        <f t="shared" si="61"/>
        <v>0</v>
      </c>
    </row>
    <row r="1981" spans="1:15" x14ac:dyDescent="0.2">
      <c r="A1981" s="51" t="s">
        <v>3567</v>
      </c>
      <c r="B1981" s="51" t="s">
        <v>3568</v>
      </c>
      <c r="C1981" s="51" t="s">
        <v>69</v>
      </c>
      <c r="D1981" s="51" t="s">
        <v>142</v>
      </c>
      <c r="E1981" s="51" t="s">
        <v>141</v>
      </c>
      <c r="F1981" s="52">
        <v>878.12965676088584</v>
      </c>
      <c r="G1981" s="52">
        <v>910</v>
      </c>
      <c r="H1981" s="52">
        <v>2000</v>
      </c>
      <c r="I1981" s="52">
        <v>2910</v>
      </c>
      <c r="J1981" s="51">
        <v>0</v>
      </c>
      <c r="K1981" s="54">
        <v>0</v>
      </c>
      <c r="L1981" s="51">
        <v>1</v>
      </c>
      <c r="M1981" s="54">
        <v>5000</v>
      </c>
      <c r="N1981" s="53">
        <f t="shared" si="60"/>
        <v>-5000</v>
      </c>
      <c r="O1981" s="53">
        <f t="shared" si="61"/>
        <v>5000</v>
      </c>
    </row>
    <row r="1982" spans="1:15" x14ac:dyDescent="0.2">
      <c r="A1982" s="51" t="s">
        <v>3567</v>
      </c>
      <c r="B1982" s="51" t="s">
        <v>3568</v>
      </c>
      <c r="C1982" s="51" t="s">
        <v>60</v>
      </c>
      <c r="D1982" s="51" t="s">
        <v>4617</v>
      </c>
      <c r="E1982" s="51" t="s">
        <v>4618</v>
      </c>
      <c r="F1982" s="52">
        <v>2.6629999999999998</v>
      </c>
      <c r="G1982" s="52">
        <v>0</v>
      </c>
      <c r="H1982" s="52">
        <v>0</v>
      </c>
      <c r="I1982" s="52">
        <v>0</v>
      </c>
      <c r="J1982" s="51">
        <v>0</v>
      </c>
      <c r="K1982" s="54">
        <v>0</v>
      </c>
      <c r="L1982" s="51">
        <v>0</v>
      </c>
      <c r="M1982" s="54">
        <v>0</v>
      </c>
      <c r="N1982" s="53">
        <f t="shared" si="60"/>
        <v>0</v>
      </c>
      <c r="O1982" s="53">
        <f t="shared" si="61"/>
        <v>0</v>
      </c>
    </row>
    <row r="1983" spans="1:15" x14ac:dyDescent="0.2">
      <c r="A1983" s="51" t="s">
        <v>3567</v>
      </c>
      <c r="B1983" s="51" t="s">
        <v>3568</v>
      </c>
      <c r="C1983" s="51" t="s">
        <v>3610</v>
      </c>
      <c r="D1983" s="51" t="s">
        <v>4583</v>
      </c>
      <c r="E1983" s="51" t="s">
        <v>4584</v>
      </c>
      <c r="F1983" s="52">
        <v>2.6425111000000002E-3</v>
      </c>
      <c r="G1983" s="52">
        <v>0</v>
      </c>
      <c r="H1983" s="52">
        <v>0</v>
      </c>
      <c r="I1983" s="52">
        <v>0</v>
      </c>
      <c r="J1983" s="51">
        <v>0</v>
      </c>
      <c r="K1983" s="54">
        <v>0</v>
      </c>
      <c r="L1983" s="51">
        <v>0</v>
      </c>
      <c r="M1983" s="54">
        <v>0</v>
      </c>
      <c r="N1983" s="53">
        <f t="shared" si="60"/>
        <v>0</v>
      </c>
      <c r="O1983" s="53">
        <f t="shared" si="61"/>
        <v>0</v>
      </c>
    </row>
    <row r="1984" spans="1:15" x14ac:dyDescent="0.2">
      <c r="A1984" s="51" t="s">
        <v>3567</v>
      </c>
      <c r="B1984" s="51" t="s">
        <v>3568</v>
      </c>
      <c r="C1984" s="51" t="s">
        <v>66</v>
      </c>
      <c r="D1984" s="51" t="s">
        <v>723</v>
      </c>
      <c r="E1984" s="51" t="s">
        <v>145</v>
      </c>
      <c r="F1984" s="52">
        <v>5241.7712000000001</v>
      </c>
      <c r="G1984" s="52">
        <v>59300</v>
      </c>
      <c r="H1984" s="52">
        <v>45100</v>
      </c>
      <c r="I1984" s="52">
        <v>104400</v>
      </c>
      <c r="J1984" s="51">
        <v>0</v>
      </c>
      <c r="K1984" s="54">
        <v>0</v>
      </c>
      <c r="L1984" s="51">
        <v>0</v>
      </c>
      <c r="M1984" s="54">
        <v>0</v>
      </c>
      <c r="N1984" s="53">
        <f t="shared" si="60"/>
        <v>0</v>
      </c>
      <c r="O1984" s="53">
        <f t="shared" si="61"/>
        <v>0</v>
      </c>
    </row>
    <row r="1985" spans="1:15" x14ac:dyDescent="0.2">
      <c r="A1985" s="51" t="s">
        <v>3567</v>
      </c>
      <c r="B1985" s="51" t="s">
        <v>3568</v>
      </c>
      <c r="C1985" s="51" t="s">
        <v>61</v>
      </c>
      <c r="D1985" s="51" t="s">
        <v>1030</v>
      </c>
      <c r="E1985" s="51" t="s">
        <v>1029</v>
      </c>
      <c r="F1985" s="52">
        <v>5145.6487999999999</v>
      </c>
      <c r="G1985" s="52">
        <v>0</v>
      </c>
      <c r="H1985" s="52">
        <v>0</v>
      </c>
      <c r="I1985" s="52">
        <v>0</v>
      </c>
      <c r="J1985" s="51">
        <v>1</v>
      </c>
      <c r="K1985" s="54">
        <v>5000</v>
      </c>
      <c r="L1985" s="51">
        <v>0</v>
      </c>
      <c r="M1985" s="54">
        <v>0</v>
      </c>
      <c r="N1985" s="53">
        <f t="shared" si="60"/>
        <v>5000</v>
      </c>
      <c r="O1985" s="53">
        <f t="shared" si="61"/>
        <v>-5000</v>
      </c>
    </row>
    <row r="1986" spans="1:15" x14ac:dyDescent="0.2">
      <c r="A1986" s="51" t="s">
        <v>3567</v>
      </c>
      <c r="B1986" s="51" t="s">
        <v>3568</v>
      </c>
      <c r="C1986" s="51" t="s">
        <v>3580</v>
      </c>
      <c r="D1986" s="51" t="s">
        <v>4612</v>
      </c>
      <c r="E1986" s="51" t="s">
        <v>4613</v>
      </c>
      <c r="F1986" s="52">
        <v>36.977797858018278</v>
      </c>
      <c r="G1986" s="52">
        <v>0</v>
      </c>
      <c r="H1986" s="52">
        <v>0</v>
      </c>
      <c r="I1986" s="52">
        <v>0</v>
      </c>
      <c r="J1986" s="51">
        <v>0</v>
      </c>
      <c r="K1986" s="54">
        <v>0</v>
      </c>
      <c r="L1986" s="51">
        <v>0</v>
      </c>
      <c r="M1986" s="54">
        <v>0</v>
      </c>
      <c r="N1986" s="53">
        <f t="shared" si="60"/>
        <v>0</v>
      </c>
      <c r="O1986" s="53">
        <f t="shared" si="61"/>
        <v>0</v>
      </c>
    </row>
    <row r="1987" spans="1:15" x14ac:dyDescent="0.2">
      <c r="A1987" s="51" t="s">
        <v>3567</v>
      </c>
      <c r="B1987" s="51" t="s">
        <v>3568</v>
      </c>
      <c r="C1987" s="51" t="s">
        <v>80</v>
      </c>
      <c r="D1987" s="51" t="s">
        <v>2980</v>
      </c>
      <c r="E1987" s="51" t="s">
        <v>2979</v>
      </c>
      <c r="F1987" s="52">
        <v>10702.473788366329</v>
      </c>
      <c r="G1987" s="52">
        <v>1700</v>
      </c>
      <c r="H1987" s="52">
        <v>10995</v>
      </c>
      <c r="I1987" s="52">
        <v>12695</v>
      </c>
      <c r="J1987" s="51">
        <v>0</v>
      </c>
      <c r="K1987" s="54">
        <v>0</v>
      </c>
      <c r="L1987" s="51">
        <v>1</v>
      </c>
      <c r="M1987" s="54">
        <v>5000</v>
      </c>
      <c r="N1987" s="53">
        <f t="shared" ref="N1987:N2050" si="62">K1987-M1987</f>
        <v>-5000</v>
      </c>
      <c r="O1987" s="53">
        <f t="shared" ref="O1987:O2050" si="63">M1987-K1987</f>
        <v>5000</v>
      </c>
    </row>
    <row r="1988" spans="1:15" x14ac:dyDescent="0.2">
      <c r="A1988" s="51" t="s">
        <v>3567</v>
      </c>
      <c r="B1988" s="51" t="s">
        <v>3568</v>
      </c>
      <c r="C1988" s="51" t="s">
        <v>72</v>
      </c>
      <c r="D1988" s="51" t="s">
        <v>1022</v>
      </c>
      <c r="E1988" s="51" t="s">
        <v>1021</v>
      </c>
      <c r="F1988" s="52">
        <v>118.7050241737367</v>
      </c>
      <c r="G1988" s="52">
        <v>0</v>
      </c>
      <c r="H1988" s="52">
        <v>21000</v>
      </c>
      <c r="I1988" s="52">
        <v>21000</v>
      </c>
      <c r="J1988" s="51">
        <v>0</v>
      </c>
      <c r="K1988" s="54">
        <v>0</v>
      </c>
      <c r="L1988" s="51">
        <v>1</v>
      </c>
      <c r="M1988" s="54">
        <v>24000</v>
      </c>
      <c r="N1988" s="53">
        <f t="shared" si="62"/>
        <v>-24000</v>
      </c>
      <c r="O1988" s="53">
        <f t="shared" si="63"/>
        <v>24000</v>
      </c>
    </row>
    <row r="1989" spans="1:15" x14ac:dyDescent="0.2">
      <c r="A1989" s="51" t="s">
        <v>3567</v>
      </c>
      <c r="B1989" s="51" t="s">
        <v>3568</v>
      </c>
      <c r="C1989" s="51" t="s">
        <v>67</v>
      </c>
      <c r="D1989" s="51" t="s">
        <v>2589</v>
      </c>
      <c r="E1989" s="51" t="s">
        <v>2588</v>
      </c>
      <c r="F1989" s="52">
        <v>13642.56935311626</v>
      </c>
      <c r="G1989" s="52">
        <v>11520</v>
      </c>
      <c r="H1989" s="52">
        <v>28900</v>
      </c>
      <c r="I1989" s="52">
        <v>40420</v>
      </c>
      <c r="J1989" s="51">
        <v>1</v>
      </c>
      <c r="K1989" s="54">
        <v>1000</v>
      </c>
      <c r="L1989" s="51">
        <v>2</v>
      </c>
      <c r="M1989" s="54">
        <v>50000</v>
      </c>
      <c r="N1989" s="53">
        <f t="shared" si="62"/>
        <v>-49000</v>
      </c>
      <c r="O1989" s="53">
        <f t="shared" si="63"/>
        <v>49000</v>
      </c>
    </row>
    <row r="1990" spans="1:15" x14ac:dyDescent="0.2">
      <c r="A1990" s="51" t="s">
        <v>3567</v>
      </c>
      <c r="B1990" s="51" t="s">
        <v>3568</v>
      </c>
      <c r="C1990" s="51" t="s">
        <v>71</v>
      </c>
      <c r="D1990" s="51" t="s">
        <v>2412</v>
      </c>
      <c r="E1990" s="51" t="s">
        <v>2411</v>
      </c>
      <c r="F1990" s="52">
        <v>488.64573806862438</v>
      </c>
      <c r="G1990" s="52">
        <v>9520</v>
      </c>
      <c r="H1990" s="52">
        <v>1650</v>
      </c>
      <c r="I1990" s="52">
        <v>11170</v>
      </c>
      <c r="J1990" s="51">
        <v>1</v>
      </c>
      <c r="K1990" s="54">
        <v>5000</v>
      </c>
      <c r="L1990" s="51">
        <v>0</v>
      </c>
      <c r="M1990" s="54">
        <v>0</v>
      </c>
      <c r="N1990" s="53">
        <f t="shared" si="62"/>
        <v>5000</v>
      </c>
      <c r="O1990" s="53">
        <f t="shared" si="63"/>
        <v>-5000</v>
      </c>
    </row>
    <row r="1991" spans="1:15" x14ac:dyDescent="0.2">
      <c r="A1991" s="51" t="s">
        <v>3567</v>
      </c>
      <c r="B1991" s="51" t="s">
        <v>3568</v>
      </c>
      <c r="C1991" s="51" t="s">
        <v>70</v>
      </c>
      <c r="D1991" s="51" t="s">
        <v>3427</v>
      </c>
      <c r="E1991" s="51" t="s">
        <v>3426</v>
      </c>
      <c r="F1991" s="52">
        <v>19348.438260141669</v>
      </c>
      <c r="G1991" s="52">
        <v>0</v>
      </c>
      <c r="H1991" s="52">
        <v>7440</v>
      </c>
      <c r="I1991" s="52">
        <v>7440</v>
      </c>
      <c r="J1991" s="51">
        <v>1</v>
      </c>
      <c r="K1991" s="54">
        <v>5000</v>
      </c>
      <c r="L1991" s="51">
        <v>0</v>
      </c>
      <c r="M1991" s="54">
        <v>0</v>
      </c>
      <c r="N1991" s="53">
        <f t="shared" si="62"/>
        <v>5000</v>
      </c>
      <c r="O1991" s="53">
        <f t="shared" si="63"/>
        <v>-5000</v>
      </c>
    </row>
    <row r="1992" spans="1:15" x14ac:dyDescent="0.2">
      <c r="A1992" s="51" t="s">
        <v>3567</v>
      </c>
      <c r="B1992" s="51" t="s">
        <v>3568</v>
      </c>
      <c r="C1992" s="51" t="s">
        <v>64</v>
      </c>
      <c r="D1992" s="51" t="s">
        <v>1924</v>
      </c>
      <c r="E1992" s="51" t="s">
        <v>1923</v>
      </c>
      <c r="F1992" s="52">
        <v>8454.0044999999991</v>
      </c>
      <c r="G1992" s="52">
        <v>11630</v>
      </c>
      <c r="H1992" s="52">
        <v>62780</v>
      </c>
      <c r="I1992" s="52">
        <v>74410</v>
      </c>
      <c r="J1992" s="51">
        <v>0</v>
      </c>
      <c r="K1992" s="54">
        <v>0</v>
      </c>
      <c r="L1992" s="51">
        <v>2</v>
      </c>
      <c r="M1992" s="54">
        <v>110000</v>
      </c>
      <c r="N1992" s="53">
        <f t="shared" si="62"/>
        <v>-110000</v>
      </c>
      <c r="O1992" s="53">
        <f t="shared" si="63"/>
        <v>110000</v>
      </c>
    </row>
    <row r="1993" spans="1:15" x14ac:dyDescent="0.2">
      <c r="A1993" s="51" t="s">
        <v>3567</v>
      </c>
      <c r="B1993" s="51" t="s">
        <v>3568</v>
      </c>
      <c r="C1993" s="51" t="s">
        <v>83</v>
      </c>
      <c r="D1993" s="51" t="s">
        <v>2005</v>
      </c>
      <c r="E1993" s="51" t="s">
        <v>2004</v>
      </c>
      <c r="F1993" s="52">
        <v>213.72235288289471</v>
      </c>
      <c r="G1993" s="52">
        <v>600</v>
      </c>
      <c r="H1993" s="52">
        <v>7900</v>
      </c>
      <c r="I1993" s="52">
        <v>8500</v>
      </c>
      <c r="J1993" s="51">
        <v>0</v>
      </c>
      <c r="K1993" s="54">
        <v>0</v>
      </c>
      <c r="L1993" s="51">
        <v>3</v>
      </c>
      <c r="M1993" s="54">
        <v>57000</v>
      </c>
      <c r="N1993" s="53">
        <f t="shared" si="62"/>
        <v>-57000</v>
      </c>
      <c r="O1993" s="53">
        <f t="shared" si="63"/>
        <v>57000</v>
      </c>
    </row>
    <row r="1994" spans="1:15" x14ac:dyDescent="0.2">
      <c r="A1994" s="51" t="s">
        <v>3567</v>
      </c>
      <c r="B1994" s="51" t="s">
        <v>3568</v>
      </c>
      <c r="C1994" s="51" t="s">
        <v>61</v>
      </c>
      <c r="D1994" s="51" t="s">
        <v>2787</v>
      </c>
      <c r="E1994" s="51" t="s">
        <v>2786</v>
      </c>
      <c r="F1994" s="52">
        <v>10105.485616433531</v>
      </c>
      <c r="G1994" s="52">
        <v>14070</v>
      </c>
      <c r="H1994" s="52">
        <v>1190</v>
      </c>
      <c r="I1994" s="52">
        <v>15260</v>
      </c>
      <c r="J1994" s="51">
        <v>1</v>
      </c>
      <c r="K1994" s="54">
        <v>10000</v>
      </c>
      <c r="L1994" s="51">
        <v>1</v>
      </c>
      <c r="M1994" s="54">
        <v>20000</v>
      </c>
      <c r="N1994" s="53">
        <f t="shared" si="62"/>
        <v>-10000</v>
      </c>
      <c r="O1994" s="53">
        <f t="shared" si="63"/>
        <v>10000</v>
      </c>
    </row>
    <row r="1995" spans="1:15" x14ac:dyDescent="0.2">
      <c r="A1995" s="51" t="s">
        <v>3567</v>
      </c>
      <c r="B1995" s="51" t="s">
        <v>3568</v>
      </c>
      <c r="C1995" s="51" t="s">
        <v>63</v>
      </c>
      <c r="D1995" s="51" t="s">
        <v>774</v>
      </c>
      <c r="E1995" s="51" t="s">
        <v>773</v>
      </c>
      <c r="F1995" s="52">
        <v>7109.1066000000001</v>
      </c>
      <c r="G1995" s="52">
        <v>6210</v>
      </c>
      <c r="H1995" s="52">
        <v>3160</v>
      </c>
      <c r="I1995" s="52">
        <v>9370</v>
      </c>
      <c r="J1995" s="51">
        <v>1</v>
      </c>
      <c r="K1995" s="54">
        <v>5000</v>
      </c>
      <c r="L1995" s="51">
        <v>0</v>
      </c>
      <c r="M1995" s="54">
        <v>0</v>
      </c>
      <c r="N1995" s="53">
        <f t="shared" si="62"/>
        <v>5000</v>
      </c>
      <c r="O1995" s="53">
        <f t="shared" si="63"/>
        <v>-5000</v>
      </c>
    </row>
    <row r="1996" spans="1:15" x14ac:dyDescent="0.2">
      <c r="A1996" s="51" t="s">
        <v>3567</v>
      </c>
      <c r="B1996" s="51" t="s">
        <v>3568</v>
      </c>
      <c r="C1996" s="51" t="s">
        <v>65</v>
      </c>
      <c r="D1996" s="51" t="s">
        <v>2819</v>
      </c>
      <c r="E1996" s="51" t="s">
        <v>2818</v>
      </c>
      <c r="F1996" s="52">
        <v>1137.981622680483</v>
      </c>
      <c r="G1996" s="52">
        <v>4300</v>
      </c>
      <c r="H1996" s="52">
        <v>1260</v>
      </c>
      <c r="I1996" s="52">
        <v>5560</v>
      </c>
      <c r="J1996" s="51">
        <v>1</v>
      </c>
      <c r="K1996" s="54">
        <v>10000</v>
      </c>
      <c r="L1996" s="51">
        <v>1</v>
      </c>
      <c r="M1996" s="54">
        <v>5000</v>
      </c>
      <c r="N1996" s="53">
        <f t="shared" si="62"/>
        <v>5000</v>
      </c>
      <c r="O1996" s="53">
        <f t="shared" si="63"/>
        <v>-5000</v>
      </c>
    </row>
    <row r="1997" spans="1:15" x14ac:dyDescent="0.2">
      <c r="A1997" s="51" t="s">
        <v>3567</v>
      </c>
      <c r="B1997" s="51" t="s">
        <v>3568</v>
      </c>
      <c r="C1997" s="51" t="s">
        <v>3653</v>
      </c>
      <c r="D1997" s="51" t="s">
        <v>4614</v>
      </c>
      <c r="E1997" s="51" t="s">
        <v>1174</v>
      </c>
      <c r="F1997" s="52">
        <v>7.4770675152968042</v>
      </c>
      <c r="G1997" s="52">
        <v>0</v>
      </c>
      <c r="H1997" s="52">
        <v>0</v>
      </c>
      <c r="I1997" s="52">
        <v>0</v>
      </c>
      <c r="J1997" s="51">
        <v>0</v>
      </c>
      <c r="K1997" s="54">
        <v>0</v>
      </c>
      <c r="L1997" s="51">
        <v>0</v>
      </c>
      <c r="M1997" s="54">
        <v>0</v>
      </c>
      <c r="N1997" s="53">
        <f t="shared" si="62"/>
        <v>0</v>
      </c>
      <c r="O1997" s="53">
        <f t="shared" si="63"/>
        <v>0</v>
      </c>
    </row>
    <row r="1998" spans="1:15" x14ac:dyDescent="0.2">
      <c r="A1998" s="51" t="s">
        <v>3567</v>
      </c>
      <c r="B1998" s="51" t="s">
        <v>3568</v>
      </c>
      <c r="C1998" s="51" t="s">
        <v>92</v>
      </c>
      <c r="D1998" s="51" t="s">
        <v>648</v>
      </c>
      <c r="E1998" s="51" t="s">
        <v>647</v>
      </c>
      <c r="F1998" s="52">
        <v>31440.152925201099</v>
      </c>
      <c r="G1998" s="52">
        <v>17675</v>
      </c>
      <c r="H1998" s="52">
        <v>35450</v>
      </c>
      <c r="I1998" s="52">
        <v>53125</v>
      </c>
      <c r="J1998" s="51">
        <v>2</v>
      </c>
      <c r="K1998" s="54">
        <v>10000</v>
      </c>
      <c r="L1998" s="51">
        <v>1</v>
      </c>
      <c r="M1998" s="54">
        <v>23000</v>
      </c>
      <c r="N1998" s="53">
        <f t="shared" si="62"/>
        <v>-13000</v>
      </c>
      <c r="O1998" s="53">
        <f t="shared" si="63"/>
        <v>13000</v>
      </c>
    </row>
    <row r="1999" spans="1:15" x14ac:dyDescent="0.2">
      <c r="A1999" s="51" t="s">
        <v>3567</v>
      </c>
      <c r="B1999" s="51" t="s">
        <v>3568</v>
      </c>
      <c r="C1999" s="51" t="s">
        <v>59</v>
      </c>
      <c r="D1999" s="51" t="s">
        <v>4662</v>
      </c>
      <c r="E1999" s="51" t="s">
        <v>4663</v>
      </c>
      <c r="F1999" s="52">
        <v>0.99919999999999998</v>
      </c>
      <c r="G1999" s="52">
        <v>0</v>
      </c>
      <c r="H1999" s="52">
        <v>0</v>
      </c>
      <c r="I1999" s="52">
        <v>0</v>
      </c>
      <c r="J1999" s="51">
        <v>0</v>
      </c>
      <c r="K1999" s="54">
        <v>0</v>
      </c>
      <c r="L1999" s="51">
        <v>0</v>
      </c>
      <c r="M1999" s="54">
        <v>0</v>
      </c>
      <c r="N1999" s="53">
        <f t="shared" si="62"/>
        <v>0</v>
      </c>
      <c r="O1999" s="53">
        <f t="shared" si="63"/>
        <v>0</v>
      </c>
    </row>
    <row r="2000" spans="1:15" x14ac:dyDescent="0.2">
      <c r="A2000" s="51" t="s">
        <v>3567</v>
      </c>
      <c r="B2000" s="51" t="s">
        <v>3568</v>
      </c>
      <c r="C2000" s="51" t="s">
        <v>65</v>
      </c>
      <c r="D2000" s="51" t="s">
        <v>886</v>
      </c>
      <c r="E2000" s="51" t="s">
        <v>885</v>
      </c>
      <c r="F2000" s="52">
        <v>1.8164440013000001</v>
      </c>
      <c r="G2000" s="52">
        <v>0</v>
      </c>
      <c r="H2000" s="52">
        <v>0</v>
      </c>
      <c r="I2000" s="52">
        <v>0</v>
      </c>
      <c r="J2000" s="51">
        <v>0</v>
      </c>
      <c r="K2000" s="54">
        <v>0</v>
      </c>
      <c r="L2000" s="51">
        <v>0</v>
      </c>
      <c r="M2000" s="54">
        <v>0</v>
      </c>
      <c r="N2000" s="53">
        <f t="shared" si="62"/>
        <v>0</v>
      </c>
      <c r="O2000" s="53">
        <f t="shared" si="63"/>
        <v>0</v>
      </c>
    </row>
    <row r="2001" spans="1:15" x14ac:dyDescent="0.2">
      <c r="A2001" s="51" t="s">
        <v>3567</v>
      </c>
      <c r="B2001" s="51" t="s">
        <v>3568</v>
      </c>
      <c r="C2001" s="51" t="s">
        <v>76</v>
      </c>
      <c r="D2001" s="51" t="s">
        <v>1044</v>
      </c>
      <c r="E2001" s="51" t="s">
        <v>1043</v>
      </c>
      <c r="F2001" s="52">
        <v>1063.3810550000001</v>
      </c>
      <c r="G2001" s="52">
        <v>760</v>
      </c>
      <c r="H2001" s="52">
        <v>0</v>
      </c>
      <c r="I2001" s="52">
        <v>760</v>
      </c>
      <c r="J2001" s="51">
        <v>0</v>
      </c>
      <c r="K2001" s="54">
        <v>0</v>
      </c>
      <c r="L2001" s="51">
        <v>1</v>
      </c>
      <c r="M2001" s="54">
        <v>18000</v>
      </c>
      <c r="N2001" s="53">
        <f t="shared" si="62"/>
        <v>-18000</v>
      </c>
      <c r="O2001" s="53">
        <f t="shared" si="63"/>
        <v>18000</v>
      </c>
    </row>
    <row r="2002" spans="1:15" x14ac:dyDescent="0.2">
      <c r="A2002" s="51" t="s">
        <v>3567</v>
      </c>
      <c r="B2002" s="51" t="s">
        <v>3568</v>
      </c>
      <c r="C2002" s="51" t="s">
        <v>55</v>
      </c>
      <c r="D2002" s="51" t="s">
        <v>2984</v>
      </c>
      <c r="E2002" s="51" t="s">
        <v>2983</v>
      </c>
      <c r="F2002" s="52">
        <v>1021.625837859943</v>
      </c>
      <c r="G2002" s="52">
        <v>0</v>
      </c>
      <c r="H2002" s="52">
        <v>19000</v>
      </c>
      <c r="I2002" s="52">
        <v>19000</v>
      </c>
      <c r="J2002" s="51">
        <v>0</v>
      </c>
      <c r="K2002" s="54">
        <v>0</v>
      </c>
      <c r="L2002" s="51">
        <v>1</v>
      </c>
      <c r="M2002" s="54">
        <v>19000</v>
      </c>
      <c r="N2002" s="53">
        <f t="shared" si="62"/>
        <v>-19000</v>
      </c>
      <c r="O2002" s="53">
        <f t="shared" si="63"/>
        <v>19000</v>
      </c>
    </row>
    <row r="2003" spans="1:15" x14ac:dyDescent="0.2">
      <c r="A2003" s="51" t="s">
        <v>3567</v>
      </c>
      <c r="B2003" s="51" t="s">
        <v>3568</v>
      </c>
      <c r="C2003" s="51" t="s">
        <v>66</v>
      </c>
      <c r="D2003" s="51" t="s">
        <v>3475</v>
      </c>
      <c r="E2003" s="51" t="s">
        <v>3474</v>
      </c>
      <c r="F2003" s="52">
        <v>1142.525862069939</v>
      </c>
      <c r="G2003" s="52">
        <v>0</v>
      </c>
      <c r="H2003" s="52">
        <v>1200</v>
      </c>
      <c r="I2003" s="52">
        <v>1200</v>
      </c>
      <c r="J2003" s="51">
        <v>0</v>
      </c>
      <c r="K2003" s="54">
        <v>0</v>
      </c>
      <c r="L2003" s="51">
        <v>0</v>
      </c>
      <c r="M2003" s="54">
        <v>0</v>
      </c>
      <c r="N2003" s="53">
        <f t="shared" si="62"/>
        <v>0</v>
      </c>
      <c r="O2003" s="53">
        <f t="shared" si="63"/>
        <v>0</v>
      </c>
    </row>
    <row r="2004" spans="1:15" x14ac:dyDescent="0.2">
      <c r="A2004" s="51" t="s">
        <v>3567</v>
      </c>
      <c r="B2004" s="51" t="s">
        <v>3568</v>
      </c>
      <c r="C2004" s="51" t="s">
        <v>92</v>
      </c>
      <c r="D2004" s="51" t="s">
        <v>922</v>
      </c>
      <c r="E2004" s="51" t="s">
        <v>921</v>
      </c>
      <c r="F2004" s="52">
        <v>49227.945852992743</v>
      </c>
      <c r="G2004" s="52">
        <v>70852</v>
      </c>
      <c r="H2004" s="52">
        <v>70915</v>
      </c>
      <c r="I2004" s="52">
        <v>141767</v>
      </c>
      <c r="J2004" s="51">
        <v>3</v>
      </c>
      <c r="K2004" s="54">
        <v>40000</v>
      </c>
      <c r="L2004" s="51">
        <v>2</v>
      </c>
      <c r="M2004" s="54">
        <v>18000</v>
      </c>
      <c r="N2004" s="53">
        <f t="shared" si="62"/>
        <v>22000</v>
      </c>
      <c r="O2004" s="53">
        <f t="shared" si="63"/>
        <v>-22000</v>
      </c>
    </row>
    <row r="2005" spans="1:15" x14ac:dyDescent="0.2">
      <c r="A2005" s="51" t="s">
        <v>3567</v>
      </c>
      <c r="B2005" s="51" t="s">
        <v>3568</v>
      </c>
      <c r="C2005" s="51" t="s">
        <v>74</v>
      </c>
      <c r="D2005" s="51" t="s">
        <v>1225</v>
      </c>
      <c r="E2005" s="51" t="s">
        <v>1224</v>
      </c>
      <c r="F2005" s="52">
        <v>27.458300000000001</v>
      </c>
      <c r="G2005" s="52">
        <v>0</v>
      </c>
      <c r="H2005" s="52">
        <v>0</v>
      </c>
      <c r="I2005" s="52">
        <v>0</v>
      </c>
      <c r="J2005" s="51">
        <v>0</v>
      </c>
      <c r="K2005" s="54">
        <v>0</v>
      </c>
      <c r="L2005" s="51">
        <v>0</v>
      </c>
      <c r="M2005" s="54">
        <v>0</v>
      </c>
      <c r="N2005" s="53">
        <f t="shared" si="62"/>
        <v>0</v>
      </c>
      <c r="O2005" s="53">
        <f t="shared" si="63"/>
        <v>0</v>
      </c>
    </row>
    <row r="2006" spans="1:15" x14ac:dyDescent="0.2">
      <c r="A2006" s="51" t="s">
        <v>3567</v>
      </c>
      <c r="B2006" s="51" t="s">
        <v>3568</v>
      </c>
      <c r="C2006" s="51" t="s">
        <v>56</v>
      </c>
      <c r="D2006" s="51" t="s">
        <v>230</v>
      </c>
      <c r="E2006" s="51" t="s">
        <v>229</v>
      </c>
      <c r="F2006" s="52">
        <v>1.7773563886181341</v>
      </c>
      <c r="G2006" s="52">
        <v>0</v>
      </c>
      <c r="H2006" s="52">
        <v>0</v>
      </c>
      <c r="I2006" s="52">
        <v>0</v>
      </c>
      <c r="J2006" s="51">
        <v>0</v>
      </c>
      <c r="K2006" s="54">
        <v>0</v>
      </c>
      <c r="L2006" s="51">
        <v>0</v>
      </c>
      <c r="M2006" s="54">
        <v>0</v>
      </c>
      <c r="N2006" s="53">
        <f t="shared" si="62"/>
        <v>0</v>
      </c>
      <c r="O2006" s="53">
        <f t="shared" si="63"/>
        <v>0</v>
      </c>
    </row>
    <row r="2007" spans="1:15" x14ac:dyDescent="0.2">
      <c r="A2007" s="51" t="s">
        <v>3567</v>
      </c>
      <c r="B2007" s="51" t="s">
        <v>3568</v>
      </c>
      <c r="C2007" s="51" t="s">
        <v>3610</v>
      </c>
      <c r="D2007" s="51" t="s">
        <v>4635</v>
      </c>
      <c r="E2007" s="51" t="s">
        <v>509</v>
      </c>
      <c r="F2007" s="52">
        <v>12.99468408987236</v>
      </c>
      <c r="G2007" s="52">
        <v>0</v>
      </c>
      <c r="H2007" s="52">
        <v>0</v>
      </c>
      <c r="I2007" s="52">
        <v>0</v>
      </c>
      <c r="J2007" s="51">
        <v>0</v>
      </c>
      <c r="K2007" s="54">
        <v>0</v>
      </c>
      <c r="L2007" s="51">
        <v>0</v>
      </c>
      <c r="M2007" s="54">
        <v>0</v>
      </c>
      <c r="N2007" s="53">
        <f t="shared" si="62"/>
        <v>0</v>
      </c>
      <c r="O2007" s="53">
        <f t="shared" si="63"/>
        <v>0</v>
      </c>
    </row>
    <row r="2008" spans="1:15" x14ac:dyDescent="0.2">
      <c r="A2008" s="51" t="s">
        <v>3567</v>
      </c>
      <c r="B2008" s="51" t="s">
        <v>3568</v>
      </c>
      <c r="C2008" s="51" t="s">
        <v>62</v>
      </c>
      <c r="D2008" s="51" t="s">
        <v>1729</v>
      </c>
      <c r="E2008" s="51" t="s">
        <v>1728</v>
      </c>
      <c r="F2008" s="52">
        <v>5124.5189</v>
      </c>
      <c r="G2008" s="52">
        <v>1190</v>
      </c>
      <c r="H2008" s="52">
        <v>30370</v>
      </c>
      <c r="I2008" s="52">
        <v>31560</v>
      </c>
      <c r="J2008" s="51">
        <v>0</v>
      </c>
      <c r="K2008" s="54">
        <v>0</v>
      </c>
      <c r="L2008" s="51">
        <v>1</v>
      </c>
      <c r="M2008" s="54">
        <v>30000</v>
      </c>
      <c r="N2008" s="53">
        <f t="shared" si="62"/>
        <v>-30000</v>
      </c>
      <c r="O2008" s="53">
        <f t="shared" si="63"/>
        <v>30000</v>
      </c>
    </row>
    <row r="2009" spans="1:15" x14ac:dyDescent="0.2">
      <c r="A2009" s="51" t="s">
        <v>3567</v>
      </c>
      <c r="B2009" s="51" t="s">
        <v>3568</v>
      </c>
      <c r="C2009" s="51" t="s">
        <v>52</v>
      </c>
      <c r="D2009" s="51" t="s">
        <v>3137</v>
      </c>
      <c r="E2009" s="51" t="s">
        <v>3136</v>
      </c>
      <c r="F2009" s="52">
        <v>5089.1627353704152</v>
      </c>
      <c r="G2009" s="52">
        <v>0</v>
      </c>
      <c r="H2009" s="52">
        <v>6890</v>
      </c>
      <c r="I2009" s="52">
        <v>6890</v>
      </c>
      <c r="J2009" s="51">
        <v>0</v>
      </c>
      <c r="K2009" s="54">
        <v>0</v>
      </c>
      <c r="L2009" s="51">
        <v>1</v>
      </c>
      <c r="M2009" s="54">
        <v>3500</v>
      </c>
      <c r="N2009" s="53">
        <f t="shared" si="62"/>
        <v>-3500</v>
      </c>
      <c r="O2009" s="53">
        <f t="shared" si="63"/>
        <v>3500</v>
      </c>
    </row>
    <row r="2010" spans="1:15" x14ac:dyDescent="0.2">
      <c r="A2010" s="51" t="s">
        <v>3567</v>
      </c>
      <c r="B2010" s="51" t="s">
        <v>3568</v>
      </c>
      <c r="C2010" s="51" t="s">
        <v>92</v>
      </c>
      <c r="D2010" s="51" t="s">
        <v>2342</v>
      </c>
      <c r="E2010" s="51" t="s">
        <v>2341</v>
      </c>
      <c r="F2010" s="52">
        <v>7893.0240000000003</v>
      </c>
      <c r="G2010" s="52">
        <v>37100</v>
      </c>
      <c r="H2010" s="52">
        <v>32165</v>
      </c>
      <c r="I2010" s="52">
        <v>69265</v>
      </c>
      <c r="J2010" s="51">
        <v>0</v>
      </c>
      <c r="K2010" s="54">
        <v>0</v>
      </c>
      <c r="L2010" s="51">
        <v>1</v>
      </c>
      <c r="M2010" s="54">
        <v>5000</v>
      </c>
      <c r="N2010" s="53">
        <f t="shared" si="62"/>
        <v>-5000</v>
      </c>
      <c r="O2010" s="53">
        <f t="shared" si="63"/>
        <v>5000</v>
      </c>
    </row>
    <row r="2011" spans="1:15" x14ac:dyDescent="0.2">
      <c r="A2011" s="51" t="s">
        <v>3567</v>
      </c>
      <c r="B2011" s="51" t="s">
        <v>3568</v>
      </c>
      <c r="C2011" s="51" t="s">
        <v>83</v>
      </c>
      <c r="D2011" s="51" t="s">
        <v>510</v>
      </c>
      <c r="E2011" s="51" t="s">
        <v>509</v>
      </c>
      <c r="F2011" s="52">
        <v>1894.1959000065001</v>
      </c>
      <c r="G2011" s="52">
        <v>2500</v>
      </c>
      <c r="H2011" s="52">
        <v>2500</v>
      </c>
      <c r="I2011" s="52">
        <v>5000</v>
      </c>
      <c r="J2011" s="51">
        <v>2</v>
      </c>
      <c r="K2011" s="54">
        <v>10000</v>
      </c>
      <c r="L2011" s="51">
        <v>0</v>
      </c>
      <c r="M2011" s="54">
        <v>0</v>
      </c>
      <c r="N2011" s="53">
        <f t="shared" si="62"/>
        <v>10000</v>
      </c>
      <c r="O2011" s="53">
        <f t="shared" si="63"/>
        <v>-10000</v>
      </c>
    </row>
    <row r="2012" spans="1:15" x14ac:dyDescent="0.2">
      <c r="A2012" s="51" t="s">
        <v>3567</v>
      </c>
      <c r="B2012" s="51" t="s">
        <v>3568</v>
      </c>
      <c r="C2012" s="51" t="s">
        <v>74</v>
      </c>
      <c r="D2012" s="51" t="s">
        <v>1008</v>
      </c>
      <c r="E2012" s="51" t="s">
        <v>1007</v>
      </c>
      <c r="F2012" s="52">
        <v>7776.1157102557327</v>
      </c>
      <c r="G2012" s="52">
        <v>1950</v>
      </c>
      <c r="H2012" s="52">
        <v>4390</v>
      </c>
      <c r="I2012" s="52">
        <v>6340</v>
      </c>
      <c r="J2012" s="51">
        <v>0</v>
      </c>
      <c r="K2012" s="54">
        <v>0</v>
      </c>
      <c r="L2012" s="51">
        <v>1</v>
      </c>
      <c r="M2012" s="54">
        <v>5000</v>
      </c>
      <c r="N2012" s="53">
        <f t="shared" si="62"/>
        <v>-5000</v>
      </c>
      <c r="O2012" s="53">
        <f t="shared" si="63"/>
        <v>5000</v>
      </c>
    </row>
    <row r="2013" spans="1:15" x14ac:dyDescent="0.2">
      <c r="A2013" s="51" t="s">
        <v>3567</v>
      </c>
      <c r="B2013" s="51" t="s">
        <v>3568</v>
      </c>
      <c r="C2013" s="51" t="s">
        <v>92</v>
      </c>
      <c r="D2013" s="51" t="s">
        <v>2727</v>
      </c>
      <c r="E2013" s="51" t="s">
        <v>2726</v>
      </c>
      <c r="F2013" s="52">
        <v>3097.563866752183</v>
      </c>
      <c r="G2013" s="52">
        <v>0</v>
      </c>
      <c r="H2013" s="52">
        <v>0</v>
      </c>
      <c r="I2013" s="52">
        <v>0</v>
      </c>
      <c r="J2013" s="51">
        <v>0</v>
      </c>
      <c r="K2013" s="54">
        <v>0</v>
      </c>
      <c r="L2013" s="51">
        <v>0</v>
      </c>
      <c r="M2013" s="54">
        <v>0</v>
      </c>
      <c r="N2013" s="53">
        <f t="shared" si="62"/>
        <v>0</v>
      </c>
      <c r="O2013" s="53">
        <f t="shared" si="63"/>
        <v>0</v>
      </c>
    </row>
    <row r="2014" spans="1:15" x14ac:dyDescent="0.2">
      <c r="A2014" s="51" t="s">
        <v>3567</v>
      </c>
      <c r="B2014" s="51" t="s">
        <v>3568</v>
      </c>
      <c r="C2014" s="51" t="s">
        <v>75</v>
      </c>
      <c r="D2014" s="51" t="s">
        <v>550</v>
      </c>
      <c r="E2014" s="51" t="s">
        <v>549</v>
      </c>
      <c r="F2014" s="52">
        <v>10995.98618198954</v>
      </c>
      <c r="G2014" s="52">
        <v>0</v>
      </c>
      <c r="H2014" s="52">
        <v>0</v>
      </c>
      <c r="I2014" s="52">
        <v>0</v>
      </c>
      <c r="J2014" s="51">
        <v>1</v>
      </c>
      <c r="K2014" s="54">
        <v>5000</v>
      </c>
      <c r="L2014" s="51">
        <v>0</v>
      </c>
      <c r="M2014" s="54">
        <v>0</v>
      </c>
      <c r="N2014" s="53">
        <f t="shared" si="62"/>
        <v>5000</v>
      </c>
      <c r="O2014" s="53">
        <f t="shared" si="63"/>
        <v>-5000</v>
      </c>
    </row>
    <row r="2015" spans="1:15" x14ac:dyDescent="0.2">
      <c r="A2015" s="51" t="s">
        <v>3567</v>
      </c>
      <c r="B2015" s="51" t="s">
        <v>3568</v>
      </c>
      <c r="C2015" s="51" t="s">
        <v>71</v>
      </c>
      <c r="D2015" s="51" t="s">
        <v>2167</v>
      </c>
      <c r="E2015" s="51" t="s">
        <v>2166</v>
      </c>
      <c r="F2015" s="52">
        <v>7169.0685999999996</v>
      </c>
      <c r="G2015" s="52">
        <v>1110</v>
      </c>
      <c r="H2015" s="52">
        <v>0</v>
      </c>
      <c r="I2015" s="52">
        <v>1110</v>
      </c>
      <c r="J2015" s="51">
        <v>1</v>
      </c>
      <c r="K2015" s="54">
        <v>5000</v>
      </c>
      <c r="L2015" s="51">
        <v>0</v>
      </c>
      <c r="M2015" s="54">
        <v>0</v>
      </c>
      <c r="N2015" s="53">
        <f t="shared" si="62"/>
        <v>5000</v>
      </c>
      <c r="O2015" s="53">
        <f t="shared" si="63"/>
        <v>-5000</v>
      </c>
    </row>
    <row r="2016" spans="1:15" x14ac:dyDescent="0.2">
      <c r="A2016" s="51" t="s">
        <v>3567</v>
      </c>
      <c r="B2016" s="51" t="s">
        <v>3568</v>
      </c>
      <c r="C2016" s="51" t="s">
        <v>78</v>
      </c>
      <c r="D2016" s="51" t="s">
        <v>2684</v>
      </c>
      <c r="E2016" s="51" t="s">
        <v>2683</v>
      </c>
      <c r="F2016" s="52">
        <v>1593.9302</v>
      </c>
      <c r="G2016" s="52">
        <v>3500</v>
      </c>
      <c r="H2016" s="52">
        <v>18300</v>
      </c>
      <c r="I2016" s="52">
        <v>21800</v>
      </c>
      <c r="J2016" s="51">
        <v>0</v>
      </c>
      <c r="K2016" s="54">
        <v>0</v>
      </c>
      <c r="L2016" s="51">
        <v>1</v>
      </c>
      <c r="M2016" s="54">
        <v>30000</v>
      </c>
      <c r="N2016" s="53">
        <f t="shared" si="62"/>
        <v>-30000</v>
      </c>
      <c r="O2016" s="53">
        <f t="shared" si="63"/>
        <v>30000</v>
      </c>
    </row>
    <row r="2017" spans="1:15" x14ac:dyDescent="0.2">
      <c r="A2017" s="51" t="s">
        <v>3567</v>
      </c>
      <c r="B2017" s="51" t="s">
        <v>3568</v>
      </c>
      <c r="C2017" s="51" t="s">
        <v>3864</v>
      </c>
      <c r="D2017" s="51" t="s">
        <v>4678</v>
      </c>
      <c r="E2017" s="51" t="s">
        <v>4310</v>
      </c>
      <c r="F2017" s="52">
        <v>12.1869732868225</v>
      </c>
      <c r="G2017" s="52">
        <v>0</v>
      </c>
      <c r="H2017" s="52">
        <v>0</v>
      </c>
      <c r="I2017" s="52">
        <v>0</v>
      </c>
      <c r="J2017" s="51">
        <v>0</v>
      </c>
      <c r="K2017" s="54">
        <v>0</v>
      </c>
      <c r="L2017" s="51">
        <v>0</v>
      </c>
      <c r="M2017" s="54">
        <v>0</v>
      </c>
      <c r="N2017" s="53">
        <f t="shared" si="62"/>
        <v>0</v>
      </c>
      <c r="O2017" s="53">
        <f t="shared" si="63"/>
        <v>0</v>
      </c>
    </row>
    <row r="2018" spans="1:15" x14ac:dyDescent="0.2">
      <c r="A2018" s="51" t="s">
        <v>3567</v>
      </c>
      <c r="B2018" s="51" t="s">
        <v>3568</v>
      </c>
      <c r="C2018" s="51" t="s">
        <v>92</v>
      </c>
      <c r="D2018" s="51" t="s">
        <v>3515</v>
      </c>
      <c r="E2018" s="51" t="s">
        <v>3514</v>
      </c>
      <c r="F2018" s="52">
        <v>2356.4292</v>
      </c>
      <c r="G2018" s="52">
        <v>40600</v>
      </c>
      <c r="H2018" s="52">
        <v>41150</v>
      </c>
      <c r="I2018" s="52">
        <v>81750</v>
      </c>
      <c r="J2018" s="51">
        <v>0</v>
      </c>
      <c r="K2018" s="54">
        <v>0</v>
      </c>
      <c r="L2018" s="51">
        <v>0</v>
      </c>
      <c r="M2018" s="54">
        <v>0</v>
      </c>
      <c r="N2018" s="53">
        <f t="shared" si="62"/>
        <v>0</v>
      </c>
      <c r="O2018" s="53">
        <f t="shared" si="63"/>
        <v>0</v>
      </c>
    </row>
    <row r="2019" spans="1:15" x14ac:dyDescent="0.2">
      <c r="A2019" s="51" t="s">
        <v>3567</v>
      </c>
      <c r="B2019" s="51" t="s">
        <v>3568</v>
      </c>
      <c r="C2019" s="51" t="s">
        <v>60</v>
      </c>
      <c r="D2019" s="51" t="s">
        <v>3465</v>
      </c>
      <c r="E2019" s="51" t="s">
        <v>3464</v>
      </c>
      <c r="F2019" s="52">
        <v>5635.6476000000002</v>
      </c>
      <c r="G2019" s="52">
        <v>6220</v>
      </c>
      <c r="H2019" s="52">
        <v>1700</v>
      </c>
      <c r="I2019" s="52">
        <v>7920</v>
      </c>
      <c r="J2019" s="51">
        <v>1</v>
      </c>
      <c r="K2019" s="54">
        <v>10000</v>
      </c>
      <c r="L2019" s="51">
        <v>0</v>
      </c>
      <c r="M2019" s="54">
        <v>0</v>
      </c>
      <c r="N2019" s="53">
        <f t="shared" si="62"/>
        <v>10000</v>
      </c>
      <c r="O2019" s="53">
        <f t="shared" si="63"/>
        <v>-10000</v>
      </c>
    </row>
    <row r="2020" spans="1:15" x14ac:dyDescent="0.2">
      <c r="A2020" s="51" t="s">
        <v>3567</v>
      </c>
      <c r="B2020" s="51" t="s">
        <v>3568</v>
      </c>
      <c r="C2020" s="51" t="s">
        <v>65</v>
      </c>
      <c r="D2020" s="51" t="s">
        <v>112</v>
      </c>
      <c r="E2020" s="51" t="s">
        <v>111</v>
      </c>
      <c r="F2020" s="52">
        <v>10474.109200000001</v>
      </c>
      <c r="G2020" s="52">
        <v>7838</v>
      </c>
      <c r="H2020" s="52">
        <v>1000</v>
      </c>
      <c r="I2020" s="52">
        <v>8838</v>
      </c>
      <c r="J2020" s="51">
        <v>1</v>
      </c>
      <c r="K2020" s="54">
        <v>10000</v>
      </c>
      <c r="L2020" s="51">
        <v>0</v>
      </c>
      <c r="M2020" s="54">
        <v>0</v>
      </c>
      <c r="N2020" s="53">
        <f t="shared" si="62"/>
        <v>10000</v>
      </c>
      <c r="O2020" s="53">
        <f t="shared" si="63"/>
        <v>-10000</v>
      </c>
    </row>
    <row r="2021" spans="1:15" x14ac:dyDescent="0.2">
      <c r="A2021" s="51" t="s">
        <v>3567</v>
      </c>
      <c r="B2021" s="51" t="s">
        <v>3568</v>
      </c>
      <c r="C2021" s="51" t="s">
        <v>67</v>
      </c>
      <c r="D2021" s="51" t="s">
        <v>2799</v>
      </c>
      <c r="E2021" s="51" t="s">
        <v>2798</v>
      </c>
      <c r="F2021" s="52">
        <v>43.496299999999998</v>
      </c>
      <c r="G2021" s="52">
        <v>1035</v>
      </c>
      <c r="H2021" s="52">
        <v>0</v>
      </c>
      <c r="I2021" s="52">
        <v>1035</v>
      </c>
      <c r="J2021" s="51">
        <v>0</v>
      </c>
      <c r="K2021" s="54">
        <v>0</v>
      </c>
      <c r="L2021" s="51">
        <v>1</v>
      </c>
      <c r="M2021" s="54">
        <v>5000</v>
      </c>
      <c r="N2021" s="53">
        <f t="shared" si="62"/>
        <v>-5000</v>
      </c>
      <c r="O2021" s="53">
        <f t="shared" si="63"/>
        <v>5000</v>
      </c>
    </row>
    <row r="2022" spans="1:15" x14ac:dyDescent="0.2">
      <c r="A2022" s="51" t="s">
        <v>3567</v>
      </c>
      <c r="B2022" s="51" t="s">
        <v>3568</v>
      </c>
      <c r="C2022" s="51" t="s">
        <v>69</v>
      </c>
      <c r="D2022" s="51" t="s">
        <v>2376</v>
      </c>
      <c r="E2022" s="51" t="s">
        <v>2375</v>
      </c>
      <c r="F2022" s="52">
        <v>14334.54709478607</v>
      </c>
      <c r="G2022" s="52">
        <v>4520</v>
      </c>
      <c r="H2022" s="52">
        <v>33470</v>
      </c>
      <c r="I2022" s="52">
        <v>37990</v>
      </c>
      <c r="J2022" s="51">
        <v>0</v>
      </c>
      <c r="K2022" s="54">
        <v>0</v>
      </c>
      <c r="L2022" s="51">
        <v>2</v>
      </c>
      <c r="M2022" s="54">
        <v>45000</v>
      </c>
      <c r="N2022" s="53">
        <f t="shared" si="62"/>
        <v>-45000</v>
      </c>
      <c r="O2022" s="53">
        <f t="shared" si="63"/>
        <v>45000</v>
      </c>
    </row>
    <row r="2023" spans="1:15" x14ac:dyDescent="0.2">
      <c r="A2023" s="51" t="s">
        <v>3567</v>
      </c>
      <c r="B2023" s="51" t="s">
        <v>3568</v>
      </c>
      <c r="C2023" s="51" t="s">
        <v>86</v>
      </c>
      <c r="D2023" s="51" t="s">
        <v>3356</v>
      </c>
      <c r="E2023" s="51" t="s">
        <v>3355</v>
      </c>
      <c r="F2023" s="52">
        <v>7546.5649999999996</v>
      </c>
      <c r="G2023" s="52">
        <v>600</v>
      </c>
      <c r="H2023" s="52">
        <v>2990</v>
      </c>
      <c r="I2023" s="52">
        <v>3590</v>
      </c>
      <c r="J2023" s="51">
        <v>1</v>
      </c>
      <c r="K2023" s="54">
        <v>5000</v>
      </c>
      <c r="L2023" s="51">
        <v>0</v>
      </c>
      <c r="M2023" s="54">
        <v>0</v>
      </c>
      <c r="N2023" s="53">
        <f t="shared" si="62"/>
        <v>5000</v>
      </c>
      <c r="O2023" s="53">
        <f t="shared" si="63"/>
        <v>-5000</v>
      </c>
    </row>
    <row r="2024" spans="1:15" x14ac:dyDescent="0.2">
      <c r="A2024" s="51" t="s">
        <v>3567</v>
      </c>
      <c r="B2024" s="51" t="s">
        <v>3568</v>
      </c>
      <c r="C2024" s="51" t="s">
        <v>61</v>
      </c>
      <c r="D2024" s="51" t="s">
        <v>2431</v>
      </c>
      <c r="E2024" s="51" t="s">
        <v>2430</v>
      </c>
      <c r="F2024" s="52">
        <v>20314.4050173912</v>
      </c>
      <c r="G2024" s="52">
        <v>15390</v>
      </c>
      <c r="H2024" s="52">
        <v>5920</v>
      </c>
      <c r="I2024" s="52">
        <v>21310</v>
      </c>
      <c r="J2024" s="51">
        <v>2</v>
      </c>
      <c r="K2024" s="54">
        <v>13000</v>
      </c>
      <c r="L2024" s="51">
        <v>0</v>
      </c>
      <c r="M2024" s="54">
        <v>0</v>
      </c>
      <c r="N2024" s="53">
        <f t="shared" si="62"/>
        <v>13000</v>
      </c>
      <c r="O2024" s="53">
        <f t="shared" si="63"/>
        <v>-13000</v>
      </c>
    </row>
    <row r="2025" spans="1:15" x14ac:dyDescent="0.2">
      <c r="A2025" s="51" t="s">
        <v>3567</v>
      </c>
      <c r="B2025" s="51" t="s">
        <v>3568</v>
      </c>
      <c r="C2025" s="51" t="s">
        <v>56</v>
      </c>
      <c r="D2025" s="51" t="s">
        <v>2052</v>
      </c>
      <c r="E2025" s="51" t="s">
        <v>2051</v>
      </c>
      <c r="F2025" s="52">
        <v>30941.834299999999</v>
      </c>
      <c r="G2025" s="52">
        <v>5520</v>
      </c>
      <c r="H2025" s="52">
        <v>11260</v>
      </c>
      <c r="I2025" s="52">
        <v>16780</v>
      </c>
      <c r="J2025" s="51">
        <v>1</v>
      </c>
      <c r="K2025" s="54">
        <v>5000</v>
      </c>
      <c r="L2025" s="51">
        <v>0</v>
      </c>
      <c r="M2025" s="54">
        <v>0</v>
      </c>
      <c r="N2025" s="53">
        <f t="shared" si="62"/>
        <v>5000</v>
      </c>
      <c r="O2025" s="53">
        <f t="shared" si="63"/>
        <v>-5000</v>
      </c>
    </row>
    <row r="2026" spans="1:15" x14ac:dyDescent="0.2">
      <c r="A2026" s="51" t="s">
        <v>3567</v>
      </c>
      <c r="B2026" s="51" t="s">
        <v>3568</v>
      </c>
      <c r="C2026" s="51" t="s">
        <v>60</v>
      </c>
      <c r="D2026" s="51" t="s">
        <v>2645</v>
      </c>
      <c r="E2026" s="51" t="s">
        <v>2644</v>
      </c>
      <c r="F2026" s="52">
        <v>63757.451300000001</v>
      </c>
      <c r="G2026" s="52">
        <v>21610</v>
      </c>
      <c r="H2026" s="52">
        <v>9670</v>
      </c>
      <c r="I2026" s="52">
        <v>31280</v>
      </c>
      <c r="J2026" s="51">
        <v>2</v>
      </c>
      <c r="K2026" s="54">
        <v>40000</v>
      </c>
      <c r="L2026" s="51">
        <v>0</v>
      </c>
      <c r="M2026" s="54">
        <v>0</v>
      </c>
      <c r="N2026" s="53">
        <f t="shared" si="62"/>
        <v>40000</v>
      </c>
      <c r="O2026" s="53">
        <f t="shared" si="63"/>
        <v>-40000</v>
      </c>
    </row>
    <row r="2027" spans="1:15" x14ac:dyDescent="0.2">
      <c r="A2027" s="51" t="s">
        <v>3567</v>
      </c>
      <c r="B2027" s="51" t="s">
        <v>3568</v>
      </c>
      <c r="C2027" s="51" t="s">
        <v>75</v>
      </c>
      <c r="D2027" s="51" t="s">
        <v>1426</v>
      </c>
      <c r="E2027" s="51" t="s">
        <v>1425</v>
      </c>
      <c r="F2027" s="52">
        <v>33081.892887327158</v>
      </c>
      <c r="G2027" s="52">
        <v>9300</v>
      </c>
      <c r="H2027" s="52">
        <v>32430</v>
      </c>
      <c r="I2027" s="52">
        <v>41730</v>
      </c>
      <c r="J2027" s="51">
        <v>0</v>
      </c>
      <c r="K2027" s="54">
        <v>0</v>
      </c>
      <c r="L2027" s="51">
        <v>1</v>
      </c>
      <c r="M2027" s="54">
        <v>10000</v>
      </c>
      <c r="N2027" s="53">
        <f t="shared" si="62"/>
        <v>-10000</v>
      </c>
      <c r="O2027" s="53">
        <f t="shared" si="63"/>
        <v>10000</v>
      </c>
    </row>
    <row r="2028" spans="1:15" x14ac:dyDescent="0.2">
      <c r="A2028" s="51" t="s">
        <v>3567</v>
      </c>
      <c r="B2028" s="51" t="s">
        <v>3568</v>
      </c>
      <c r="C2028" s="51" t="s">
        <v>78</v>
      </c>
      <c r="D2028" s="51" t="s">
        <v>966</v>
      </c>
      <c r="E2028" s="51" t="s">
        <v>965</v>
      </c>
      <c r="F2028" s="52">
        <v>17610.9041</v>
      </c>
      <c r="G2028" s="52">
        <v>1020</v>
      </c>
      <c r="H2028" s="52">
        <v>3000</v>
      </c>
      <c r="I2028" s="52">
        <v>4020</v>
      </c>
      <c r="J2028" s="51">
        <v>0</v>
      </c>
      <c r="K2028" s="54">
        <v>0</v>
      </c>
      <c r="L2028" s="51">
        <v>1</v>
      </c>
      <c r="M2028" s="54">
        <v>30000</v>
      </c>
      <c r="N2028" s="53">
        <f t="shared" si="62"/>
        <v>-30000</v>
      </c>
      <c r="O2028" s="53">
        <f t="shared" si="63"/>
        <v>30000</v>
      </c>
    </row>
    <row r="2029" spans="1:15" x14ac:dyDescent="0.2">
      <c r="A2029" s="51" t="s">
        <v>3567</v>
      </c>
      <c r="B2029" s="51" t="s">
        <v>3568</v>
      </c>
      <c r="C2029" s="51" t="s">
        <v>67</v>
      </c>
      <c r="D2029" s="51" t="s">
        <v>2944</v>
      </c>
      <c r="E2029" s="51" t="s">
        <v>2943</v>
      </c>
      <c r="F2029" s="52">
        <v>4267.2937070971866</v>
      </c>
      <c r="G2029" s="52">
        <v>520</v>
      </c>
      <c r="H2029" s="52">
        <v>7570</v>
      </c>
      <c r="I2029" s="52">
        <v>8090</v>
      </c>
      <c r="J2029" s="51">
        <v>0</v>
      </c>
      <c r="K2029" s="54">
        <v>0</v>
      </c>
      <c r="L2029" s="51">
        <v>2</v>
      </c>
      <c r="M2029" s="54">
        <v>12000</v>
      </c>
      <c r="N2029" s="53">
        <f t="shared" si="62"/>
        <v>-12000</v>
      </c>
      <c r="O2029" s="53">
        <f t="shared" si="63"/>
        <v>12000</v>
      </c>
    </row>
    <row r="2030" spans="1:15" x14ac:dyDescent="0.2">
      <c r="A2030" s="51" t="s">
        <v>3567</v>
      </c>
      <c r="B2030" s="51" t="s">
        <v>3568</v>
      </c>
      <c r="C2030" s="51" t="s">
        <v>59</v>
      </c>
      <c r="D2030" s="51" t="s">
        <v>4610</v>
      </c>
      <c r="E2030" s="51" t="s">
        <v>4611</v>
      </c>
      <c r="F2030" s="52">
        <v>1.3561000000000001</v>
      </c>
      <c r="G2030" s="52">
        <v>0</v>
      </c>
      <c r="H2030" s="52">
        <v>0</v>
      </c>
      <c r="I2030" s="52">
        <v>0</v>
      </c>
      <c r="J2030" s="51">
        <v>0</v>
      </c>
      <c r="K2030" s="54">
        <v>0</v>
      </c>
      <c r="L2030" s="51">
        <v>0</v>
      </c>
      <c r="M2030" s="54">
        <v>0</v>
      </c>
      <c r="N2030" s="53">
        <f t="shared" si="62"/>
        <v>0</v>
      </c>
      <c r="O2030" s="53">
        <f t="shared" si="63"/>
        <v>0</v>
      </c>
    </row>
    <row r="2031" spans="1:15" x14ac:dyDescent="0.2">
      <c r="A2031" s="51" t="s">
        <v>3567</v>
      </c>
      <c r="B2031" s="51" t="s">
        <v>3568</v>
      </c>
      <c r="C2031" s="51" t="s">
        <v>52</v>
      </c>
      <c r="D2031" s="51" t="s">
        <v>3124</v>
      </c>
      <c r="E2031" s="51" t="s">
        <v>3097</v>
      </c>
      <c r="F2031" s="52">
        <v>0.76521527355525931</v>
      </c>
      <c r="G2031" s="52">
        <v>3486</v>
      </c>
      <c r="H2031" s="52">
        <v>2503.5500000000002</v>
      </c>
      <c r="I2031" s="52">
        <v>5989.55</v>
      </c>
      <c r="J2031" s="51">
        <v>0</v>
      </c>
      <c r="K2031" s="54">
        <v>0</v>
      </c>
      <c r="L2031" s="51">
        <v>0</v>
      </c>
      <c r="M2031" s="54">
        <v>0</v>
      </c>
      <c r="N2031" s="53">
        <f t="shared" si="62"/>
        <v>0</v>
      </c>
      <c r="O2031" s="53">
        <f t="shared" si="63"/>
        <v>0</v>
      </c>
    </row>
    <row r="2032" spans="1:15" x14ac:dyDescent="0.2">
      <c r="A2032" s="51" t="s">
        <v>3567</v>
      </c>
      <c r="B2032" s="51" t="s">
        <v>3568</v>
      </c>
      <c r="C2032" s="51" t="s">
        <v>69</v>
      </c>
      <c r="D2032" s="51" t="s">
        <v>182</v>
      </c>
      <c r="E2032" s="51" t="s">
        <v>181</v>
      </c>
      <c r="F2032" s="52">
        <v>6493.2379000000001</v>
      </c>
      <c r="G2032" s="52">
        <v>0</v>
      </c>
      <c r="H2032" s="52">
        <v>3670</v>
      </c>
      <c r="I2032" s="52">
        <v>3670</v>
      </c>
      <c r="J2032" s="51">
        <v>0</v>
      </c>
      <c r="K2032" s="54">
        <v>0</v>
      </c>
      <c r="L2032" s="51">
        <v>1</v>
      </c>
      <c r="M2032" s="54">
        <v>7000</v>
      </c>
      <c r="N2032" s="53">
        <f t="shared" si="62"/>
        <v>-7000</v>
      </c>
      <c r="O2032" s="53">
        <f t="shared" si="63"/>
        <v>7000</v>
      </c>
    </row>
    <row r="2033" spans="1:15" x14ac:dyDescent="0.2">
      <c r="A2033" s="51" t="s">
        <v>3567</v>
      </c>
      <c r="B2033" s="51" t="s">
        <v>3568</v>
      </c>
      <c r="C2033" s="51" t="s">
        <v>76</v>
      </c>
      <c r="D2033" s="51" t="s">
        <v>1693</v>
      </c>
      <c r="E2033" s="51" t="s">
        <v>1692</v>
      </c>
      <c r="F2033" s="52">
        <v>3.6960500000000001</v>
      </c>
      <c r="G2033" s="52">
        <v>0</v>
      </c>
      <c r="H2033" s="52">
        <v>0</v>
      </c>
      <c r="I2033" s="52">
        <v>0</v>
      </c>
      <c r="J2033" s="51">
        <v>0</v>
      </c>
      <c r="K2033" s="54">
        <v>0</v>
      </c>
      <c r="L2033" s="51">
        <v>0</v>
      </c>
      <c r="M2033" s="54">
        <v>0</v>
      </c>
      <c r="N2033" s="53">
        <f t="shared" si="62"/>
        <v>0</v>
      </c>
      <c r="O2033" s="53">
        <f t="shared" si="63"/>
        <v>0</v>
      </c>
    </row>
    <row r="2034" spans="1:15" x14ac:dyDescent="0.2">
      <c r="A2034" s="51" t="s">
        <v>3567</v>
      </c>
      <c r="B2034" s="51" t="s">
        <v>3568</v>
      </c>
      <c r="C2034" s="51" t="s">
        <v>58</v>
      </c>
      <c r="D2034" s="51" t="s">
        <v>3329</v>
      </c>
      <c r="E2034" s="51" t="s">
        <v>3328</v>
      </c>
      <c r="F2034" s="52">
        <v>56.948599999999999</v>
      </c>
      <c r="G2034" s="52">
        <v>0</v>
      </c>
      <c r="H2034" s="52">
        <v>0</v>
      </c>
      <c r="I2034" s="52">
        <v>0</v>
      </c>
      <c r="J2034" s="51">
        <v>0</v>
      </c>
      <c r="K2034" s="54">
        <v>0</v>
      </c>
      <c r="L2034" s="51">
        <v>0</v>
      </c>
      <c r="M2034" s="54">
        <v>0</v>
      </c>
      <c r="N2034" s="53">
        <f t="shared" si="62"/>
        <v>0</v>
      </c>
      <c r="O2034" s="53">
        <f t="shared" si="63"/>
        <v>0</v>
      </c>
    </row>
    <row r="2035" spans="1:15" x14ac:dyDescent="0.2">
      <c r="A2035" s="51" t="s">
        <v>3567</v>
      </c>
      <c r="B2035" s="51" t="s">
        <v>3568</v>
      </c>
      <c r="C2035" s="51" t="s">
        <v>3571</v>
      </c>
      <c r="D2035" s="51" t="s">
        <v>4644</v>
      </c>
      <c r="E2035" s="51" t="s">
        <v>4645</v>
      </c>
      <c r="F2035" s="52">
        <v>1.1866509999999999</v>
      </c>
      <c r="G2035" s="52">
        <v>0</v>
      </c>
      <c r="H2035" s="52">
        <v>0</v>
      </c>
      <c r="I2035" s="52">
        <v>0</v>
      </c>
      <c r="J2035" s="51">
        <v>0</v>
      </c>
      <c r="K2035" s="54">
        <v>0</v>
      </c>
      <c r="L2035" s="51">
        <v>0</v>
      </c>
      <c r="M2035" s="54">
        <v>0</v>
      </c>
      <c r="N2035" s="53">
        <f t="shared" si="62"/>
        <v>0</v>
      </c>
      <c r="O2035" s="53">
        <f t="shared" si="63"/>
        <v>0</v>
      </c>
    </row>
    <row r="2036" spans="1:15" x14ac:dyDescent="0.2">
      <c r="A2036" s="51" t="s">
        <v>3567</v>
      </c>
      <c r="B2036" s="51" t="s">
        <v>3568</v>
      </c>
      <c r="C2036" s="51" t="s">
        <v>4149</v>
      </c>
      <c r="D2036" s="51" t="s">
        <v>4640</v>
      </c>
      <c r="E2036" s="51" t="s">
        <v>4641</v>
      </c>
      <c r="F2036" s="52">
        <v>8.2394999999999996</v>
      </c>
      <c r="G2036" s="52">
        <v>0</v>
      </c>
      <c r="H2036" s="52">
        <v>0</v>
      </c>
      <c r="I2036" s="52">
        <v>0</v>
      </c>
      <c r="J2036" s="51">
        <v>0</v>
      </c>
      <c r="K2036" s="54">
        <v>0</v>
      </c>
      <c r="L2036" s="51">
        <v>0</v>
      </c>
      <c r="M2036" s="54">
        <v>0</v>
      </c>
      <c r="N2036" s="53">
        <f t="shared" si="62"/>
        <v>0</v>
      </c>
      <c r="O2036" s="53">
        <f t="shared" si="63"/>
        <v>0</v>
      </c>
    </row>
    <row r="2037" spans="1:15" x14ac:dyDescent="0.2">
      <c r="A2037" s="51" t="s">
        <v>3567</v>
      </c>
      <c r="B2037" s="51" t="s">
        <v>3568</v>
      </c>
      <c r="C2037" s="51" t="s">
        <v>81</v>
      </c>
      <c r="D2037" s="51" t="s">
        <v>3333</v>
      </c>
      <c r="E2037" s="51" t="s">
        <v>3332</v>
      </c>
      <c r="F2037" s="52">
        <v>1253.229411578217</v>
      </c>
      <c r="G2037" s="52">
        <v>3060</v>
      </c>
      <c r="H2037" s="52">
        <v>6700</v>
      </c>
      <c r="I2037" s="52">
        <v>9760</v>
      </c>
      <c r="J2037" s="51">
        <v>0</v>
      </c>
      <c r="K2037" s="54">
        <v>0</v>
      </c>
      <c r="L2037" s="51">
        <v>1</v>
      </c>
      <c r="M2037" s="54">
        <v>130000</v>
      </c>
      <c r="N2037" s="53">
        <f t="shared" si="62"/>
        <v>-130000</v>
      </c>
      <c r="O2037" s="53">
        <f t="shared" si="63"/>
        <v>130000</v>
      </c>
    </row>
    <row r="2038" spans="1:15" x14ac:dyDescent="0.2">
      <c r="A2038" s="51" t="s">
        <v>3567</v>
      </c>
      <c r="B2038" s="51" t="s">
        <v>3568</v>
      </c>
      <c r="C2038" s="51" t="s">
        <v>74</v>
      </c>
      <c r="D2038" s="51" t="s">
        <v>861</v>
      </c>
      <c r="E2038" s="51" t="s">
        <v>860</v>
      </c>
      <c r="F2038" s="52">
        <v>4526.7488012696067</v>
      </c>
      <c r="G2038" s="52">
        <v>2520</v>
      </c>
      <c r="H2038" s="52">
        <v>2700</v>
      </c>
      <c r="I2038" s="52">
        <v>5220</v>
      </c>
      <c r="J2038" s="51">
        <v>1</v>
      </c>
      <c r="K2038" s="54">
        <v>5000</v>
      </c>
      <c r="L2038" s="51">
        <v>0</v>
      </c>
      <c r="M2038" s="54">
        <v>0</v>
      </c>
      <c r="N2038" s="53">
        <f t="shared" si="62"/>
        <v>5000</v>
      </c>
      <c r="O2038" s="53">
        <f t="shared" si="63"/>
        <v>-5000</v>
      </c>
    </row>
    <row r="2039" spans="1:15" x14ac:dyDescent="0.2">
      <c r="A2039" s="51" t="s">
        <v>3567</v>
      </c>
      <c r="B2039" s="51" t="s">
        <v>3568</v>
      </c>
      <c r="C2039" s="51" t="s">
        <v>86</v>
      </c>
      <c r="D2039" s="51" t="s">
        <v>3279</v>
      </c>
      <c r="E2039" s="51" t="s">
        <v>3278</v>
      </c>
      <c r="F2039" s="52">
        <v>2.128857</v>
      </c>
      <c r="G2039" s="52">
        <v>0</v>
      </c>
      <c r="H2039" s="52">
        <v>0</v>
      </c>
      <c r="I2039" s="52">
        <v>0</v>
      </c>
      <c r="J2039" s="51">
        <v>0</v>
      </c>
      <c r="K2039" s="54">
        <v>0</v>
      </c>
      <c r="L2039" s="51">
        <v>0</v>
      </c>
      <c r="M2039" s="54">
        <v>0</v>
      </c>
      <c r="N2039" s="53">
        <f t="shared" si="62"/>
        <v>0</v>
      </c>
      <c r="O2039" s="53">
        <f t="shared" si="63"/>
        <v>0</v>
      </c>
    </row>
    <row r="2040" spans="1:15" x14ac:dyDescent="0.2">
      <c r="A2040" s="51" t="s">
        <v>3567</v>
      </c>
      <c r="B2040" s="51" t="s">
        <v>3568</v>
      </c>
      <c r="C2040" s="51" t="s">
        <v>59</v>
      </c>
      <c r="D2040" s="51" t="s">
        <v>4652</v>
      </c>
      <c r="E2040" s="51" t="s">
        <v>4653</v>
      </c>
      <c r="F2040" s="52">
        <v>1.1033514020886761</v>
      </c>
      <c r="G2040" s="52">
        <v>0</v>
      </c>
      <c r="H2040" s="52">
        <v>0</v>
      </c>
      <c r="I2040" s="52">
        <v>0</v>
      </c>
      <c r="J2040" s="51">
        <v>0</v>
      </c>
      <c r="K2040" s="54">
        <v>0</v>
      </c>
      <c r="L2040" s="51">
        <v>0</v>
      </c>
      <c r="M2040" s="54">
        <v>0</v>
      </c>
      <c r="N2040" s="53">
        <f t="shared" si="62"/>
        <v>0</v>
      </c>
      <c r="O2040" s="53">
        <f t="shared" si="63"/>
        <v>0</v>
      </c>
    </row>
    <row r="2041" spans="1:15" x14ac:dyDescent="0.2">
      <c r="A2041" s="51" t="s">
        <v>3567</v>
      </c>
      <c r="B2041" s="51" t="s">
        <v>3568</v>
      </c>
      <c r="C2041" s="51" t="s">
        <v>62</v>
      </c>
      <c r="D2041" s="51" t="s">
        <v>2996</v>
      </c>
      <c r="E2041" s="51" t="s">
        <v>2995</v>
      </c>
      <c r="F2041" s="52">
        <v>20030.830660869498</v>
      </c>
      <c r="G2041" s="52">
        <v>0</v>
      </c>
      <c r="H2041" s="52">
        <v>34942</v>
      </c>
      <c r="I2041" s="52">
        <v>34942</v>
      </c>
      <c r="J2041" s="51">
        <v>0</v>
      </c>
      <c r="K2041" s="54">
        <v>0</v>
      </c>
      <c r="L2041" s="51">
        <v>3</v>
      </c>
      <c r="M2041" s="54">
        <v>25000</v>
      </c>
      <c r="N2041" s="53">
        <f t="shared" si="62"/>
        <v>-25000</v>
      </c>
      <c r="O2041" s="53">
        <f t="shared" si="63"/>
        <v>25000</v>
      </c>
    </row>
    <row r="2042" spans="1:15" x14ac:dyDescent="0.2">
      <c r="A2042" s="51" t="s">
        <v>3567</v>
      </c>
      <c r="B2042" s="51" t="s">
        <v>3568</v>
      </c>
      <c r="C2042" s="51" t="s">
        <v>66</v>
      </c>
      <c r="D2042" s="51" t="s">
        <v>743</v>
      </c>
      <c r="E2042" s="51" t="s">
        <v>742</v>
      </c>
      <c r="F2042" s="52">
        <v>223.1703</v>
      </c>
      <c r="G2042" s="52">
        <v>0</v>
      </c>
      <c r="H2042" s="52">
        <v>0</v>
      </c>
      <c r="I2042" s="52">
        <v>0</v>
      </c>
      <c r="J2042" s="51">
        <v>0</v>
      </c>
      <c r="K2042" s="54">
        <v>0</v>
      </c>
      <c r="L2042" s="51">
        <v>0</v>
      </c>
      <c r="M2042" s="54">
        <v>0</v>
      </c>
      <c r="N2042" s="53">
        <f t="shared" si="62"/>
        <v>0</v>
      </c>
      <c r="O2042" s="53">
        <f t="shared" si="63"/>
        <v>0</v>
      </c>
    </row>
    <row r="2043" spans="1:15" x14ac:dyDescent="0.2">
      <c r="A2043" s="51" t="s">
        <v>3567</v>
      </c>
      <c r="B2043" s="51" t="s">
        <v>3568</v>
      </c>
      <c r="C2043" s="51" t="s">
        <v>58</v>
      </c>
      <c r="D2043" s="51" t="s">
        <v>1393</v>
      </c>
      <c r="E2043" s="51" t="s">
        <v>1392</v>
      </c>
      <c r="F2043" s="52">
        <v>11838.7693</v>
      </c>
      <c r="G2043" s="52">
        <v>5600</v>
      </c>
      <c r="H2043" s="52">
        <v>990</v>
      </c>
      <c r="I2043" s="52">
        <v>6590</v>
      </c>
      <c r="J2043" s="51">
        <v>1</v>
      </c>
      <c r="K2043" s="54">
        <v>5000</v>
      </c>
      <c r="L2043" s="51">
        <v>0</v>
      </c>
      <c r="M2043" s="54">
        <v>0</v>
      </c>
      <c r="N2043" s="53">
        <f t="shared" si="62"/>
        <v>5000</v>
      </c>
      <c r="O2043" s="53">
        <f t="shared" si="63"/>
        <v>-5000</v>
      </c>
    </row>
    <row r="2044" spans="1:15" x14ac:dyDescent="0.2">
      <c r="A2044" s="51" t="s">
        <v>3567</v>
      </c>
      <c r="B2044" s="51" t="s">
        <v>3568</v>
      </c>
      <c r="C2044" s="51" t="s">
        <v>68</v>
      </c>
      <c r="D2044" s="51" t="s">
        <v>1366</v>
      </c>
      <c r="E2044" s="51" t="s">
        <v>1365</v>
      </c>
      <c r="F2044" s="52">
        <v>30.767700000000001</v>
      </c>
      <c r="G2044" s="52">
        <v>0</v>
      </c>
      <c r="H2044" s="52">
        <v>0</v>
      </c>
      <c r="I2044" s="52">
        <v>0</v>
      </c>
      <c r="J2044" s="51">
        <v>0</v>
      </c>
      <c r="K2044" s="54">
        <v>0</v>
      </c>
      <c r="L2044" s="51">
        <v>0</v>
      </c>
      <c r="M2044" s="54">
        <v>0</v>
      </c>
      <c r="N2044" s="53">
        <f t="shared" si="62"/>
        <v>0</v>
      </c>
      <c r="O2044" s="53">
        <f t="shared" si="63"/>
        <v>0</v>
      </c>
    </row>
    <row r="2045" spans="1:15" x14ac:dyDescent="0.2">
      <c r="A2045" s="51" t="s">
        <v>3567</v>
      </c>
      <c r="B2045" s="51" t="s">
        <v>3568</v>
      </c>
      <c r="C2045" s="51" t="s">
        <v>87</v>
      </c>
      <c r="D2045" s="51" t="s">
        <v>3021</v>
      </c>
      <c r="E2045" s="51" t="s">
        <v>3020</v>
      </c>
      <c r="F2045" s="52">
        <v>10091.33232515393</v>
      </c>
      <c r="G2045" s="52">
        <v>2000</v>
      </c>
      <c r="H2045" s="52">
        <v>5450</v>
      </c>
      <c r="I2045" s="52">
        <v>7450</v>
      </c>
      <c r="J2045" s="51">
        <v>2</v>
      </c>
      <c r="K2045" s="54">
        <v>6000</v>
      </c>
      <c r="L2045" s="51">
        <v>0</v>
      </c>
      <c r="M2045" s="54">
        <v>0</v>
      </c>
      <c r="N2045" s="53">
        <f t="shared" si="62"/>
        <v>6000</v>
      </c>
      <c r="O2045" s="53">
        <f t="shared" si="63"/>
        <v>-6000</v>
      </c>
    </row>
    <row r="2046" spans="1:15" x14ac:dyDescent="0.2">
      <c r="A2046" s="51" t="s">
        <v>3567</v>
      </c>
      <c r="B2046" s="51" t="s">
        <v>3568</v>
      </c>
      <c r="C2046" s="51" t="s">
        <v>73</v>
      </c>
      <c r="D2046" s="51" t="s">
        <v>4627</v>
      </c>
      <c r="E2046" s="51" t="s">
        <v>4628</v>
      </c>
      <c r="F2046" s="52">
        <v>3.6164999999999998</v>
      </c>
      <c r="G2046" s="52">
        <v>0</v>
      </c>
      <c r="H2046" s="52">
        <v>0</v>
      </c>
      <c r="I2046" s="52">
        <v>0</v>
      </c>
      <c r="J2046" s="51">
        <v>0</v>
      </c>
      <c r="K2046" s="54">
        <v>0</v>
      </c>
      <c r="L2046" s="51">
        <v>0</v>
      </c>
      <c r="M2046" s="54">
        <v>0</v>
      </c>
      <c r="N2046" s="53">
        <f t="shared" si="62"/>
        <v>0</v>
      </c>
      <c r="O2046" s="53">
        <f t="shared" si="63"/>
        <v>0</v>
      </c>
    </row>
    <row r="2047" spans="1:15" x14ac:dyDescent="0.2">
      <c r="A2047" s="51" t="s">
        <v>3567</v>
      </c>
      <c r="B2047" s="51" t="s">
        <v>3568</v>
      </c>
      <c r="C2047" s="51" t="s">
        <v>66</v>
      </c>
      <c r="D2047" s="51" t="s">
        <v>4668</v>
      </c>
      <c r="E2047" s="51" t="s">
        <v>4669</v>
      </c>
      <c r="F2047" s="52">
        <v>3.7506106796503822</v>
      </c>
      <c r="G2047" s="52">
        <v>0</v>
      </c>
      <c r="H2047" s="52">
        <v>0</v>
      </c>
      <c r="I2047" s="52">
        <v>0</v>
      </c>
      <c r="J2047" s="51">
        <v>0</v>
      </c>
      <c r="K2047" s="54">
        <v>0</v>
      </c>
      <c r="L2047" s="51">
        <v>0</v>
      </c>
      <c r="M2047" s="54">
        <v>0</v>
      </c>
      <c r="N2047" s="53">
        <f t="shared" si="62"/>
        <v>0</v>
      </c>
      <c r="O2047" s="53">
        <f t="shared" si="63"/>
        <v>0</v>
      </c>
    </row>
    <row r="2048" spans="1:15" x14ac:dyDescent="0.2">
      <c r="A2048" s="51" t="s">
        <v>3567</v>
      </c>
      <c r="B2048" s="51" t="s">
        <v>3568</v>
      </c>
      <c r="C2048" s="51" t="s">
        <v>3650</v>
      </c>
      <c r="D2048" s="51" t="s">
        <v>4650</v>
      </c>
      <c r="E2048" s="51" t="s">
        <v>4651</v>
      </c>
      <c r="F2048" s="52">
        <v>12.295</v>
      </c>
      <c r="G2048" s="52">
        <v>0</v>
      </c>
      <c r="H2048" s="52">
        <v>0</v>
      </c>
      <c r="I2048" s="52">
        <v>0</v>
      </c>
      <c r="J2048" s="51">
        <v>0</v>
      </c>
      <c r="K2048" s="54">
        <v>0</v>
      </c>
      <c r="L2048" s="51">
        <v>0</v>
      </c>
      <c r="M2048" s="54">
        <v>0</v>
      </c>
      <c r="N2048" s="53">
        <f t="shared" si="62"/>
        <v>0</v>
      </c>
      <c r="O2048" s="53">
        <f t="shared" si="63"/>
        <v>0</v>
      </c>
    </row>
    <row r="2049" spans="1:15" x14ac:dyDescent="0.2">
      <c r="A2049" s="51" t="s">
        <v>3567</v>
      </c>
      <c r="B2049" s="51" t="s">
        <v>3568</v>
      </c>
      <c r="C2049" s="51" t="s">
        <v>81</v>
      </c>
      <c r="D2049" s="51" t="s">
        <v>140</v>
      </c>
      <c r="E2049" s="51" t="s">
        <v>139</v>
      </c>
      <c r="F2049" s="52">
        <v>17.851790999999999</v>
      </c>
      <c r="G2049" s="52">
        <v>5110</v>
      </c>
      <c r="H2049" s="52">
        <v>90</v>
      </c>
      <c r="I2049" s="52">
        <v>5200</v>
      </c>
      <c r="J2049" s="51">
        <v>1</v>
      </c>
      <c r="K2049" s="54">
        <v>5000</v>
      </c>
      <c r="L2049" s="51">
        <v>0</v>
      </c>
      <c r="M2049" s="54">
        <v>0</v>
      </c>
      <c r="N2049" s="53">
        <f t="shared" si="62"/>
        <v>5000</v>
      </c>
      <c r="O2049" s="53">
        <f t="shared" si="63"/>
        <v>-5000</v>
      </c>
    </row>
    <row r="2050" spans="1:15" x14ac:dyDescent="0.2">
      <c r="A2050" s="51" t="s">
        <v>3567</v>
      </c>
      <c r="B2050" s="51" t="s">
        <v>3568</v>
      </c>
      <c r="C2050" s="51" t="s">
        <v>77</v>
      </c>
      <c r="D2050" s="51" t="s">
        <v>2242</v>
      </c>
      <c r="E2050" s="51" t="s">
        <v>2241</v>
      </c>
      <c r="F2050" s="52">
        <v>0.87924999999999998</v>
      </c>
      <c r="G2050" s="52">
        <v>0</v>
      </c>
      <c r="H2050" s="52">
        <v>0</v>
      </c>
      <c r="I2050" s="52">
        <v>0</v>
      </c>
      <c r="J2050" s="51">
        <v>0</v>
      </c>
      <c r="K2050" s="54">
        <v>0</v>
      </c>
      <c r="L2050" s="51">
        <v>0</v>
      </c>
      <c r="M2050" s="54">
        <v>0</v>
      </c>
      <c r="N2050" s="53">
        <f t="shared" si="62"/>
        <v>0</v>
      </c>
      <c r="O2050" s="53">
        <f t="shared" si="63"/>
        <v>0</v>
      </c>
    </row>
    <row r="2051" spans="1:15" x14ac:dyDescent="0.2">
      <c r="A2051" s="51" t="s">
        <v>3567</v>
      </c>
      <c r="B2051" s="51" t="s">
        <v>3568</v>
      </c>
      <c r="C2051" s="51" t="s">
        <v>3580</v>
      </c>
      <c r="D2051" s="51" t="s">
        <v>4633</v>
      </c>
      <c r="E2051" s="51" t="s">
        <v>4634</v>
      </c>
      <c r="F2051" s="52">
        <v>35.481999999999999</v>
      </c>
      <c r="G2051" s="52">
        <v>0</v>
      </c>
      <c r="H2051" s="52">
        <v>0</v>
      </c>
      <c r="I2051" s="52">
        <v>0</v>
      </c>
      <c r="J2051" s="51">
        <v>0</v>
      </c>
      <c r="K2051" s="54">
        <v>0</v>
      </c>
      <c r="L2051" s="51">
        <v>0</v>
      </c>
      <c r="M2051" s="54">
        <v>0</v>
      </c>
      <c r="N2051" s="53">
        <f t="shared" ref="N2051:N2114" si="64">K2051-M2051</f>
        <v>0</v>
      </c>
      <c r="O2051" s="53">
        <f t="shared" ref="O2051:O2114" si="65">M2051-K2051</f>
        <v>0</v>
      </c>
    </row>
    <row r="2052" spans="1:15" x14ac:dyDescent="0.2">
      <c r="A2052" s="51" t="s">
        <v>3567</v>
      </c>
      <c r="B2052" s="51" t="s">
        <v>3568</v>
      </c>
      <c r="C2052" s="51" t="s">
        <v>86</v>
      </c>
      <c r="D2052" s="51" t="s">
        <v>416</v>
      </c>
      <c r="E2052" s="51" t="s">
        <v>415</v>
      </c>
      <c r="F2052" s="52">
        <v>2.3734999999999999</v>
      </c>
      <c r="G2052" s="52">
        <v>0</v>
      </c>
      <c r="H2052" s="52">
        <v>0</v>
      </c>
      <c r="I2052" s="52">
        <v>0</v>
      </c>
      <c r="J2052" s="51">
        <v>0</v>
      </c>
      <c r="K2052" s="54">
        <v>0</v>
      </c>
      <c r="L2052" s="51">
        <v>0</v>
      </c>
      <c r="M2052" s="54">
        <v>0</v>
      </c>
      <c r="N2052" s="53">
        <f t="shared" si="64"/>
        <v>0</v>
      </c>
      <c r="O2052" s="53">
        <f t="shared" si="65"/>
        <v>0</v>
      </c>
    </row>
    <row r="2053" spans="1:15" x14ac:dyDescent="0.2">
      <c r="A2053" s="51" t="s">
        <v>3567</v>
      </c>
      <c r="B2053" s="51" t="s">
        <v>3568</v>
      </c>
      <c r="C2053" s="51" t="s">
        <v>72</v>
      </c>
      <c r="D2053" s="51" t="s">
        <v>1634</v>
      </c>
      <c r="E2053" s="51" t="s">
        <v>1633</v>
      </c>
      <c r="F2053" s="52">
        <v>11536.22033990232</v>
      </c>
      <c r="G2053" s="52">
        <v>0</v>
      </c>
      <c r="H2053" s="52">
        <v>4505</v>
      </c>
      <c r="I2053" s="52">
        <v>4505</v>
      </c>
      <c r="J2053" s="51">
        <v>1</v>
      </c>
      <c r="K2053" s="54">
        <v>7000</v>
      </c>
      <c r="L2053" s="51">
        <v>0</v>
      </c>
      <c r="M2053" s="54">
        <v>0</v>
      </c>
      <c r="N2053" s="53">
        <f t="shared" si="64"/>
        <v>7000</v>
      </c>
      <c r="O2053" s="53">
        <f t="shared" si="65"/>
        <v>-7000</v>
      </c>
    </row>
    <row r="2054" spans="1:15" x14ac:dyDescent="0.2">
      <c r="A2054" s="51" t="s">
        <v>3567</v>
      </c>
      <c r="B2054" s="51" t="s">
        <v>3568</v>
      </c>
      <c r="C2054" s="51" t="s">
        <v>3698</v>
      </c>
      <c r="D2054" s="51" t="s">
        <v>4658</v>
      </c>
      <c r="E2054" s="51" t="s">
        <v>4659</v>
      </c>
      <c r="F2054" s="52">
        <v>2.7756515347142918</v>
      </c>
      <c r="G2054" s="52">
        <v>0</v>
      </c>
      <c r="H2054" s="52">
        <v>0</v>
      </c>
      <c r="I2054" s="52">
        <v>0</v>
      </c>
      <c r="J2054" s="51">
        <v>0</v>
      </c>
      <c r="K2054" s="54">
        <v>0</v>
      </c>
      <c r="L2054" s="51">
        <v>0</v>
      </c>
      <c r="M2054" s="54">
        <v>0</v>
      </c>
      <c r="N2054" s="53">
        <f t="shared" si="64"/>
        <v>0</v>
      </c>
      <c r="O2054" s="53">
        <f t="shared" si="65"/>
        <v>0</v>
      </c>
    </row>
    <row r="2055" spans="1:15" x14ac:dyDescent="0.2">
      <c r="A2055" s="51" t="s">
        <v>3567</v>
      </c>
      <c r="B2055" s="51" t="s">
        <v>3568</v>
      </c>
      <c r="C2055" s="51" t="s">
        <v>57</v>
      </c>
      <c r="D2055" s="51" t="s">
        <v>2864</v>
      </c>
      <c r="E2055" s="51" t="s">
        <v>2863</v>
      </c>
      <c r="F2055" s="52">
        <v>618.4668751337897</v>
      </c>
      <c r="G2055" s="52">
        <v>2000</v>
      </c>
      <c r="H2055" s="52">
        <v>2000</v>
      </c>
      <c r="I2055" s="52">
        <v>4000</v>
      </c>
      <c r="J2055" s="51">
        <v>0</v>
      </c>
      <c r="K2055" s="54">
        <v>0</v>
      </c>
      <c r="L2055" s="51">
        <v>1</v>
      </c>
      <c r="M2055" s="54">
        <v>21000</v>
      </c>
      <c r="N2055" s="53">
        <f t="shared" si="64"/>
        <v>-21000</v>
      </c>
      <c r="O2055" s="53">
        <f t="shared" si="65"/>
        <v>21000</v>
      </c>
    </row>
    <row r="2056" spans="1:15" x14ac:dyDescent="0.2">
      <c r="A2056" s="51" t="s">
        <v>3567</v>
      </c>
      <c r="B2056" s="51" t="s">
        <v>3568</v>
      </c>
      <c r="C2056" s="51" t="s">
        <v>3647</v>
      </c>
      <c r="D2056" s="51" t="s">
        <v>4625</v>
      </c>
      <c r="E2056" s="51" t="s">
        <v>4626</v>
      </c>
      <c r="F2056" s="52">
        <v>2.935404351877525</v>
      </c>
      <c r="G2056" s="52">
        <v>0</v>
      </c>
      <c r="H2056" s="52">
        <v>0</v>
      </c>
      <c r="I2056" s="52">
        <v>0</v>
      </c>
      <c r="J2056" s="51">
        <v>0</v>
      </c>
      <c r="K2056" s="54">
        <v>0</v>
      </c>
      <c r="L2056" s="51">
        <v>0</v>
      </c>
      <c r="M2056" s="54">
        <v>0</v>
      </c>
      <c r="N2056" s="53">
        <f t="shared" si="64"/>
        <v>0</v>
      </c>
      <c r="O2056" s="53">
        <f t="shared" si="65"/>
        <v>0</v>
      </c>
    </row>
    <row r="2057" spans="1:15" x14ac:dyDescent="0.2">
      <c r="A2057" s="51" t="s">
        <v>3567</v>
      </c>
      <c r="B2057" s="51" t="s">
        <v>3568</v>
      </c>
      <c r="C2057" s="51" t="s">
        <v>77</v>
      </c>
      <c r="D2057" s="51" t="s">
        <v>1979</v>
      </c>
      <c r="E2057" s="51" t="s">
        <v>1978</v>
      </c>
      <c r="F2057" s="52">
        <v>742.81535518343355</v>
      </c>
      <c r="G2057" s="52">
        <v>300</v>
      </c>
      <c r="H2057" s="52">
        <v>6700</v>
      </c>
      <c r="I2057" s="52">
        <v>7000</v>
      </c>
      <c r="J2057" s="51">
        <v>1</v>
      </c>
      <c r="K2057" s="54">
        <v>5000</v>
      </c>
      <c r="L2057" s="51">
        <v>1</v>
      </c>
      <c r="M2057" s="54">
        <v>10000</v>
      </c>
      <c r="N2057" s="53">
        <f t="shared" si="64"/>
        <v>-5000</v>
      </c>
      <c r="O2057" s="53">
        <f t="shared" si="65"/>
        <v>5000</v>
      </c>
    </row>
    <row r="2058" spans="1:15" x14ac:dyDescent="0.2">
      <c r="A2058" s="51" t="s">
        <v>3567</v>
      </c>
      <c r="B2058" s="51" t="s">
        <v>3568</v>
      </c>
      <c r="C2058" s="51" t="s">
        <v>69</v>
      </c>
      <c r="D2058" s="51" t="s">
        <v>1995</v>
      </c>
      <c r="E2058" s="51" t="s">
        <v>1994</v>
      </c>
      <c r="F2058" s="52">
        <v>412.61590434779998</v>
      </c>
      <c r="G2058" s="52">
        <v>5000</v>
      </c>
      <c r="H2058" s="52">
        <v>5300</v>
      </c>
      <c r="I2058" s="52">
        <v>10300</v>
      </c>
      <c r="J2058" s="51">
        <v>1</v>
      </c>
      <c r="K2058" s="54">
        <v>5000</v>
      </c>
      <c r="L2058" s="51">
        <v>1</v>
      </c>
      <c r="M2058" s="54">
        <v>10000</v>
      </c>
      <c r="N2058" s="53">
        <f t="shared" si="64"/>
        <v>-5000</v>
      </c>
      <c r="O2058" s="53">
        <f t="shared" si="65"/>
        <v>5000</v>
      </c>
    </row>
    <row r="2059" spans="1:15" x14ac:dyDescent="0.2">
      <c r="A2059" s="51" t="s">
        <v>3567</v>
      </c>
      <c r="B2059" s="51" t="s">
        <v>3568</v>
      </c>
      <c r="C2059" s="51" t="s">
        <v>58</v>
      </c>
      <c r="D2059" s="51" t="s">
        <v>2074</v>
      </c>
      <c r="E2059" s="51" t="s">
        <v>2073</v>
      </c>
      <c r="F2059" s="52">
        <v>10358.2479679304</v>
      </c>
      <c r="G2059" s="52">
        <v>12000</v>
      </c>
      <c r="H2059" s="52">
        <v>3920</v>
      </c>
      <c r="I2059" s="52">
        <v>15920</v>
      </c>
      <c r="J2059" s="51">
        <v>1</v>
      </c>
      <c r="K2059" s="54">
        <v>5000</v>
      </c>
      <c r="L2059" s="51">
        <v>0</v>
      </c>
      <c r="M2059" s="54">
        <v>0</v>
      </c>
      <c r="N2059" s="53">
        <f t="shared" si="64"/>
        <v>5000</v>
      </c>
      <c r="O2059" s="53">
        <f t="shared" si="65"/>
        <v>-5000</v>
      </c>
    </row>
    <row r="2060" spans="1:15" x14ac:dyDescent="0.2">
      <c r="A2060" s="51" t="s">
        <v>3567</v>
      </c>
      <c r="B2060" s="51" t="s">
        <v>3568</v>
      </c>
      <c r="C2060" s="51" t="s">
        <v>80</v>
      </c>
      <c r="D2060" s="51" t="s">
        <v>3523</v>
      </c>
      <c r="E2060" s="51" t="s">
        <v>3522</v>
      </c>
      <c r="F2060" s="52">
        <v>868.94039999999995</v>
      </c>
      <c r="G2060" s="52">
        <v>0</v>
      </c>
      <c r="H2060" s="52">
        <v>1550</v>
      </c>
      <c r="I2060" s="52">
        <v>1550</v>
      </c>
      <c r="J2060" s="51">
        <v>0</v>
      </c>
      <c r="K2060" s="54">
        <v>0</v>
      </c>
      <c r="L2060" s="51">
        <v>1</v>
      </c>
      <c r="M2060" s="54">
        <v>7000</v>
      </c>
      <c r="N2060" s="53">
        <f t="shared" si="64"/>
        <v>-7000</v>
      </c>
      <c r="O2060" s="53">
        <f t="shared" si="65"/>
        <v>7000</v>
      </c>
    </row>
    <row r="2061" spans="1:15" x14ac:dyDescent="0.2">
      <c r="A2061" s="51" t="s">
        <v>3567</v>
      </c>
      <c r="B2061" s="51" t="s">
        <v>3568</v>
      </c>
      <c r="C2061" s="51" t="s">
        <v>78</v>
      </c>
      <c r="D2061" s="51" t="s">
        <v>873</v>
      </c>
      <c r="E2061" s="51" t="s">
        <v>872</v>
      </c>
      <c r="F2061" s="52">
        <v>322.57340907351931</v>
      </c>
      <c r="G2061" s="52">
        <v>3905</v>
      </c>
      <c r="H2061" s="52">
        <v>16770</v>
      </c>
      <c r="I2061" s="52">
        <v>20675</v>
      </c>
      <c r="J2061" s="51">
        <v>0</v>
      </c>
      <c r="K2061" s="54">
        <v>0</v>
      </c>
      <c r="L2061" s="51">
        <v>1</v>
      </c>
      <c r="M2061" s="54">
        <v>22000</v>
      </c>
      <c r="N2061" s="53">
        <f t="shared" si="64"/>
        <v>-22000</v>
      </c>
      <c r="O2061" s="53">
        <f t="shared" si="65"/>
        <v>22000</v>
      </c>
    </row>
    <row r="2062" spans="1:15" x14ac:dyDescent="0.2">
      <c r="A2062" s="51" t="s">
        <v>3567</v>
      </c>
      <c r="B2062" s="51" t="s">
        <v>3568</v>
      </c>
      <c r="C2062" s="51" t="s">
        <v>77</v>
      </c>
      <c r="D2062" s="51" t="s">
        <v>2682</v>
      </c>
      <c r="E2062" s="51" t="s">
        <v>2681</v>
      </c>
      <c r="F2062" s="52">
        <v>78.698999999999998</v>
      </c>
      <c r="G2062" s="52">
        <v>10000</v>
      </c>
      <c r="H2062" s="52">
        <v>0</v>
      </c>
      <c r="I2062" s="52">
        <v>10000</v>
      </c>
      <c r="J2062" s="51">
        <v>1</v>
      </c>
      <c r="K2062" s="54">
        <v>10000</v>
      </c>
      <c r="L2062" s="51">
        <v>0</v>
      </c>
      <c r="M2062" s="54">
        <v>0</v>
      </c>
      <c r="N2062" s="53">
        <f t="shared" si="64"/>
        <v>10000</v>
      </c>
      <c r="O2062" s="53">
        <f t="shared" si="65"/>
        <v>-10000</v>
      </c>
    </row>
    <row r="2063" spans="1:15" x14ac:dyDescent="0.2">
      <c r="A2063" s="51" t="s">
        <v>3567</v>
      </c>
      <c r="B2063" s="51" t="s">
        <v>3568</v>
      </c>
      <c r="C2063" s="51" t="s">
        <v>65</v>
      </c>
      <c r="D2063" s="51" t="s">
        <v>571</v>
      </c>
      <c r="E2063" s="51" t="s">
        <v>570</v>
      </c>
      <c r="F2063" s="52">
        <v>5484.1491746655329</v>
      </c>
      <c r="G2063" s="52">
        <v>0</v>
      </c>
      <c r="H2063" s="52">
        <v>0</v>
      </c>
      <c r="I2063" s="52">
        <v>0</v>
      </c>
      <c r="J2063" s="51">
        <v>0</v>
      </c>
      <c r="K2063" s="54">
        <v>0</v>
      </c>
      <c r="L2063" s="51">
        <v>1</v>
      </c>
      <c r="M2063" s="54">
        <v>5000</v>
      </c>
      <c r="N2063" s="53">
        <f t="shared" si="64"/>
        <v>-5000</v>
      </c>
      <c r="O2063" s="53">
        <f t="shared" si="65"/>
        <v>5000</v>
      </c>
    </row>
    <row r="2064" spans="1:15" x14ac:dyDescent="0.2">
      <c r="A2064" s="51" t="s">
        <v>3567</v>
      </c>
      <c r="B2064" s="51" t="s">
        <v>3568</v>
      </c>
      <c r="C2064" s="51" t="s">
        <v>67</v>
      </c>
      <c r="D2064" s="51" t="s">
        <v>3218</v>
      </c>
      <c r="E2064" s="51" t="s">
        <v>3217</v>
      </c>
      <c r="F2064" s="52">
        <v>30655.231898809991</v>
      </c>
      <c r="G2064" s="52">
        <v>0</v>
      </c>
      <c r="H2064" s="52">
        <v>10225</v>
      </c>
      <c r="I2064" s="52">
        <v>10225</v>
      </c>
      <c r="J2064" s="51">
        <v>0</v>
      </c>
      <c r="K2064" s="54">
        <v>0</v>
      </c>
      <c r="L2064" s="51">
        <v>1</v>
      </c>
      <c r="M2064" s="54">
        <v>6000</v>
      </c>
      <c r="N2064" s="53">
        <f t="shared" si="64"/>
        <v>-6000</v>
      </c>
      <c r="O2064" s="53">
        <f t="shared" si="65"/>
        <v>6000</v>
      </c>
    </row>
    <row r="2065" spans="1:15" x14ac:dyDescent="0.2">
      <c r="A2065" s="51" t="s">
        <v>3567</v>
      </c>
      <c r="B2065" s="51" t="s">
        <v>3568</v>
      </c>
      <c r="C2065" s="51" t="s">
        <v>74</v>
      </c>
      <c r="D2065" s="51" t="s">
        <v>4670</v>
      </c>
      <c r="E2065" s="51" t="s">
        <v>4671</v>
      </c>
      <c r="F2065" s="52">
        <v>0.82183799999999996</v>
      </c>
      <c r="G2065" s="52">
        <v>0</v>
      </c>
      <c r="H2065" s="52">
        <v>0</v>
      </c>
      <c r="I2065" s="52">
        <v>0</v>
      </c>
      <c r="J2065" s="51">
        <v>0</v>
      </c>
      <c r="K2065" s="54">
        <v>0</v>
      </c>
      <c r="L2065" s="51">
        <v>0</v>
      </c>
      <c r="M2065" s="54">
        <v>0</v>
      </c>
      <c r="N2065" s="53">
        <f t="shared" si="64"/>
        <v>0</v>
      </c>
      <c r="O2065" s="53">
        <f t="shared" si="65"/>
        <v>0</v>
      </c>
    </row>
    <row r="2066" spans="1:15" x14ac:dyDescent="0.2">
      <c r="A2066" s="51" t="s">
        <v>3567</v>
      </c>
      <c r="B2066" s="51" t="s">
        <v>3568</v>
      </c>
      <c r="C2066" s="51" t="s">
        <v>74</v>
      </c>
      <c r="D2066" s="51" t="s">
        <v>2835</v>
      </c>
      <c r="E2066" s="51" t="s">
        <v>2834</v>
      </c>
      <c r="F2066" s="52">
        <v>703.03582523018042</v>
      </c>
      <c r="G2066" s="52">
        <v>200</v>
      </c>
      <c r="H2066" s="52">
        <v>5740</v>
      </c>
      <c r="I2066" s="52">
        <v>5940</v>
      </c>
      <c r="J2066" s="51">
        <v>0</v>
      </c>
      <c r="K2066" s="54">
        <v>0</v>
      </c>
      <c r="L2066" s="51">
        <v>1</v>
      </c>
      <c r="M2066" s="54">
        <v>5000</v>
      </c>
      <c r="N2066" s="53">
        <f t="shared" si="64"/>
        <v>-5000</v>
      </c>
      <c r="O2066" s="53">
        <f t="shared" si="65"/>
        <v>5000</v>
      </c>
    </row>
    <row r="2067" spans="1:15" x14ac:dyDescent="0.2">
      <c r="A2067" s="51" t="s">
        <v>3567</v>
      </c>
      <c r="B2067" s="51" t="s">
        <v>3568</v>
      </c>
      <c r="C2067" s="51" t="s">
        <v>72</v>
      </c>
      <c r="D2067" s="51" t="s">
        <v>593</v>
      </c>
      <c r="E2067" s="51" t="s">
        <v>592</v>
      </c>
      <c r="F2067" s="52">
        <v>22.523599999999998</v>
      </c>
      <c r="G2067" s="52">
        <v>0</v>
      </c>
      <c r="H2067" s="52">
        <v>0</v>
      </c>
      <c r="I2067" s="52">
        <v>0</v>
      </c>
      <c r="J2067" s="51">
        <v>0</v>
      </c>
      <c r="K2067" s="54">
        <v>0</v>
      </c>
      <c r="L2067" s="51">
        <v>0</v>
      </c>
      <c r="M2067" s="54">
        <v>0</v>
      </c>
      <c r="N2067" s="53">
        <f t="shared" si="64"/>
        <v>0</v>
      </c>
      <c r="O2067" s="53">
        <f t="shared" si="65"/>
        <v>0</v>
      </c>
    </row>
    <row r="2068" spans="1:15" x14ac:dyDescent="0.2">
      <c r="A2068" s="51" t="s">
        <v>3567</v>
      </c>
      <c r="B2068" s="51" t="s">
        <v>3568</v>
      </c>
      <c r="C2068" s="51" t="s">
        <v>3633</v>
      </c>
      <c r="D2068" s="51" t="s">
        <v>4656</v>
      </c>
      <c r="E2068" s="51" t="s">
        <v>4657</v>
      </c>
      <c r="F2068" s="52">
        <v>7.2233613151492699</v>
      </c>
      <c r="G2068" s="52">
        <v>0</v>
      </c>
      <c r="H2068" s="52">
        <v>0</v>
      </c>
      <c r="I2068" s="52">
        <v>0</v>
      </c>
      <c r="J2068" s="51">
        <v>0</v>
      </c>
      <c r="K2068" s="54">
        <v>0</v>
      </c>
      <c r="L2068" s="51">
        <v>0</v>
      </c>
      <c r="M2068" s="54">
        <v>0</v>
      </c>
      <c r="N2068" s="53">
        <f t="shared" si="64"/>
        <v>0</v>
      </c>
      <c r="O2068" s="53">
        <f t="shared" si="65"/>
        <v>0</v>
      </c>
    </row>
    <row r="2069" spans="1:15" x14ac:dyDescent="0.2">
      <c r="A2069" s="51" t="s">
        <v>3567</v>
      </c>
      <c r="B2069" s="51" t="s">
        <v>3568</v>
      </c>
      <c r="C2069" s="51" t="s">
        <v>67</v>
      </c>
      <c r="D2069" s="51" t="s">
        <v>1050</v>
      </c>
      <c r="E2069" s="51" t="s">
        <v>1049</v>
      </c>
      <c r="F2069" s="52">
        <v>50530.510900000001</v>
      </c>
      <c r="G2069" s="52">
        <v>28595</v>
      </c>
      <c r="H2069" s="52">
        <v>1180</v>
      </c>
      <c r="I2069" s="52">
        <v>29775</v>
      </c>
      <c r="J2069" s="51">
        <v>3</v>
      </c>
      <c r="K2069" s="54">
        <v>60000</v>
      </c>
      <c r="L2069" s="51">
        <v>0</v>
      </c>
      <c r="M2069" s="54">
        <v>0</v>
      </c>
      <c r="N2069" s="53">
        <f t="shared" si="64"/>
        <v>60000</v>
      </c>
      <c r="O2069" s="53">
        <f t="shared" si="65"/>
        <v>-60000</v>
      </c>
    </row>
    <row r="2070" spans="1:15" x14ac:dyDescent="0.2">
      <c r="A2070" s="51" t="s">
        <v>3567</v>
      </c>
      <c r="B2070" s="51" t="s">
        <v>3568</v>
      </c>
      <c r="C2070" s="51" t="s">
        <v>54</v>
      </c>
      <c r="D2070" s="51" t="s">
        <v>499</v>
      </c>
      <c r="E2070" s="51" t="s">
        <v>498</v>
      </c>
      <c r="F2070" s="52">
        <v>2670.6664999999998</v>
      </c>
      <c r="G2070" s="52">
        <v>15680</v>
      </c>
      <c r="H2070" s="52">
        <v>14304</v>
      </c>
      <c r="I2070" s="52">
        <v>29984</v>
      </c>
      <c r="J2070" s="51">
        <v>1</v>
      </c>
      <c r="K2070" s="54">
        <v>10000</v>
      </c>
      <c r="L2070" s="51">
        <v>3</v>
      </c>
      <c r="M2070" s="54">
        <v>16000</v>
      </c>
      <c r="N2070" s="53">
        <f t="shared" si="64"/>
        <v>-6000</v>
      </c>
      <c r="O2070" s="53">
        <f t="shared" si="65"/>
        <v>6000</v>
      </c>
    </row>
    <row r="2071" spans="1:15" x14ac:dyDescent="0.2">
      <c r="A2071" s="51" t="s">
        <v>3567</v>
      </c>
      <c r="B2071" s="51" t="s">
        <v>3568</v>
      </c>
      <c r="C2071" s="51" t="s">
        <v>3756</v>
      </c>
      <c r="D2071" s="51" t="s">
        <v>4629</v>
      </c>
      <c r="E2071" s="51" t="s">
        <v>4630</v>
      </c>
      <c r="F2071" s="52">
        <v>13.73633370480275</v>
      </c>
      <c r="G2071" s="52">
        <v>0</v>
      </c>
      <c r="H2071" s="52">
        <v>0</v>
      </c>
      <c r="I2071" s="52">
        <v>0</v>
      </c>
      <c r="J2071" s="51">
        <v>0</v>
      </c>
      <c r="K2071" s="54">
        <v>0</v>
      </c>
      <c r="L2071" s="51">
        <v>0</v>
      </c>
      <c r="M2071" s="54">
        <v>0</v>
      </c>
      <c r="N2071" s="53">
        <f t="shared" si="64"/>
        <v>0</v>
      </c>
      <c r="O2071" s="53">
        <f t="shared" si="65"/>
        <v>0</v>
      </c>
    </row>
    <row r="2072" spans="1:15" x14ac:dyDescent="0.2">
      <c r="A2072" s="51" t="s">
        <v>3567</v>
      </c>
      <c r="B2072" s="51" t="s">
        <v>3568</v>
      </c>
      <c r="C2072" s="51" t="s">
        <v>75</v>
      </c>
      <c r="D2072" s="51" t="s">
        <v>1539</v>
      </c>
      <c r="E2072" s="51" t="s">
        <v>1538</v>
      </c>
      <c r="F2072" s="52">
        <v>30207.22768350775</v>
      </c>
      <c r="G2072" s="52">
        <v>93215</v>
      </c>
      <c r="H2072" s="52">
        <v>49765</v>
      </c>
      <c r="I2072" s="52">
        <v>142980</v>
      </c>
      <c r="J2072" s="51">
        <v>3</v>
      </c>
      <c r="K2072" s="54">
        <v>50000</v>
      </c>
      <c r="L2072" s="51">
        <v>0</v>
      </c>
      <c r="M2072" s="54">
        <v>0</v>
      </c>
      <c r="N2072" s="53">
        <f t="shared" si="64"/>
        <v>50000</v>
      </c>
      <c r="O2072" s="53">
        <f t="shared" si="65"/>
        <v>-50000</v>
      </c>
    </row>
    <row r="2073" spans="1:15" x14ac:dyDescent="0.2">
      <c r="A2073" s="51" t="s">
        <v>3567</v>
      </c>
      <c r="B2073" s="51" t="s">
        <v>3568</v>
      </c>
      <c r="C2073" s="51" t="s">
        <v>3571</v>
      </c>
      <c r="D2073" s="51" t="s">
        <v>4648</v>
      </c>
      <c r="E2073" s="51" t="s">
        <v>4649</v>
      </c>
      <c r="F2073" s="52">
        <v>5.3261761623006576</v>
      </c>
      <c r="G2073" s="52">
        <v>0</v>
      </c>
      <c r="H2073" s="52">
        <v>0</v>
      </c>
      <c r="I2073" s="52">
        <v>0</v>
      </c>
      <c r="J2073" s="51">
        <v>0</v>
      </c>
      <c r="K2073" s="54">
        <v>0</v>
      </c>
      <c r="L2073" s="51">
        <v>0</v>
      </c>
      <c r="M2073" s="54">
        <v>0</v>
      </c>
      <c r="N2073" s="53">
        <f t="shared" si="64"/>
        <v>0</v>
      </c>
      <c r="O2073" s="53">
        <f t="shared" si="65"/>
        <v>0</v>
      </c>
    </row>
    <row r="2074" spans="1:15" x14ac:dyDescent="0.2">
      <c r="A2074" s="51" t="s">
        <v>3567</v>
      </c>
      <c r="B2074" s="51" t="s">
        <v>3568</v>
      </c>
      <c r="C2074" s="51" t="s">
        <v>79</v>
      </c>
      <c r="D2074" s="51" t="s">
        <v>676</v>
      </c>
      <c r="E2074" s="51" t="s">
        <v>675</v>
      </c>
      <c r="F2074" s="52">
        <v>7183.4445500000002</v>
      </c>
      <c r="G2074" s="52">
        <v>3130</v>
      </c>
      <c r="H2074" s="52">
        <v>400</v>
      </c>
      <c r="I2074" s="52">
        <v>3530</v>
      </c>
      <c r="J2074" s="51">
        <v>1</v>
      </c>
      <c r="K2074" s="54">
        <v>5000</v>
      </c>
      <c r="L2074" s="51">
        <v>0</v>
      </c>
      <c r="M2074" s="54">
        <v>0</v>
      </c>
      <c r="N2074" s="53">
        <f t="shared" si="64"/>
        <v>5000</v>
      </c>
      <c r="O2074" s="53">
        <f t="shared" si="65"/>
        <v>-5000</v>
      </c>
    </row>
    <row r="2075" spans="1:15" x14ac:dyDescent="0.2">
      <c r="A2075" s="51" t="s">
        <v>3567</v>
      </c>
      <c r="B2075" s="51" t="s">
        <v>3568</v>
      </c>
      <c r="C2075" s="51" t="s">
        <v>66</v>
      </c>
      <c r="D2075" s="51" t="s">
        <v>2344</v>
      </c>
      <c r="E2075" s="51" t="s">
        <v>2343</v>
      </c>
      <c r="F2075" s="52">
        <v>9025.7201485201749</v>
      </c>
      <c r="G2075" s="52">
        <v>0</v>
      </c>
      <c r="H2075" s="52">
        <v>4000</v>
      </c>
      <c r="I2075" s="52">
        <v>4000</v>
      </c>
      <c r="J2075" s="51">
        <v>1</v>
      </c>
      <c r="K2075" s="54">
        <v>5000</v>
      </c>
      <c r="L2075" s="51">
        <v>0</v>
      </c>
      <c r="M2075" s="54">
        <v>0</v>
      </c>
      <c r="N2075" s="53">
        <f t="shared" si="64"/>
        <v>5000</v>
      </c>
      <c r="O2075" s="53">
        <f t="shared" si="65"/>
        <v>-5000</v>
      </c>
    </row>
    <row r="2076" spans="1:15" x14ac:dyDescent="0.2">
      <c r="A2076" s="51" t="s">
        <v>3567</v>
      </c>
      <c r="B2076" s="51" t="s">
        <v>3568</v>
      </c>
      <c r="C2076" s="51" t="s">
        <v>84</v>
      </c>
      <c r="D2076" s="51" t="s">
        <v>2717</v>
      </c>
      <c r="E2076" s="51" t="s">
        <v>2716</v>
      </c>
      <c r="F2076" s="52">
        <v>5450.5685999999996</v>
      </c>
      <c r="G2076" s="52">
        <v>11250</v>
      </c>
      <c r="H2076" s="52">
        <v>2300</v>
      </c>
      <c r="I2076" s="52">
        <v>13550</v>
      </c>
      <c r="J2076" s="51">
        <v>1</v>
      </c>
      <c r="K2076" s="54">
        <v>10000</v>
      </c>
      <c r="L2076" s="51">
        <v>0</v>
      </c>
      <c r="M2076" s="54">
        <v>0</v>
      </c>
      <c r="N2076" s="53">
        <f t="shared" si="64"/>
        <v>10000</v>
      </c>
      <c r="O2076" s="53">
        <f t="shared" si="65"/>
        <v>-10000</v>
      </c>
    </row>
    <row r="2077" spans="1:15" x14ac:dyDescent="0.2">
      <c r="A2077" s="51" t="s">
        <v>3567</v>
      </c>
      <c r="B2077" s="51" t="s">
        <v>3568</v>
      </c>
      <c r="C2077" s="51" t="s">
        <v>53</v>
      </c>
      <c r="D2077" s="51" t="s">
        <v>2314</v>
      </c>
      <c r="E2077" s="51" t="s">
        <v>2313</v>
      </c>
      <c r="F2077" s="52">
        <v>874.93430000000001</v>
      </c>
      <c r="G2077" s="52">
        <v>0</v>
      </c>
      <c r="H2077" s="52">
        <v>0</v>
      </c>
      <c r="I2077" s="52">
        <v>0</v>
      </c>
      <c r="J2077" s="51">
        <v>0</v>
      </c>
      <c r="K2077" s="54">
        <v>0</v>
      </c>
      <c r="L2077" s="51">
        <v>1</v>
      </c>
      <c r="M2077" s="54">
        <v>6000</v>
      </c>
      <c r="N2077" s="53">
        <f t="shared" si="64"/>
        <v>-6000</v>
      </c>
      <c r="O2077" s="53">
        <f t="shared" si="65"/>
        <v>6000</v>
      </c>
    </row>
    <row r="2078" spans="1:15" x14ac:dyDescent="0.2">
      <c r="A2078" s="51" t="s">
        <v>3567</v>
      </c>
      <c r="B2078" s="51" t="s">
        <v>3568</v>
      </c>
      <c r="C2078" s="51" t="s">
        <v>71</v>
      </c>
      <c r="D2078" s="51" t="s">
        <v>2760</v>
      </c>
      <c r="E2078" s="51" t="s">
        <v>765</v>
      </c>
      <c r="F2078" s="52">
        <v>1547.7237428430619</v>
      </c>
      <c r="G2078" s="52">
        <v>0</v>
      </c>
      <c r="H2078" s="52">
        <v>10870</v>
      </c>
      <c r="I2078" s="52">
        <v>10870</v>
      </c>
      <c r="J2078" s="51">
        <v>1</v>
      </c>
      <c r="K2078" s="54">
        <v>5000</v>
      </c>
      <c r="L2078" s="51">
        <v>1</v>
      </c>
      <c r="M2078" s="54">
        <v>16000</v>
      </c>
      <c r="N2078" s="53">
        <f t="shared" si="64"/>
        <v>-11000</v>
      </c>
      <c r="O2078" s="53">
        <f t="shared" si="65"/>
        <v>11000</v>
      </c>
    </row>
    <row r="2079" spans="1:15" x14ac:dyDescent="0.2">
      <c r="A2079" s="51" t="s">
        <v>3567</v>
      </c>
      <c r="B2079" s="51" t="s">
        <v>3568</v>
      </c>
      <c r="C2079" s="51" t="s">
        <v>60</v>
      </c>
      <c r="D2079" s="51" t="s">
        <v>2597</v>
      </c>
      <c r="E2079" s="51" t="s">
        <v>2596</v>
      </c>
      <c r="F2079" s="52">
        <v>1.40065</v>
      </c>
      <c r="G2079" s="52">
        <v>0</v>
      </c>
      <c r="H2079" s="52">
        <v>0</v>
      </c>
      <c r="I2079" s="52">
        <v>0</v>
      </c>
      <c r="J2079" s="51">
        <v>0</v>
      </c>
      <c r="K2079" s="54">
        <v>0</v>
      </c>
      <c r="L2079" s="51">
        <v>0</v>
      </c>
      <c r="M2079" s="54">
        <v>0</v>
      </c>
      <c r="N2079" s="53">
        <f t="shared" si="64"/>
        <v>0</v>
      </c>
      <c r="O2079" s="53">
        <f t="shared" si="65"/>
        <v>0</v>
      </c>
    </row>
    <row r="2080" spans="1:15" x14ac:dyDescent="0.2">
      <c r="A2080" s="51" t="s">
        <v>3567</v>
      </c>
      <c r="B2080" s="51" t="s">
        <v>3568</v>
      </c>
      <c r="C2080" s="51" t="s">
        <v>73</v>
      </c>
      <c r="D2080" s="51" t="s">
        <v>1431</v>
      </c>
      <c r="E2080" s="51" t="s">
        <v>1430</v>
      </c>
      <c r="F2080" s="52">
        <v>200.31819999999999</v>
      </c>
      <c r="G2080" s="52">
        <v>5000</v>
      </c>
      <c r="H2080" s="52">
        <v>0</v>
      </c>
      <c r="I2080" s="52">
        <v>5000</v>
      </c>
      <c r="J2080" s="51">
        <v>1</v>
      </c>
      <c r="K2080" s="54">
        <v>5000</v>
      </c>
      <c r="L2080" s="51">
        <v>0</v>
      </c>
      <c r="M2080" s="54">
        <v>0</v>
      </c>
      <c r="N2080" s="53">
        <f t="shared" si="64"/>
        <v>5000</v>
      </c>
      <c r="O2080" s="53">
        <f t="shared" si="65"/>
        <v>-5000</v>
      </c>
    </row>
    <row r="2081" spans="1:15" x14ac:dyDescent="0.2">
      <c r="A2081" s="51" t="s">
        <v>3567</v>
      </c>
      <c r="B2081" s="51" t="s">
        <v>3568</v>
      </c>
      <c r="C2081" s="51" t="s">
        <v>69</v>
      </c>
      <c r="D2081" s="51" t="s">
        <v>166</v>
      </c>
      <c r="E2081" s="51" t="s">
        <v>165</v>
      </c>
      <c r="F2081" s="52">
        <v>7817.2391632772269</v>
      </c>
      <c r="G2081" s="52">
        <v>6400</v>
      </c>
      <c r="H2081" s="52">
        <v>9530</v>
      </c>
      <c r="I2081" s="52">
        <v>15930</v>
      </c>
      <c r="J2081" s="51">
        <v>0</v>
      </c>
      <c r="K2081" s="54">
        <v>0</v>
      </c>
      <c r="L2081" s="51">
        <v>1</v>
      </c>
      <c r="M2081" s="54">
        <v>20000</v>
      </c>
      <c r="N2081" s="53">
        <f t="shared" si="64"/>
        <v>-20000</v>
      </c>
      <c r="O2081" s="53">
        <f t="shared" si="65"/>
        <v>20000</v>
      </c>
    </row>
    <row r="2082" spans="1:15" x14ac:dyDescent="0.2">
      <c r="A2082" s="51" t="s">
        <v>3567</v>
      </c>
      <c r="B2082" s="51" t="s">
        <v>3568</v>
      </c>
      <c r="C2082" s="51" t="s">
        <v>85</v>
      </c>
      <c r="D2082" s="51" t="s">
        <v>2579</v>
      </c>
      <c r="E2082" s="51" t="s">
        <v>145</v>
      </c>
      <c r="F2082" s="52">
        <v>17711.6888</v>
      </c>
      <c r="G2082" s="52">
        <v>1350</v>
      </c>
      <c r="H2082" s="52">
        <v>6735</v>
      </c>
      <c r="I2082" s="52">
        <v>8085</v>
      </c>
      <c r="J2082" s="51">
        <v>0</v>
      </c>
      <c r="K2082" s="54">
        <v>0</v>
      </c>
      <c r="L2082" s="51">
        <v>1</v>
      </c>
      <c r="M2082" s="54">
        <v>30000</v>
      </c>
      <c r="N2082" s="53">
        <f t="shared" si="64"/>
        <v>-30000</v>
      </c>
      <c r="O2082" s="53">
        <f t="shared" si="65"/>
        <v>30000</v>
      </c>
    </row>
    <row r="2083" spans="1:15" x14ac:dyDescent="0.2">
      <c r="A2083" s="51" t="s">
        <v>3567</v>
      </c>
      <c r="B2083" s="51" t="s">
        <v>3568</v>
      </c>
      <c r="C2083" s="51" t="s">
        <v>3944</v>
      </c>
      <c r="D2083" s="51" t="s">
        <v>4666</v>
      </c>
      <c r="E2083" s="51" t="s">
        <v>4667</v>
      </c>
      <c r="F2083" s="52">
        <v>106.65260000000001</v>
      </c>
      <c r="G2083" s="52">
        <v>0</v>
      </c>
      <c r="H2083" s="52">
        <v>0</v>
      </c>
      <c r="I2083" s="52">
        <v>0</v>
      </c>
      <c r="J2083" s="51">
        <v>0</v>
      </c>
      <c r="K2083" s="54">
        <v>0</v>
      </c>
      <c r="L2083" s="51">
        <v>0</v>
      </c>
      <c r="M2083" s="54">
        <v>0</v>
      </c>
      <c r="N2083" s="53">
        <f t="shared" si="64"/>
        <v>0</v>
      </c>
      <c r="O2083" s="53">
        <f t="shared" si="65"/>
        <v>0</v>
      </c>
    </row>
    <row r="2084" spans="1:15" x14ac:dyDescent="0.2">
      <c r="A2084" s="51" t="s">
        <v>3567</v>
      </c>
      <c r="B2084" s="51" t="s">
        <v>3568</v>
      </c>
      <c r="C2084" s="51" t="s">
        <v>76</v>
      </c>
      <c r="D2084" s="51" t="s">
        <v>1262</v>
      </c>
      <c r="E2084" s="51" t="s">
        <v>1261</v>
      </c>
      <c r="F2084" s="52">
        <v>13911.608876325579</v>
      </c>
      <c r="G2084" s="52">
        <v>8250</v>
      </c>
      <c r="H2084" s="52">
        <v>15900</v>
      </c>
      <c r="I2084" s="52">
        <v>24150</v>
      </c>
      <c r="J2084" s="51">
        <v>1</v>
      </c>
      <c r="K2084" s="54">
        <v>5000</v>
      </c>
      <c r="L2084" s="51">
        <v>0</v>
      </c>
      <c r="M2084" s="54">
        <v>0</v>
      </c>
      <c r="N2084" s="53">
        <f t="shared" si="64"/>
        <v>5000</v>
      </c>
      <c r="O2084" s="53">
        <f t="shared" si="65"/>
        <v>-5000</v>
      </c>
    </row>
    <row r="2085" spans="1:15" x14ac:dyDescent="0.2">
      <c r="A2085" s="51" t="s">
        <v>3567</v>
      </c>
      <c r="B2085" s="51" t="s">
        <v>3568</v>
      </c>
      <c r="C2085" s="51" t="s">
        <v>3574</v>
      </c>
      <c r="D2085" s="51" t="s">
        <v>4636</v>
      </c>
      <c r="E2085" s="51" t="s">
        <v>4637</v>
      </c>
      <c r="F2085" s="52">
        <v>13.45920862220664</v>
      </c>
      <c r="G2085" s="52">
        <v>0</v>
      </c>
      <c r="H2085" s="52">
        <v>0</v>
      </c>
      <c r="I2085" s="52">
        <v>0</v>
      </c>
      <c r="J2085" s="51">
        <v>0</v>
      </c>
      <c r="K2085" s="54">
        <v>0</v>
      </c>
      <c r="L2085" s="51">
        <v>0</v>
      </c>
      <c r="M2085" s="54">
        <v>0</v>
      </c>
      <c r="N2085" s="53">
        <f t="shared" si="64"/>
        <v>0</v>
      </c>
      <c r="O2085" s="53">
        <f t="shared" si="65"/>
        <v>0</v>
      </c>
    </row>
    <row r="2086" spans="1:15" x14ac:dyDescent="0.2">
      <c r="A2086" s="51" t="s">
        <v>3567</v>
      </c>
      <c r="B2086" s="51" t="s">
        <v>3568</v>
      </c>
      <c r="C2086" s="51" t="s">
        <v>83</v>
      </c>
      <c r="D2086" s="51" t="s">
        <v>2670</v>
      </c>
      <c r="E2086" s="51" t="s">
        <v>2669</v>
      </c>
      <c r="F2086" s="52">
        <v>22504.082299999998</v>
      </c>
      <c r="G2086" s="52">
        <v>2115</v>
      </c>
      <c r="H2086" s="52">
        <v>0</v>
      </c>
      <c r="I2086" s="52">
        <v>2115</v>
      </c>
      <c r="J2086" s="51">
        <v>1</v>
      </c>
      <c r="K2086" s="54">
        <v>5000</v>
      </c>
      <c r="L2086" s="51">
        <v>0</v>
      </c>
      <c r="M2086" s="54">
        <v>0</v>
      </c>
      <c r="N2086" s="53">
        <f t="shared" si="64"/>
        <v>5000</v>
      </c>
      <c r="O2086" s="53">
        <f t="shared" si="65"/>
        <v>-5000</v>
      </c>
    </row>
    <row r="2087" spans="1:15" x14ac:dyDescent="0.2">
      <c r="A2087" s="51" t="s">
        <v>3567</v>
      </c>
      <c r="B2087" s="51" t="s">
        <v>3568</v>
      </c>
      <c r="C2087" s="51" t="s">
        <v>66</v>
      </c>
      <c r="D2087" s="51" t="s">
        <v>4646</v>
      </c>
      <c r="E2087" s="51" t="s">
        <v>4647</v>
      </c>
      <c r="F2087" s="52">
        <v>88.859200000000001</v>
      </c>
      <c r="G2087" s="52">
        <v>0</v>
      </c>
      <c r="H2087" s="52">
        <v>0</v>
      </c>
      <c r="I2087" s="52">
        <v>0</v>
      </c>
      <c r="J2087" s="51">
        <v>0</v>
      </c>
      <c r="K2087" s="54">
        <v>0</v>
      </c>
      <c r="L2087" s="51">
        <v>0</v>
      </c>
      <c r="M2087" s="54">
        <v>0</v>
      </c>
      <c r="N2087" s="53">
        <f t="shared" si="64"/>
        <v>0</v>
      </c>
      <c r="O2087" s="53">
        <f t="shared" si="65"/>
        <v>0</v>
      </c>
    </row>
    <row r="2088" spans="1:15" x14ac:dyDescent="0.2">
      <c r="A2088" s="51" t="s">
        <v>3567</v>
      </c>
      <c r="B2088" s="51" t="s">
        <v>3568</v>
      </c>
      <c r="C2088" s="51" t="s">
        <v>57</v>
      </c>
      <c r="D2088" s="51" t="s">
        <v>2501</v>
      </c>
      <c r="E2088" s="51" t="s">
        <v>2500</v>
      </c>
      <c r="F2088" s="52">
        <v>5554.4066000000003</v>
      </c>
      <c r="G2088" s="52">
        <v>0</v>
      </c>
      <c r="H2088" s="52">
        <v>6470</v>
      </c>
      <c r="I2088" s="52">
        <v>6470</v>
      </c>
      <c r="J2088" s="51">
        <v>0</v>
      </c>
      <c r="K2088" s="54">
        <v>0</v>
      </c>
      <c r="L2088" s="51">
        <v>1</v>
      </c>
      <c r="M2088" s="54">
        <v>9000</v>
      </c>
      <c r="N2088" s="53">
        <f t="shared" si="64"/>
        <v>-9000</v>
      </c>
      <c r="O2088" s="53">
        <f t="shared" si="65"/>
        <v>9000</v>
      </c>
    </row>
    <row r="2089" spans="1:15" x14ac:dyDescent="0.2">
      <c r="A2089" s="51" t="s">
        <v>3567</v>
      </c>
      <c r="B2089" s="51" t="s">
        <v>3568</v>
      </c>
      <c r="C2089" s="51" t="s">
        <v>58</v>
      </c>
      <c r="D2089" s="51" t="s">
        <v>1533</v>
      </c>
      <c r="E2089" s="51" t="s">
        <v>1532</v>
      </c>
      <c r="F2089" s="52">
        <v>1413.4391000000001</v>
      </c>
      <c r="G2089" s="52">
        <v>0</v>
      </c>
      <c r="H2089" s="52">
        <v>4500</v>
      </c>
      <c r="I2089" s="52">
        <v>4500</v>
      </c>
      <c r="J2089" s="51">
        <v>0</v>
      </c>
      <c r="K2089" s="54">
        <v>0</v>
      </c>
      <c r="L2089" s="51">
        <v>1</v>
      </c>
      <c r="M2089" s="54">
        <v>5000</v>
      </c>
      <c r="N2089" s="53">
        <f t="shared" si="64"/>
        <v>-5000</v>
      </c>
      <c r="O2089" s="53">
        <f t="shared" si="65"/>
        <v>5000</v>
      </c>
    </row>
    <row r="2090" spans="1:15" x14ac:dyDescent="0.2">
      <c r="A2090" s="51" t="s">
        <v>3567</v>
      </c>
      <c r="B2090" s="51" t="s">
        <v>3568</v>
      </c>
      <c r="C2090" s="51" t="s">
        <v>3577</v>
      </c>
      <c r="D2090" s="51" t="s">
        <v>4642</v>
      </c>
      <c r="E2090" s="51" t="s">
        <v>4643</v>
      </c>
      <c r="F2090" s="52">
        <v>0.53680000000000005</v>
      </c>
      <c r="G2090" s="52">
        <v>0</v>
      </c>
      <c r="H2090" s="52">
        <v>0</v>
      </c>
      <c r="I2090" s="52">
        <v>0</v>
      </c>
      <c r="J2090" s="51">
        <v>0</v>
      </c>
      <c r="K2090" s="54">
        <v>0</v>
      </c>
      <c r="L2090" s="51">
        <v>0</v>
      </c>
      <c r="M2090" s="54">
        <v>0</v>
      </c>
      <c r="N2090" s="53">
        <f t="shared" si="64"/>
        <v>0</v>
      </c>
      <c r="O2090" s="53">
        <f t="shared" si="65"/>
        <v>0</v>
      </c>
    </row>
    <row r="2091" spans="1:15" x14ac:dyDescent="0.2">
      <c r="A2091" s="51" t="s">
        <v>3567</v>
      </c>
      <c r="B2091" s="51" t="s">
        <v>3568</v>
      </c>
      <c r="C2091" s="51" t="s">
        <v>67</v>
      </c>
      <c r="D2091" s="51" t="s">
        <v>1387</v>
      </c>
      <c r="E2091" s="51" t="s">
        <v>1386</v>
      </c>
      <c r="F2091" s="52">
        <v>18.764274208701728</v>
      </c>
      <c r="G2091" s="52">
        <v>0</v>
      </c>
      <c r="H2091" s="52">
        <v>0</v>
      </c>
      <c r="I2091" s="52">
        <v>0</v>
      </c>
      <c r="J2091" s="51">
        <v>0</v>
      </c>
      <c r="K2091" s="54">
        <v>0</v>
      </c>
      <c r="L2091" s="51">
        <v>0</v>
      </c>
      <c r="M2091" s="54">
        <v>0</v>
      </c>
      <c r="N2091" s="53">
        <f t="shared" si="64"/>
        <v>0</v>
      </c>
      <c r="O2091" s="53">
        <f t="shared" si="65"/>
        <v>0</v>
      </c>
    </row>
    <row r="2092" spans="1:15" x14ac:dyDescent="0.2">
      <c r="A2092" s="51" t="s">
        <v>3567</v>
      </c>
      <c r="B2092" s="51" t="s">
        <v>3568</v>
      </c>
      <c r="C2092" s="51" t="s">
        <v>3571</v>
      </c>
      <c r="D2092" s="51" t="s">
        <v>4631</v>
      </c>
      <c r="E2092" s="51" t="s">
        <v>4632</v>
      </c>
      <c r="F2092" s="52">
        <v>1421.1405069352179</v>
      </c>
      <c r="G2092" s="52">
        <v>0</v>
      </c>
      <c r="H2092" s="52">
        <v>0</v>
      </c>
      <c r="I2092" s="52">
        <v>0</v>
      </c>
      <c r="J2092" s="51">
        <v>0</v>
      </c>
      <c r="K2092" s="54">
        <v>0</v>
      </c>
      <c r="L2092" s="51">
        <v>0</v>
      </c>
      <c r="M2092" s="54">
        <v>0</v>
      </c>
      <c r="N2092" s="53">
        <f t="shared" si="64"/>
        <v>0</v>
      </c>
      <c r="O2092" s="53">
        <f t="shared" si="65"/>
        <v>0</v>
      </c>
    </row>
    <row r="2093" spans="1:15" x14ac:dyDescent="0.2">
      <c r="A2093" s="51" t="s">
        <v>3567</v>
      </c>
      <c r="B2093" s="51" t="s">
        <v>3568</v>
      </c>
      <c r="C2093" s="51" t="s">
        <v>57</v>
      </c>
      <c r="D2093" s="51" t="s">
        <v>1418</v>
      </c>
      <c r="E2093" s="51" t="s">
        <v>1417</v>
      </c>
      <c r="F2093" s="52">
        <v>39.6402</v>
      </c>
      <c r="G2093" s="52">
        <v>0</v>
      </c>
      <c r="H2093" s="52">
        <v>0</v>
      </c>
      <c r="I2093" s="52">
        <v>0</v>
      </c>
      <c r="J2093" s="51">
        <v>0</v>
      </c>
      <c r="K2093" s="54">
        <v>0</v>
      </c>
      <c r="L2093" s="51">
        <v>1</v>
      </c>
      <c r="M2093" s="54">
        <v>5000</v>
      </c>
      <c r="N2093" s="53">
        <f t="shared" si="64"/>
        <v>-5000</v>
      </c>
      <c r="O2093" s="53">
        <f t="shared" si="65"/>
        <v>5000</v>
      </c>
    </row>
    <row r="2094" spans="1:15" x14ac:dyDescent="0.2">
      <c r="A2094" s="51" t="s">
        <v>3567</v>
      </c>
      <c r="B2094" s="51" t="s">
        <v>3568</v>
      </c>
      <c r="C2094" s="51" t="s">
        <v>77</v>
      </c>
      <c r="D2094" s="51" t="s">
        <v>1260</v>
      </c>
      <c r="E2094" s="51" t="s">
        <v>1259</v>
      </c>
      <c r="F2094" s="52">
        <v>6698.1616999999997</v>
      </c>
      <c r="G2094" s="52">
        <v>59310</v>
      </c>
      <c r="H2094" s="52">
        <v>6305</v>
      </c>
      <c r="I2094" s="52">
        <v>65615</v>
      </c>
      <c r="J2094" s="51">
        <v>0</v>
      </c>
      <c r="K2094" s="54">
        <v>0</v>
      </c>
      <c r="L2094" s="51">
        <v>1</v>
      </c>
      <c r="M2094" s="54">
        <v>70000</v>
      </c>
      <c r="N2094" s="53">
        <f t="shared" si="64"/>
        <v>-70000</v>
      </c>
      <c r="O2094" s="53">
        <f t="shared" si="65"/>
        <v>70000</v>
      </c>
    </row>
    <row r="2095" spans="1:15" x14ac:dyDescent="0.2">
      <c r="A2095" s="51" t="s">
        <v>3567</v>
      </c>
      <c r="B2095" s="51" t="s">
        <v>3568</v>
      </c>
      <c r="C2095" s="51" t="s">
        <v>69</v>
      </c>
      <c r="D2095" s="51" t="s">
        <v>2962</v>
      </c>
      <c r="E2095" s="51" t="s">
        <v>2961</v>
      </c>
      <c r="F2095" s="52">
        <v>8934.4592910253305</v>
      </c>
      <c r="G2095" s="52">
        <v>320</v>
      </c>
      <c r="H2095" s="52">
        <v>16360</v>
      </c>
      <c r="I2095" s="52">
        <v>16680</v>
      </c>
      <c r="J2095" s="51">
        <v>0</v>
      </c>
      <c r="K2095" s="54">
        <v>0</v>
      </c>
      <c r="L2095" s="51">
        <v>2</v>
      </c>
      <c r="M2095" s="54">
        <v>35000</v>
      </c>
      <c r="N2095" s="53">
        <f t="shared" si="64"/>
        <v>-35000</v>
      </c>
      <c r="O2095" s="53">
        <f t="shared" si="65"/>
        <v>35000</v>
      </c>
    </row>
    <row r="2096" spans="1:15" x14ac:dyDescent="0.2">
      <c r="A2096" s="51" t="s">
        <v>3567</v>
      </c>
      <c r="B2096" s="51" t="s">
        <v>3568</v>
      </c>
      <c r="C2096" s="51" t="s">
        <v>87</v>
      </c>
      <c r="D2096" s="51" t="s">
        <v>446</v>
      </c>
      <c r="E2096" s="51" t="s">
        <v>445</v>
      </c>
      <c r="F2096" s="52">
        <v>22006.527845000001</v>
      </c>
      <c r="G2096" s="52">
        <v>4750</v>
      </c>
      <c r="H2096" s="52">
        <v>6340</v>
      </c>
      <c r="I2096" s="52">
        <v>11090</v>
      </c>
      <c r="J2096" s="51">
        <v>1</v>
      </c>
      <c r="K2096" s="54">
        <v>10000</v>
      </c>
      <c r="L2096" s="51">
        <v>0</v>
      </c>
      <c r="M2096" s="54">
        <v>0</v>
      </c>
      <c r="N2096" s="53">
        <f t="shared" si="64"/>
        <v>10000</v>
      </c>
      <c r="O2096" s="53">
        <f t="shared" si="65"/>
        <v>-10000</v>
      </c>
    </row>
    <row r="2097" spans="1:15" x14ac:dyDescent="0.2">
      <c r="A2097" s="51" t="s">
        <v>3567</v>
      </c>
      <c r="B2097" s="51" t="s">
        <v>3568</v>
      </c>
      <c r="C2097" s="51" t="s">
        <v>65</v>
      </c>
      <c r="D2097" s="51" t="s">
        <v>2666</v>
      </c>
      <c r="E2097" s="51" t="s">
        <v>2665</v>
      </c>
      <c r="F2097" s="52">
        <v>10807.0524</v>
      </c>
      <c r="G2097" s="52">
        <v>3758</v>
      </c>
      <c r="H2097" s="52">
        <v>5000</v>
      </c>
      <c r="I2097" s="52">
        <v>8758</v>
      </c>
      <c r="J2097" s="51">
        <v>0</v>
      </c>
      <c r="K2097" s="54">
        <v>0</v>
      </c>
      <c r="L2097" s="51">
        <v>1</v>
      </c>
      <c r="M2097" s="54">
        <v>30000</v>
      </c>
      <c r="N2097" s="53">
        <f t="shared" si="64"/>
        <v>-30000</v>
      </c>
      <c r="O2097" s="53">
        <f t="shared" si="65"/>
        <v>30000</v>
      </c>
    </row>
    <row r="2098" spans="1:15" x14ac:dyDescent="0.2">
      <c r="A2098" s="51" t="s">
        <v>3567</v>
      </c>
      <c r="B2098" s="51" t="s">
        <v>3568</v>
      </c>
      <c r="C2098" s="51" t="s">
        <v>75</v>
      </c>
      <c r="D2098" s="51" t="s">
        <v>4679</v>
      </c>
      <c r="E2098" s="51" t="s">
        <v>4680</v>
      </c>
      <c r="F2098" s="52">
        <v>18.793900000000001</v>
      </c>
      <c r="G2098" s="52">
        <v>0</v>
      </c>
      <c r="H2098" s="52">
        <v>0</v>
      </c>
      <c r="I2098" s="52">
        <v>0</v>
      </c>
      <c r="J2098" s="51">
        <v>0</v>
      </c>
      <c r="K2098" s="54">
        <v>0</v>
      </c>
      <c r="L2098" s="51">
        <v>0</v>
      </c>
      <c r="M2098" s="54">
        <v>0</v>
      </c>
      <c r="N2098" s="53">
        <f t="shared" si="64"/>
        <v>0</v>
      </c>
      <c r="O2098" s="53">
        <f t="shared" si="65"/>
        <v>0</v>
      </c>
    </row>
    <row r="2099" spans="1:15" x14ac:dyDescent="0.2">
      <c r="A2099" s="51" t="s">
        <v>3567</v>
      </c>
      <c r="B2099" s="51" t="s">
        <v>3568</v>
      </c>
      <c r="C2099" s="51" t="s">
        <v>67</v>
      </c>
      <c r="D2099" s="51" t="s">
        <v>1385</v>
      </c>
      <c r="E2099" s="51" t="s">
        <v>1384</v>
      </c>
      <c r="F2099" s="52">
        <v>9527.2832055527215</v>
      </c>
      <c r="G2099" s="52">
        <v>1015</v>
      </c>
      <c r="H2099" s="52">
        <v>4840</v>
      </c>
      <c r="I2099" s="52">
        <v>5855</v>
      </c>
      <c r="J2099" s="51">
        <v>1</v>
      </c>
      <c r="K2099" s="54">
        <v>2000</v>
      </c>
      <c r="L2099" s="51">
        <v>1</v>
      </c>
      <c r="M2099" s="54">
        <v>10000</v>
      </c>
      <c r="N2099" s="53">
        <f t="shared" si="64"/>
        <v>-8000</v>
      </c>
      <c r="O2099" s="53">
        <f t="shared" si="65"/>
        <v>8000</v>
      </c>
    </row>
    <row r="2100" spans="1:15" x14ac:dyDescent="0.2">
      <c r="A2100" s="51" t="s">
        <v>3567</v>
      </c>
      <c r="B2100" s="51" t="s">
        <v>3568</v>
      </c>
      <c r="C2100" s="51" t="s">
        <v>93</v>
      </c>
      <c r="D2100" s="51" t="s">
        <v>1094</v>
      </c>
      <c r="E2100" s="51" t="s">
        <v>1093</v>
      </c>
      <c r="F2100" s="52">
        <v>12243.777237212929</v>
      </c>
      <c r="G2100" s="52">
        <v>17950</v>
      </c>
      <c r="H2100" s="52">
        <v>48455</v>
      </c>
      <c r="I2100" s="52">
        <v>66405</v>
      </c>
      <c r="J2100" s="51">
        <v>0</v>
      </c>
      <c r="K2100" s="54">
        <v>0</v>
      </c>
      <c r="L2100" s="51">
        <v>2</v>
      </c>
      <c r="M2100" s="54">
        <v>60000</v>
      </c>
      <c r="N2100" s="53">
        <f t="shared" si="64"/>
        <v>-60000</v>
      </c>
      <c r="O2100" s="53">
        <f t="shared" si="65"/>
        <v>60000</v>
      </c>
    </row>
    <row r="2101" spans="1:15" x14ac:dyDescent="0.2">
      <c r="A2101" s="51" t="s">
        <v>3567</v>
      </c>
      <c r="B2101" s="51" t="s">
        <v>3568</v>
      </c>
      <c r="C2101" s="51" t="s">
        <v>78</v>
      </c>
      <c r="D2101" s="51" t="s">
        <v>990</v>
      </c>
      <c r="E2101" s="51" t="s">
        <v>989</v>
      </c>
      <c r="F2101" s="52">
        <v>8.0106999999999999</v>
      </c>
      <c r="G2101" s="52">
        <v>0</v>
      </c>
      <c r="H2101" s="52">
        <v>2700</v>
      </c>
      <c r="I2101" s="52">
        <v>2700</v>
      </c>
      <c r="J2101" s="51">
        <v>0</v>
      </c>
      <c r="K2101" s="54">
        <v>0</v>
      </c>
      <c r="L2101" s="51">
        <v>1</v>
      </c>
      <c r="M2101" s="54">
        <v>5000</v>
      </c>
      <c r="N2101" s="53">
        <f t="shared" si="64"/>
        <v>-5000</v>
      </c>
      <c r="O2101" s="53">
        <f t="shared" si="65"/>
        <v>5000</v>
      </c>
    </row>
    <row r="2102" spans="1:15" x14ac:dyDescent="0.2">
      <c r="A2102" s="51" t="s">
        <v>3567</v>
      </c>
      <c r="B2102" s="51" t="s">
        <v>3568</v>
      </c>
      <c r="C2102" s="51" t="s">
        <v>83</v>
      </c>
      <c r="D2102" s="51" t="s">
        <v>4654</v>
      </c>
      <c r="E2102" s="51" t="s">
        <v>4655</v>
      </c>
      <c r="F2102" s="52">
        <v>1.445285598067954</v>
      </c>
      <c r="G2102" s="52">
        <v>0</v>
      </c>
      <c r="H2102" s="52">
        <v>0</v>
      </c>
      <c r="I2102" s="52">
        <v>0</v>
      </c>
      <c r="J2102" s="51">
        <v>0</v>
      </c>
      <c r="K2102" s="54">
        <v>0</v>
      </c>
      <c r="L2102" s="51">
        <v>0</v>
      </c>
      <c r="M2102" s="54">
        <v>0</v>
      </c>
      <c r="N2102" s="53">
        <f t="shared" si="64"/>
        <v>0</v>
      </c>
      <c r="O2102" s="53">
        <f t="shared" si="65"/>
        <v>0</v>
      </c>
    </row>
    <row r="2103" spans="1:15" x14ac:dyDescent="0.2">
      <c r="A2103" s="51" t="s">
        <v>3567</v>
      </c>
      <c r="B2103" s="51" t="s">
        <v>3568</v>
      </c>
      <c r="C2103" s="51" t="s">
        <v>62</v>
      </c>
      <c r="D2103" s="51" t="s">
        <v>2273</v>
      </c>
      <c r="E2103" s="51" t="s">
        <v>2272</v>
      </c>
      <c r="F2103" s="52">
        <v>6333.0167363653036</v>
      </c>
      <c r="G2103" s="52">
        <v>0</v>
      </c>
      <c r="H2103" s="52">
        <v>11000</v>
      </c>
      <c r="I2103" s="52">
        <v>11000</v>
      </c>
      <c r="J2103" s="51">
        <v>0</v>
      </c>
      <c r="K2103" s="54">
        <v>0</v>
      </c>
      <c r="L2103" s="51">
        <v>1</v>
      </c>
      <c r="M2103" s="54">
        <v>15000</v>
      </c>
      <c r="N2103" s="53">
        <f t="shared" si="64"/>
        <v>-15000</v>
      </c>
      <c r="O2103" s="53">
        <f t="shared" si="65"/>
        <v>15000</v>
      </c>
    </row>
    <row r="2104" spans="1:15" x14ac:dyDescent="0.2">
      <c r="A2104" s="51" t="s">
        <v>3567</v>
      </c>
      <c r="B2104" s="51" t="s">
        <v>3568</v>
      </c>
      <c r="C2104" s="51" t="s">
        <v>67</v>
      </c>
      <c r="D2104" s="51" t="s">
        <v>4664</v>
      </c>
      <c r="E2104" s="51" t="s">
        <v>4665</v>
      </c>
      <c r="F2104" s="52">
        <v>6.0918000000000001</v>
      </c>
      <c r="G2104" s="52">
        <v>0</v>
      </c>
      <c r="H2104" s="52">
        <v>0</v>
      </c>
      <c r="I2104" s="52">
        <v>0</v>
      </c>
      <c r="J2104" s="51">
        <v>0</v>
      </c>
      <c r="K2104" s="54">
        <v>0</v>
      </c>
      <c r="L2104" s="51">
        <v>0</v>
      </c>
      <c r="M2104" s="54">
        <v>0</v>
      </c>
      <c r="N2104" s="53">
        <f t="shared" si="64"/>
        <v>0</v>
      </c>
      <c r="O2104" s="53">
        <f t="shared" si="65"/>
        <v>0</v>
      </c>
    </row>
    <row r="2105" spans="1:15" x14ac:dyDescent="0.2">
      <c r="A2105" s="51" t="s">
        <v>3567</v>
      </c>
      <c r="B2105" s="51" t="s">
        <v>3568</v>
      </c>
      <c r="C2105" s="51" t="s">
        <v>57</v>
      </c>
      <c r="D2105" s="51" t="s">
        <v>958</v>
      </c>
      <c r="E2105" s="51" t="s">
        <v>957</v>
      </c>
      <c r="F2105" s="52">
        <v>125.537531327834</v>
      </c>
      <c r="G2105" s="52">
        <v>5120</v>
      </c>
      <c r="H2105" s="52">
        <v>8775</v>
      </c>
      <c r="I2105" s="52">
        <v>13895</v>
      </c>
      <c r="J2105" s="51">
        <v>0</v>
      </c>
      <c r="K2105" s="54">
        <v>0</v>
      </c>
      <c r="L2105" s="51">
        <v>1</v>
      </c>
      <c r="M2105" s="54">
        <v>5000</v>
      </c>
      <c r="N2105" s="53">
        <f t="shared" si="64"/>
        <v>-5000</v>
      </c>
      <c r="O2105" s="53">
        <f t="shared" si="65"/>
        <v>5000</v>
      </c>
    </row>
    <row r="2106" spans="1:15" x14ac:dyDescent="0.2">
      <c r="A2106" s="51" t="s">
        <v>3567</v>
      </c>
      <c r="B2106" s="51" t="s">
        <v>3568</v>
      </c>
      <c r="C2106" s="51" t="s">
        <v>56</v>
      </c>
      <c r="D2106" s="51" t="s">
        <v>1503</v>
      </c>
      <c r="E2106" s="51" t="s">
        <v>119</v>
      </c>
      <c r="F2106" s="52">
        <v>30894.493443478299</v>
      </c>
      <c r="G2106" s="52">
        <v>23270</v>
      </c>
      <c r="H2106" s="52">
        <v>13290</v>
      </c>
      <c r="I2106" s="52">
        <v>36560</v>
      </c>
      <c r="J2106" s="51">
        <v>2</v>
      </c>
      <c r="K2106" s="54">
        <v>40000</v>
      </c>
      <c r="L2106" s="51">
        <v>0</v>
      </c>
      <c r="M2106" s="54">
        <v>0</v>
      </c>
      <c r="N2106" s="53">
        <f t="shared" si="64"/>
        <v>40000</v>
      </c>
      <c r="O2106" s="53">
        <f t="shared" si="65"/>
        <v>-40000</v>
      </c>
    </row>
    <row r="2107" spans="1:15" x14ac:dyDescent="0.2">
      <c r="A2107" s="51" t="s">
        <v>3567</v>
      </c>
      <c r="B2107" s="51" t="s">
        <v>3568</v>
      </c>
      <c r="C2107" s="51" t="s">
        <v>80</v>
      </c>
      <c r="D2107" s="51" t="s">
        <v>2612</v>
      </c>
      <c r="E2107" s="51" t="s">
        <v>2611</v>
      </c>
      <c r="F2107" s="52">
        <v>4262.5659999999998</v>
      </c>
      <c r="G2107" s="52">
        <v>42500</v>
      </c>
      <c r="H2107" s="52">
        <v>28480</v>
      </c>
      <c r="I2107" s="52">
        <v>70980</v>
      </c>
      <c r="J2107" s="51">
        <v>0</v>
      </c>
      <c r="K2107" s="54">
        <v>0</v>
      </c>
      <c r="L2107" s="51">
        <v>1</v>
      </c>
      <c r="M2107" s="54">
        <v>6000</v>
      </c>
      <c r="N2107" s="53">
        <f t="shared" si="64"/>
        <v>-6000</v>
      </c>
      <c r="O2107" s="53">
        <f t="shared" si="65"/>
        <v>6000</v>
      </c>
    </row>
    <row r="2108" spans="1:15" x14ac:dyDescent="0.2">
      <c r="A2108" s="51" t="s">
        <v>3567</v>
      </c>
      <c r="B2108" s="51" t="s">
        <v>3568</v>
      </c>
      <c r="C2108" s="51" t="s">
        <v>60</v>
      </c>
      <c r="D2108" s="51" t="s">
        <v>2416</v>
      </c>
      <c r="E2108" s="51" t="s">
        <v>2415</v>
      </c>
      <c r="F2108" s="52">
        <v>4267.7091297178285</v>
      </c>
      <c r="G2108" s="52">
        <v>2320</v>
      </c>
      <c r="H2108" s="52">
        <v>1500</v>
      </c>
      <c r="I2108" s="52">
        <v>3820</v>
      </c>
      <c r="J2108" s="51">
        <v>1</v>
      </c>
      <c r="K2108" s="54">
        <v>5000</v>
      </c>
      <c r="L2108" s="51">
        <v>0</v>
      </c>
      <c r="M2108" s="54">
        <v>0</v>
      </c>
      <c r="N2108" s="53">
        <f t="shared" si="64"/>
        <v>5000</v>
      </c>
      <c r="O2108" s="53">
        <f t="shared" si="65"/>
        <v>-5000</v>
      </c>
    </row>
    <row r="2109" spans="1:15" x14ac:dyDescent="0.2">
      <c r="A2109" s="51" t="s">
        <v>3567</v>
      </c>
      <c r="B2109" s="51" t="s">
        <v>3568</v>
      </c>
      <c r="C2109" s="51" t="s">
        <v>75</v>
      </c>
      <c r="D2109" s="51" t="s">
        <v>1802</v>
      </c>
      <c r="E2109" s="51" t="s">
        <v>1801</v>
      </c>
      <c r="F2109" s="52">
        <v>21890.537400000001</v>
      </c>
      <c r="G2109" s="52">
        <v>15067</v>
      </c>
      <c r="H2109" s="52">
        <v>15230</v>
      </c>
      <c r="I2109" s="52">
        <v>30297</v>
      </c>
      <c r="J2109" s="51">
        <v>0</v>
      </c>
      <c r="K2109" s="54">
        <v>0</v>
      </c>
      <c r="L2109" s="51">
        <v>1</v>
      </c>
      <c r="M2109" s="54">
        <v>6000</v>
      </c>
      <c r="N2109" s="53">
        <f t="shared" si="64"/>
        <v>-6000</v>
      </c>
      <c r="O2109" s="53">
        <f t="shared" si="65"/>
        <v>6000</v>
      </c>
    </row>
    <row r="2110" spans="1:15" x14ac:dyDescent="0.2">
      <c r="A2110" s="51" t="s">
        <v>3567</v>
      </c>
      <c r="B2110" s="51" t="s">
        <v>3568</v>
      </c>
      <c r="C2110" s="51" t="s">
        <v>3707</v>
      </c>
      <c r="D2110" s="51" t="s">
        <v>4690</v>
      </c>
      <c r="E2110" s="51" t="s">
        <v>2916</v>
      </c>
      <c r="F2110" s="52">
        <v>0.64615671741429082</v>
      </c>
      <c r="G2110" s="52">
        <v>0</v>
      </c>
      <c r="H2110" s="52">
        <v>0</v>
      </c>
      <c r="I2110" s="52">
        <v>0</v>
      </c>
      <c r="J2110" s="51">
        <v>0</v>
      </c>
      <c r="K2110" s="54">
        <v>0</v>
      </c>
      <c r="L2110" s="51">
        <v>0</v>
      </c>
      <c r="M2110" s="54">
        <v>0</v>
      </c>
      <c r="N2110" s="53">
        <f t="shared" si="64"/>
        <v>0</v>
      </c>
      <c r="O2110" s="53">
        <f t="shared" si="65"/>
        <v>0</v>
      </c>
    </row>
    <row r="2111" spans="1:15" x14ac:dyDescent="0.2">
      <c r="A2111" s="51" t="s">
        <v>3567</v>
      </c>
      <c r="B2111" s="51" t="s">
        <v>3568</v>
      </c>
      <c r="C2111" s="51" t="s">
        <v>68</v>
      </c>
      <c r="D2111" s="51" t="s">
        <v>396</v>
      </c>
      <c r="E2111" s="51" t="s">
        <v>395</v>
      </c>
      <c r="F2111" s="52">
        <v>14157.92020818842</v>
      </c>
      <c r="G2111" s="52">
        <v>3350</v>
      </c>
      <c r="H2111" s="52">
        <v>19610</v>
      </c>
      <c r="I2111" s="52">
        <v>22960</v>
      </c>
      <c r="J2111" s="51">
        <v>1</v>
      </c>
      <c r="K2111" s="54">
        <v>5000</v>
      </c>
      <c r="L2111" s="51">
        <v>1</v>
      </c>
      <c r="M2111" s="54">
        <v>10000</v>
      </c>
      <c r="N2111" s="53">
        <f t="shared" si="64"/>
        <v>-5000</v>
      </c>
      <c r="O2111" s="53">
        <f t="shared" si="65"/>
        <v>5000</v>
      </c>
    </row>
    <row r="2112" spans="1:15" x14ac:dyDescent="0.2">
      <c r="A2112" s="51" t="s">
        <v>3567</v>
      </c>
      <c r="B2112" s="51" t="s">
        <v>3568</v>
      </c>
      <c r="C2112" s="51" t="s">
        <v>64</v>
      </c>
      <c r="D2112" s="51" t="s">
        <v>1389</v>
      </c>
      <c r="E2112" s="51" t="s">
        <v>1388</v>
      </c>
      <c r="F2112" s="52">
        <v>1.8130999999999999</v>
      </c>
      <c r="G2112" s="52">
        <v>0</v>
      </c>
      <c r="H2112" s="52">
        <v>0</v>
      </c>
      <c r="I2112" s="52">
        <v>0</v>
      </c>
      <c r="J2112" s="51">
        <v>0</v>
      </c>
      <c r="K2112" s="54">
        <v>0</v>
      </c>
      <c r="L2112" s="51">
        <v>0</v>
      </c>
      <c r="M2112" s="54">
        <v>0</v>
      </c>
      <c r="N2112" s="53">
        <f t="shared" si="64"/>
        <v>0</v>
      </c>
      <c r="O2112" s="53">
        <f t="shared" si="65"/>
        <v>0</v>
      </c>
    </row>
    <row r="2113" spans="1:15" x14ac:dyDescent="0.2">
      <c r="A2113" s="51" t="s">
        <v>3567</v>
      </c>
      <c r="B2113" s="51" t="s">
        <v>3568</v>
      </c>
      <c r="C2113" s="51" t="s">
        <v>60</v>
      </c>
      <c r="D2113" s="51" t="s">
        <v>4672</v>
      </c>
      <c r="E2113" s="51" t="s">
        <v>4673</v>
      </c>
      <c r="F2113" s="52">
        <v>7.3416949223546428</v>
      </c>
      <c r="G2113" s="52">
        <v>0</v>
      </c>
      <c r="H2113" s="52">
        <v>0</v>
      </c>
      <c r="I2113" s="52">
        <v>0</v>
      </c>
      <c r="J2113" s="51">
        <v>0</v>
      </c>
      <c r="K2113" s="54">
        <v>0</v>
      </c>
      <c r="L2113" s="51">
        <v>0</v>
      </c>
      <c r="M2113" s="54">
        <v>0</v>
      </c>
      <c r="N2113" s="53">
        <f t="shared" si="64"/>
        <v>0</v>
      </c>
      <c r="O2113" s="53">
        <f t="shared" si="65"/>
        <v>0</v>
      </c>
    </row>
    <row r="2114" spans="1:15" x14ac:dyDescent="0.2">
      <c r="A2114" s="51" t="s">
        <v>3567</v>
      </c>
      <c r="B2114" s="51" t="s">
        <v>3568</v>
      </c>
      <c r="C2114" s="51" t="s">
        <v>92</v>
      </c>
      <c r="D2114" s="51" t="s">
        <v>1920</v>
      </c>
      <c r="E2114" s="51" t="s">
        <v>1919</v>
      </c>
      <c r="F2114" s="52">
        <v>17.64108641185269</v>
      </c>
      <c r="G2114" s="52">
        <v>1000</v>
      </c>
      <c r="H2114" s="52">
        <v>1000</v>
      </c>
      <c r="I2114" s="52">
        <v>2000</v>
      </c>
      <c r="J2114" s="51">
        <v>0</v>
      </c>
      <c r="K2114" s="54">
        <v>0</v>
      </c>
      <c r="L2114" s="51">
        <v>0</v>
      </c>
      <c r="M2114" s="54">
        <v>0</v>
      </c>
      <c r="N2114" s="53">
        <f t="shared" si="64"/>
        <v>0</v>
      </c>
      <c r="O2114" s="53">
        <f t="shared" si="65"/>
        <v>0</v>
      </c>
    </row>
    <row r="2115" spans="1:15" x14ac:dyDescent="0.2">
      <c r="A2115" s="51" t="s">
        <v>3567</v>
      </c>
      <c r="B2115" s="51" t="s">
        <v>3568</v>
      </c>
      <c r="C2115" s="51" t="s">
        <v>61</v>
      </c>
      <c r="D2115" s="51" t="s">
        <v>1320</v>
      </c>
      <c r="E2115" s="51" t="s">
        <v>1319</v>
      </c>
      <c r="F2115" s="52">
        <v>789.55443156614228</v>
      </c>
      <c r="G2115" s="52">
        <v>13520</v>
      </c>
      <c r="H2115" s="52">
        <v>6120</v>
      </c>
      <c r="I2115" s="52">
        <v>19640</v>
      </c>
      <c r="J2115" s="51">
        <v>1</v>
      </c>
      <c r="K2115" s="54">
        <v>15000</v>
      </c>
      <c r="L2115" s="51">
        <v>0</v>
      </c>
      <c r="M2115" s="54">
        <v>0</v>
      </c>
      <c r="N2115" s="53">
        <f t="shared" ref="N2115:N2178" si="66">K2115-M2115</f>
        <v>15000</v>
      </c>
      <c r="O2115" s="53">
        <f t="shared" ref="O2115:O2178" si="67">M2115-K2115</f>
        <v>-15000</v>
      </c>
    </row>
    <row r="2116" spans="1:15" x14ac:dyDescent="0.2">
      <c r="A2116" s="51" t="s">
        <v>3567</v>
      </c>
      <c r="B2116" s="51" t="s">
        <v>3568</v>
      </c>
      <c r="C2116" s="51" t="s">
        <v>3630</v>
      </c>
      <c r="D2116" s="51" t="s">
        <v>4676</v>
      </c>
      <c r="E2116" s="51" t="s">
        <v>4677</v>
      </c>
      <c r="F2116" s="52">
        <v>21.422954225800002</v>
      </c>
      <c r="G2116" s="52">
        <v>0</v>
      </c>
      <c r="H2116" s="52">
        <v>0</v>
      </c>
      <c r="I2116" s="52">
        <v>0</v>
      </c>
      <c r="J2116" s="51">
        <v>0</v>
      </c>
      <c r="K2116" s="54">
        <v>0</v>
      </c>
      <c r="L2116" s="51">
        <v>0</v>
      </c>
      <c r="M2116" s="54">
        <v>0</v>
      </c>
      <c r="N2116" s="53">
        <f t="shared" si="66"/>
        <v>0</v>
      </c>
      <c r="O2116" s="53">
        <f t="shared" si="67"/>
        <v>0</v>
      </c>
    </row>
    <row r="2117" spans="1:15" x14ac:dyDescent="0.2">
      <c r="A2117" s="51" t="s">
        <v>3567</v>
      </c>
      <c r="B2117" s="51" t="s">
        <v>3568</v>
      </c>
      <c r="C2117" s="51" t="s">
        <v>75</v>
      </c>
      <c r="D2117" s="51" t="s">
        <v>3130</v>
      </c>
      <c r="E2117" s="51" t="s">
        <v>3129</v>
      </c>
      <c r="F2117" s="52">
        <v>53963.067249360727</v>
      </c>
      <c r="G2117" s="52">
        <v>13780</v>
      </c>
      <c r="H2117" s="52">
        <v>9350</v>
      </c>
      <c r="I2117" s="52">
        <v>23130</v>
      </c>
      <c r="J2117" s="51">
        <v>1</v>
      </c>
      <c r="K2117" s="54">
        <v>5000</v>
      </c>
      <c r="L2117" s="51">
        <v>1</v>
      </c>
      <c r="M2117" s="54">
        <v>25000</v>
      </c>
      <c r="N2117" s="53">
        <f t="shared" si="66"/>
        <v>-20000</v>
      </c>
      <c r="O2117" s="53">
        <f t="shared" si="67"/>
        <v>20000</v>
      </c>
    </row>
    <row r="2118" spans="1:15" x14ac:dyDescent="0.2">
      <c r="A2118" s="51" t="s">
        <v>3567</v>
      </c>
      <c r="B2118" s="51" t="s">
        <v>3568</v>
      </c>
      <c r="C2118" s="51" t="s">
        <v>63</v>
      </c>
      <c r="D2118" s="51" t="s">
        <v>3200</v>
      </c>
      <c r="E2118" s="51" t="s">
        <v>3199</v>
      </c>
      <c r="F2118" s="52">
        <v>10642.605946062649</v>
      </c>
      <c r="G2118" s="52">
        <v>3490</v>
      </c>
      <c r="H2118" s="52">
        <v>12770</v>
      </c>
      <c r="I2118" s="52">
        <v>16260</v>
      </c>
      <c r="J2118" s="51">
        <v>0</v>
      </c>
      <c r="K2118" s="54">
        <v>0</v>
      </c>
      <c r="L2118" s="51">
        <v>1</v>
      </c>
      <c r="M2118" s="54">
        <v>10000</v>
      </c>
      <c r="N2118" s="53">
        <f t="shared" si="66"/>
        <v>-10000</v>
      </c>
      <c r="O2118" s="53">
        <f t="shared" si="67"/>
        <v>10000</v>
      </c>
    </row>
    <row r="2119" spans="1:15" x14ac:dyDescent="0.2">
      <c r="A2119" s="51" t="s">
        <v>3567</v>
      </c>
      <c r="B2119" s="51" t="s">
        <v>3568</v>
      </c>
      <c r="C2119" s="51" t="s">
        <v>61</v>
      </c>
      <c r="D2119" s="51" t="s">
        <v>2957</v>
      </c>
      <c r="E2119" s="51" t="s">
        <v>2956</v>
      </c>
      <c r="F2119" s="52">
        <v>287.50319999999999</v>
      </c>
      <c r="G2119" s="52">
        <v>8972</v>
      </c>
      <c r="H2119" s="52">
        <v>0</v>
      </c>
      <c r="I2119" s="52">
        <v>8972</v>
      </c>
      <c r="J2119" s="51">
        <v>1</v>
      </c>
      <c r="K2119" s="54">
        <v>5000</v>
      </c>
      <c r="L2119" s="51">
        <v>0</v>
      </c>
      <c r="M2119" s="54">
        <v>0</v>
      </c>
      <c r="N2119" s="53">
        <f t="shared" si="66"/>
        <v>5000</v>
      </c>
      <c r="O2119" s="53">
        <f t="shared" si="67"/>
        <v>-5000</v>
      </c>
    </row>
    <row r="2120" spans="1:15" x14ac:dyDescent="0.2">
      <c r="A2120" s="51" t="s">
        <v>3567</v>
      </c>
      <c r="B2120" s="51" t="s">
        <v>3568</v>
      </c>
      <c r="C2120" s="51" t="s">
        <v>54</v>
      </c>
      <c r="D2120" s="51" t="s">
        <v>176</v>
      </c>
      <c r="E2120" s="51" t="s">
        <v>175</v>
      </c>
      <c r="F2120" s="52">
        <v>8567.5679999999993</v>
      </c>
      <c r="G2120" s="52">
        <v>0</v>
      </c>
      <c r="H2120" s="52">
        <v>2600</v>
      </c>
      <c r="I2120" s="52">
        <v>2600</v>
      </c>
      <c r="J2120" s="51">
        <v>1</v>
      </c>
      <c r="K2120" s="54">
        <v>5000</v>
      </c>
      <c r="L2120" s="51">
        <v>0</v>
      </c>
      <c r="M2120" s="54">
        <v>0</v>
      </c>
      <c r="N2120" s="53">
        <f t="shared" si="66"/>
        <v>5000</v>
      </c>
      <c r="O2120" s="53">
        <f t="shared" si="67"/>
        <v>-5000</v>
      </c>
    </row>
    <row r="2121" spans="1:15" x14ac:dyDescent="0.2">
      <c r="A2121" s="51" t="s">
        <v>3567</v>
      </c>
      <c r="B2121" s="51" t="s">
        <v>3568</v>
      </c>
      <c r="C2121" s="51" t="s">
        <v>72</v>
      </c>
      <c r="D2121" s="51" t="s">
        <v>2897</v>
      </c>
      <c r="E2121" s="51" t="s">
        <v>2896</v>
      </c>
      <c r="F2121" s="52">
        <v>56.488700000000001</v>
      </c>
      <c r="G2121" s="52">
        <v>6065</v>
      </c>
      <c r="H2121" s="52">
        <v>1000</v>
      </c>
      <c r="I2121" s="52">
        <v>7065</v>
      </c>
      <c r="J2121" s="51">
        <v>1</v>
      </c>
      <c r="K2121" s="54">
        <v>5000</v>
      </c>
      <c r="L2121" s="51">
        <v>0</v>
      </c>
      <c r="M2121" s="54">
        <v>0</v>
      </c>
      <c r="N2121" s="53">
        <f t="shared" si="66"/>
        <v>5000</v>
      </c>
      <c r="O2121" s="53">
        <f t="shared" si="67"/>
        <v>-5000</v>
      </c>
    </row>
    <row r="2122" spans="1:15" x14ac:dyDescent="0.2">
      <c r="A2122" s="51" t="s">
        <v>3567</v>
      </c>
      <c r="B2122" s="51" t="s">
        <v>3568</v>
      </c>
      <c r="C2122" s="51" t="s">
        <v>70</v>
      </c>
      <c r="D2122" s="51" t="s">
        <v>3212</v>
      </c>
      <c r="E2122" s="51" t="s">
        <v>3211</v>
      </c>
      <c r="F2122" s="52">
        <v>8628.6963700389679</v>
      </c>
      <c r="G2122" s="52">
        <v>2660</v>
      </c>
      <c r="H2122" s="52">
        <v>5500</v>
      </c>
      <c r="I2122" s="52">
        <v>8160</v>
      </c>
      <c r="J2122" s="51">
        <v>1</v>
      </c>
      <c r="K2122" s="54">
        <v>5000</v>
      </c>
      <c r="L2122" s="51">
        <v>1</v>
      </c>
      <c r="M2122" s="54">
        <v>15000</v>
      </c>
      <c r="N2122" s="53">
        <f t="shared" si="66"/>
        <v>-10000</v>
      </c>
      <c r="O2122" s="53">
        <f t="shared" si="67"/>
        <v>10000</v>
      </c>
    </row>
    <row r="2123" spans="1:15" x14ac:dyDescent="0.2">
      <c r="A2123" s="51" t="s">
        <v>3567</v>
      </c>
      <c r="B2123" s="51" t="s">
        <v>3568</v>
      </c>
      <c r="C2123" s="51" t="s">
        <v>55</v>
      </c>
      <c r="D2123" s="51" t="s">
        <v>1942</v>
      </c>
      <c r="E2123" s="51" t="s">
        <v>1941</v>
      </c>
      <c r="F2123" s="52">
        <v>111.6954864969517</v>
      </c>
      <c r="G2123" s="52">
        <v>3800</v>
      </c>
      <c r="H2123" s="52">
        <v>7520</v>
      </c>
      <c r="I2123" s="52">
        <v>11320</v>
      </c>
      <c r="J2123" s="51">
        <v>0</v>
      </c>
      <c r="K2123" s="54">
        <v>0</v>
      </c>
      <c r="L2123" s="51">
        <v>1</v>
      </c>
      <c r="M2123" s="54">
        <v>5000</v>
      </c>
      <c r="N2123" s="53">
        <f t="shared" si="66"/>
        <v>-5000</v>
      </c>
      <c r="O2123" s="53">
        <f t="shared" si="67"/>
        <v>5000</v>
      </c>
    </row>
    <row r="2124" spans="1:15" x14ac:dyDescent="0.2">
      <c r="A2124" s="51" t="s">
        <v>3567</v>
      </c>
      <c r="B2124" s="51" t="s">
        <v>3568</v>
      </c>
      <c r="C2124" s="51" t="s">
        <v>77</v>
      </c>
      <c r="D2124" s="51" t="s">
        <v>1250</v>
      </c>
      <c r="E2124" s="51" t="s">
        <v>1249</v>
      </c>
      <c r="F2124" s="52">
        <v>67.940296165026012</v>
      </c>
      <c r="G2124" s="52">
        <v>0</v>
      </c>
      <c r="H2124" s="52">
        <v>0</v>
      </c>
      <c r="I2124" s="52">
        <v>0</v>
      </c>
      <c r="J2124" s="51">
        <v>0</v>
      </c>
      <c r="K2124" s="54">
        <v>0</v>
      </c>
      <c r="L2124" s="51">
        <v>0</v>
      </c>
      <c r="M2124" s="54">
        <v>0</v>
      </c>
      <c r="N2124" s="53">
        <f t="shared" si="66"/>
        <v>0</v>
      </c>
      <c r="O2124" s="53">
        <f t="shared" si="67"/>
        <v>0</v>
      </c>
    </row>
    <row r="2125" spans="1:15" x14ac:dyDescent="0.2">
      <c r="A2125" s="51" t="s">
        <v>3567</v>
      </c>
      <c r="B2125" s="51" t="s">
        <v>3568</v>
      </c>
      <c r="C2125" s="51" t="s">
        <v>73</v>
      </c>
      <c r="D2125" s="51" t="s">
        <v>4691</v>
      </c>
      <c r="E2125" s="51" t="s">
        <v>1373</v>
      </c>
      <c r="F2125" s="52">
        <v>89.491299999999995</v>
      </c>
      <c r="G2125" s="52">
        <v>0</v>
      </c>
      <c r="H2125" s="52">
        <v>0</v>
      </c>
      <c r="I2125" s="52">
        <v>0</v>
      </c>
      <c r="J2125" s="51">
        <v>0</v>
      </c>
      <c r="K2125" s="54">
        <v>0</v>
      </c>
      <c r="L2125" s="51">
        <v>0</v>
      </c>
      <c r="M2125" s="54">
        <v>0</v>
      </c>
      <c r="N2125" s="53">
        <f t="shared" si="66"/>
        <v>0</v>
      </c>
      <c r="O2125" s="53">
        <f t="shared" si="67"/>
        <v>0</v>
      </c>
    </row>
    <row r="2126" spans="1:15" x14ac:dyDescent="0.2">
      <c r="A2126" s="51" t="s">
        <v>3567</v>
      </c>
      <c r="B2126" s="51" t="s">
        <v>3568</v>
      </c>
      <c r="C2126" s="51" t="s">
        <v>55</v>
      </c>
      <c r="D2126" s="51" t="s">
        <v>178</v>
      </c>
      <c r="E2126" s="51" t="s">
        <v>177</v>
      </c>
      <c r="F2126" s="52">
        <v>138.08396642759149</v>
      </c>
      <c r="G2126" s="52">
        <v>910</v>
      </c>
      <c r="H2126" s="52">
        <v>500</v>
      </c>
      <c r="I2126" s="52">
        <v>1410</v>
      </c>
      <c r="J2126" s="51">
        <v>0</v>
      </c>
      <c r="K2126" s="54">
        <v>0</v>
      </c>
      <c r="L2126" s="51">
        <v>1</v>
      </c>
      <c r="M2126" s="54">
        <v>5000</v>
      </c>
      <c r="N2126" s="53">
        <f t="shared" si="66"/>
        <v>-5000</v>
      </c>
      <c r="O2126" s="53">
        <f t="shared" si="67"/>
        <v>5000</v>
      </c>
    </row>
    <row r="2127" spans="1:15" x14ac:dyDescent="0.2">
      <c r="A2127" s="51" t="s">
        <v>3567</v>
      </c>
      <c r="B2127" s="51" t="s">
        <v>3568</v>
      </c>
      <c r="C2127" s="51" t="s">
        <v>75</v>
      </c>
      <c r="D2127" s="51" t="s">
        <v>3186</v>
      </c>
      <c r="E2127" s="51" t="s">
        <v>3185</v>
      </c>
      <c r="F2127" s="52">
        <v>3043.0527280972879</v>
      </c>
      <c r="G2127" s="52">
        <v>10760</v>
      </c>
      <c r="H2127" s="52">
        <v>6420</v>
      </c>
      <c r="I2127" s="52">
        <v>17180</v>
      </c>
      <c r="J2127" s="51">
        <v>0</v>
      </c>
      <c r="K2127" s="54">
        <v>0</v>
      </c>
      <c r="L2127" s="51">
        <v>1</v>
      </c>
      <c r="M2127" s="54">
        <v>15000</v>
      </c>
      <c r="N2127" s="53">
        <f t="shared" si="66"/>
        <v>-15000</v>
      </c>
      <c r="O2127" s="53">
        <f t="shared" si="67"/>
        <v>15000</v>
      </c>
    </row>
    <row r="2128" spans="1:15" x14ac:dyDescent="0.2">
      <c r="A2128" s="51" t="s">
        <v>3567</v>
      </c>
      <c r="B2128" s="51" t="s">
        <v>3568</v>
      </c>
      <c r="C2128" s="51" t="s">
        <v>59</v>
      </c>
      <c r="D2128" s="51" t="s">
        <v>1016</v>
      </c>
      <c r="E2128" s="51" t="s">
        <v>1015</v>
      </c>
      <c r="F2128" s="52">
        <v>751.20790636075424</v>
      </c>
      <c r="G2128" s="52">
        <v>6510</v>
      </c>
      <c r="H2128" s="52">
        <v>2120</v>
      </c>
      <c r="I2128" s="52">
        <v>8630</v>
      </c>
      <c r="J2128" s="51">
        <v>1</v>
      </c>
      <c r="K2128" s="54">
        <v>5000</v>
      </c>
      <c r="L2128" s="51">
        <v>0</v>
      </c>
      <c r="M2128" s="54">
        <v>0</v>
      </c>
      <c r="N2128" s="53">
        <f t="shared" si="66"/>
        <v>5000</v>
      </c>
      <c r="O2128" s="53">
        <f t="shared" si="67"/>
        <v>-5000</v>
      </c>
    </row>
    <row r="2129" spans="1:15" x14ac:dyDescent="0.2">
      <c r="A2129" s="51" t="s">
        <v>3567</v>
      </c>
      <c r="B2129" s="51" t="s">
        <v>3568</v>
      </c>
      <c r="C2129" s="51" t="s">
        <v>82</v>
      </c>
      <c r="D2129" s="51" t="s">
        <v>3436</v>
      </c>
      <c r="E2129" s="51" t="s">
        <v>3435</v>
      </c>
      <c r="F2129" s="52">
        <v>17257.540499999999</v>
      </c>
      <c r="G2129" s="52">
        <v>1860</v>
      </c>
      <c r="H2129" s="52">
        <v>5170</v>
      </c>
      <c r="I2129" s="52">
        <v>7030</v>
      </c>
      <c r="J2129" s="51">
        <v>1</v>
      </c>
      <c r="K2129" s="54">
        <v>5000</v>
      </c>
      <c r="L2129" s="51">
        <v>0</v>
      </c>
      <c r="M2129" s="54">
        <v>0</v>
      </c>
      <c r="N2129" s="53">
        <f t="shared" si="66"/>
        <v>5000</v>
      </c>
      <c r="O2129" s="53">
        <f t="shared" si="67"/>
        <v>-5000</v>
      </c>
    </row>
    <row r="2130" spans="1:15" x14ac:dyDescent="0.2">
      <c r="A2130" s="51" t="s">
        <v>3567</v>
      </c>
      <c r="B2130" s="51" t="s">
        <v>3568</v>
      </c>
      <c r="C2130" s="51" t="s">
        <v>75</v>
      </c>
      <c r="D2130" s="51" t="s">
        <v>1618</v>
      </c>
      <c r="E2130" s="51" t="s">
        <v>1617</v>
      </c>
      <c r="F2130" s="52">
        <v>11486.70583255909</v>
      </c>
      <c r="G2130" s="52">
        <v>6200</v>
      </c>
      <c r="H2130" s="52">
        <v>47910</v>
      </c>
      <c r="I2130" s="52">
        <v>54110</v>
      </c>
      <c r="J2130" s="51">
        <v>0</v>
      </c>
      <c r="K2130" s="54">
        <v>0</v>
      </c>
      <c r="L2130" s="51">
        <v>1</v>
      </c>
      <c r="M2130" s="54">
        <v>45000</v>
      </c>
      <c r="N2130" s="53">
        <f t="shared" si="66"/>
        <v>-45000</v>
      </c>
      <c r="O2130" s="53">
        <f t="shared" si="67"/>
        <v>45000</v>
      </c>
    </row>
    <row r="2131" spans="1:15" x14ac:dyDescent="0.2">
      <c r="A2131" s="51" t="s">
        <v>3567</v>
      </c>
      <c r="B2131" s="51" t="s">
        <v>3568</v>
      </c>
      <c r="C2131" s="51" t="s">
        <v>64</v>
      </c>
      <c r="D2131" s="51" t="s">
        <v>4693</v>
      </c>
      <c r="E2131" s="51" t="s">
        <v>881</v>
      </c>
      <c r="F2131" s="52">
        <v>5.5660350037999997</v>
      </c>
      <c r="G2131" s="52">
        <v>0</v>
      </c>
      <c r="H2131" s="52">
        <v>0</v>
      </c>
      <c r="I2131" s="52">
        <v>0</v>
      </c>
      <c r="J2131" s="51">
        <v>0</v>
      </c>
      <c r="K2131" s="54">
        <v>0</v>
      </c>
      <c r="L2131" s="51">
        <v>0</v>
      </c>
      <c r="M2131" s="54">
        <v>0</v>
      </c>
      <c r="N2131" s="53">
        <f t="shared" si="66"/>
        <v>0</v>
      </c>
      <c r="O2131" s="53">
        <f t="shared" si="67"/>
        <v>0</v>
      </c>
    </row>
    <row r="2132" spans="1:15" x14ac:dyDescent="0.2">
      <c r="A2132" s="51" t="s">
        <v>3567</v>
      </c>
      <c r="B2132" s="51" t="s">
        <v>3568</v>
      </c>
      <c r="C2132" s="51" t="s">
        <v>61</v>
      </c>
      <c r="D2132" s="51" t="s">
        <v>1747</v>
      </c>
      <c r="E2132" s="51" t="s">
        <v>1746</v>
      </c>
      <c r="F2132" s="52">
        <v>25743.881738838762</v>
      </c>
      <c r="G2132" s="52">
        <v>3030</v>
      </c>
      <c r="H2132" s="52">
        <v>7350</v>
      </c>
      <c r="I2132" s="52">
        <v>10380</v>
      </c>
      <c r="J2132" s="51">
        <v>1</v>
      </c>
      <c r="K2132" s="54">
        <v>5000</v>
      </c>
      <c r="L2132" s="51">
        <v>0</v>
      </c>
      <c r="M2132" s="54">
        <v>0</v>
      </c>
      <c r="N2132" s="53">
        <f t="shared" si="66"/>
        <v>5000</v>
      </c>
      <c r="O2132" s="53">
        <f t="shared" si="67"/>
        <v>-5000</v>
      </c>
    </row>
    <row r="2133" spans="1:15" x14ac:dyDescent="0.2">
      <c r="A2133" s="51" t="s">
        <v>3567</v>
      </c>
      <c r="B2133" s="51" t="s">
        <v>3568</v>
      </c>
      <c r="C2133" s="51" t="s">
        <v>87</v>
      </c>
      <c r="D2133" s="51" t="s">
        <v>1904</v>
      </c>
      <c r="E2133" s="51" t="s">
        <v>1903</v>
      </c>
      <c r="F2133" s="52">
        <v>6928.8787165016874</v>
      </c>
      <c r="G2133" s="52">
        <v>8080</v>
      </c>
      <c r="H2133" s="52">
        <v>500</v>
      </c>
      <c r="I2133" s="52">
        <v>8580</v>
      </c>
      <c r="J2133" s="51">
        <v>0</v>
      </c>
      <c r="K2133" s="54">
        <v>0</v>
      </c>
      <c r="L2133" s="51">
        <v>1</v>
      </c>
      <c r="M2133" s="54">
        <v>6000</v>
      </c>
      <c r="N2133" s="53">
        <f t="shared" si="66"/>
        <v>-6000</v>
      </c>
      <c r="O2133" s="53">
        <f t="shared" si="67"/>
        <v>6000</v>
      </c>
    </row>
    <row r="2134" spans="1:15" x14ac:dyDescent="0.2">
      <c r="A2134" s="51" t="s">
        <v>3567</v>
      </c>
      <c r="B2134" s="51" t="s">
        <v>3568</v>
      </c>
      <c r="C2134" s="51" t="s">
        <v>82</v>
      </c>
      <c r="D2134" s="51" t="s">
        <v>2334</v>
      </c>
      <c r="E2134" s="51" t="s">
        <v>2333</v>
      </c>
      <c r="F2134" s="52">
        <v>10.053704069061739</v>
      </c>
      <c r="G2134" s="52">
        <v>0</v>
      </c>
      <c r="H2134" s="52">
        <v>13925</v>
      </c>
      <c r="I2134" s="52">
        <v>13925</v>
      </c>
      <c r="J2134" s="51">
        <v>0</v>
      </c>
      <c r="K2134" s="54">
        <v>0</v>
      </c>
      <c r="L2134" s="51">
        <v>2</v>
      </c>
      <c r="M2134" s="54">
        <v>14000</v>
      </c>
      <c r="N2134" s="53">
        <f t="shared" si="66"/>
        <v>-14000</v>
      </c>
      <c r="O2134" s="53">
        <f t="shared" si="67"/>
        <v>14000</v>
      </c>
    </row>
    <row r="2135" spans="1:15" x14ac:dyDescent="0.2">
      <c r="A2135" s="51" t="s">
        <v>3567</v>
      </c>
      <c r="B2135" s="51" t="s">
        <v>3568</v>
      </c>
      <c r="C2135" s="51" t="s">
        <v>79</v>
      </c>
      <c r="D2135" s="51" t="s">
        <v>1212</v>
      </c>
      <c r="E2135" s="51" t="s">
        <v>1211</v>
      </c>
      <c r="F2135" s="52">
        <v>3973.7808500000001</v>
      </c>
      <c r="G2135" s="52">
        <v>20700</v>
      </c>
      <c r="H2135" s="52">
        <v>8400</v>
      </c>
      <c r="I2135" s="52">
        <v>29100</v>
      </c>
      <c r="J2135" s="51">
        <v>0</v>
      </c>
      <c r="K2135" s="54">
        <v>0</v>
      </c>
      <c r="L2135" s="51">
        <v>0</v>
      </c>
      <c r="M2135" s="54">
        <v>0</v>
      </c>
      <c r="N2135" s="53">
        <f t="shared" si="66"/>
        <v>0</v>
      </c>
      <c r="O2135" s="53">
        <f t="shared" si="67"/>
        <v>0</v>
      </c>
    </row>
    <row r="2136" spans="1:15" x14ac:dyDescent="0.2">
      <c r="A2136" s="51" t="s">
        <v>3567</v>
      </c>
      <c r="B2136" s="51" t="s">
        <v>3568</v>
      </c>
      <c r="C2136" s="51" t="s">
        <v>61</v>
      </c>
      <c r="D2136" s="51" t="s">
        <v>2108</v>
      </c>
      <c r="E2136" s="51" t="s">
        <v>2107</v>
      </c>
      <c r="F2136" s="52">
        <v>2087.2235376768031</v>
      </c>
      <c r="G2136" s="52">
        <v>4764</v>
      </c>
      <c r="H2136" s="52">
        <v>5400</v>
      </c>
      <c r="I2136" s="52">
        <v>10164</v>
      </c>
      <c r="J2136" s="51">
        <v>0</v>
      </c>
      <c r="K2136" s="54">
        <v>0</v>
      </c>
      <c r="L2136" s="51">
        <v>1</v>
      </c>
      <c r="M2136" s="54">
        <v>5000</v>
      </c>
      <c r="N2136" s="53">
        <f t="shared" si="66"/>
        <v>-5000</v>
      </c>
      <c r="O2136" s="53">
        <f t="shared" si="67"/>
        <v>5000</v>
      </c>
    </row>
    <row r="2137" spans="1:15" x14ac:dyDescent="0.2">
      <c r="A2137" s="51" t="s">
        <v>3567</v>
      </c>
      <c r="B2137" s="51" t="s">
        <v>3568</v>
      </c>
      <c r="C2137" s="51" t="s">
        <v>4391</v>
      </c>
      <c r="D2137" s="51" t="s">
        <v>4660</v>
      </c>
      <c r="E2137" s="51" t="s">
        <v>4661</v>
      </c>
      <c r="F2137" s="52">
        <v>26.740400000000001</v>
      </c>
      <c r="G2137" s="52">
        <v>0</v>
      </c>
      <c r="H2137" s="52">
        <v>0</v>
      </c>
      <c r="I2137" s="52">
        <v>0</v>
      </c>
      <c r="J2137" s="51">
        <v>0</v>
      </c>
      <c r="K2137" s="54">
        <v>0</v>
      </c>
      <c r="L2137" s="51">
        <v>0</v>
      </c>
      <c r="M2137" s="54">
        <v>0</v>
      </c>
      <c r="N2137" s="53">
        <f t="shared" si="66"/>
        <v>0</v>
      </c>
      <c r="O2137" s="53">
        <f t="shared" si="67"/>
        <v>0</v>
      </c>
    </row>
    <row r="2138" spans="1:15" x14ac:dyDescent="0.2">
      <c r="A2138" s="51" t="s">
        <v>3567</v>
      </c>
      <c r="B2138" s="51" t="s">
        <v>3568</v>
      </c>
      <c r="C2138" s="51" t="s">
        <v>84</v>
      </c>
      <c r="D2138" s="51" t="s">
        <v>2992</v>
      </c>
      <c r="E2138" s="51" t="s">
        <v>2991</v>
      </c>
      <c r="F2138" s="52">
        <v>4524.4545754462224</v>
      </c>
      <c r="G2138" s="52">
        <v>1300</v>
      </c>
      <c r="H2138" s="52">
        <v>9103</v>
      </c>
      <c r="I2138" s="52">
        <v>10403</v>
      </c>
      <c r="J2138" s="51">
        <v>0</v>
      </c>
      <c r="K2138" s="54">
        <v>0</v>
      </c>
      <c r="L2138" s="51">
        <v>1</v>
      </c>
      <c r="M2138" s="54">
        <v>25000</v>
      </c>
      <c r="N2138" s="53">
        <f t="shared" si="66"/>
        <v>-25000</v>
      </c>
      <c r="O2138" s="53">
        <f t="shared" si="67"/>
        <v>25000</v>
      </c>
    </row>
    <row r="2139" spans="1:15" x14ac:dyDescent="0.2">
      <c r="A2139" s="51" t="s">
        <v>3567</v>
      </c>
      <c r="B2139" s="51" t="s">
        <v>3568</v>
      </c>
      <c r="C2139" s="51" t="s">
        <v>64</v>
      </c>
      <c r="D2139" s="51" t="s">
        <v>1020</v>
      </c>
      <c r="E2139" s="51" t="s">
        <v>1019</v>
      </c>
      <c r="F2139" s="52">
        <v>17685.235383940038</v>
      </c>
      <c r="G2139" s="52">
        <v>4570</v>
      </c>
      <c r="H2139" s="52">
        <v>12090</v>
      </c>
      <c r="I2139" s="52">
        <v>16660</v>
      </c>
      <c r="J2139" s="51">
        <v>0</v>
      </c>
      <c r="K2139" s="54">
        <v>0</v>
      </c>
      <c r="L2139" s="51">
        <v>1</v>
      </c>
      <c r="M2139" s="54">
        <v>5000</v>
      </c>
      <c r="N2139" s="53">
        <f t="shared" si="66"/>
        <v>-5000</v>
      </c>
      <c r="O2139" s="53">
        <f t="shared" si="67"/>
        <v>5000</v>
      </c>
    </row>
    <row r="2140" spans="1:15" x14ac:dyDescent="0.2">
      <c r="A2140" s="51" t="s">
        <v>3567</v>
      </c>
      <c r="B2140" s="51" t="s">
        <v>3568</v>
      </c>
      <c r="C2140" s="51" t="s">
        <v>62</v>
      </c>
      <c r="D2140" s="51" t="s">
        <v>2986</v>
      </c>
      <c r="E2140" s="51" t="s">
        <v>2985</v>
      </c>
      <c r="F2140" s="52">
        <v>1710.109008658188</v>
      </c>
      <c r="G2140" s="52">
        <v>0</v>
      </c>
      <c r="H2140" s="52">
        <v>500</v>
      </c>
      <c r="I2140" s="52">
        <v>500</v>
      </c>
      <c r="J2140" s="51">
        <v>0</v>
      </c>
      <c r="K2140" s="54">
        <v>0</v>
      </c>
      <c r="L2140" s="51">
        <v>1</v>
      </c>
      <c r="M2140" s="54">
        <v>6000</v>
      </c>
      <c r="N2140" s="53">
        <f t="shared" si="66"/>
        <v>-6000</v>
      </c>
      <c r="O2140" s="53">
        <f t="shared" si="67"/>
        <v>6000</v>
      </c>
    </row>
    <row r="2141" spans="1:15" x14ac:dyDescent="0.2">
      <c r="A2141" s="51" t="s">
        <v>3567</v>
      </c>
      <c r="B2141" s="51" t="s">
        <v>3568</v>
      </c>
      <c r="C2141" s="51" t="s">
        <v>81</v>
      </c>
      <c r="D2141" s="51" t="s">
        <v>3499</v>
      </c>
      <c r="E2141" s="51" t="s">
        <v>3498</v>
      </c>
      <c r="F2141" s="52">
        <v>292.88650000000001</v>
      </c>
      <c r="G2141" s="52">
        <v>300</v>
      </c>
      <c r="H2141" s="52">
        <v>0</v>
      </c>
      <c r="I2141" s="52">
        <v>300</v>
      </c>
      <c r="J2141" s="51">
        <v>1</v>
      </c>
      <c r="K2141" s="54">
        <v>5000</v>
      </c>
      <c r="L2141" s="51">
        <v>1</v>
      </c>
      <c r="M2141" s="54">
        <v>19000</v>
      </c>
      <c r="N2141" s="53">
        <f t="shared" si="66"/>
        <v>-14000</v>
      </c>
      <c r="O2141" s="53">
        <f t="shared" si="67"/>
        <v>14000</v>
      </c>
    </row>
    <row r="2142" spans="1:15" x14ac:dyDescent="0.2">
      <c r="A2142" s="51" t="s">
        <v>3567</v>
      </c>
      <c r="B2142" s="51" t="s">
        <v>3568</v>
      </c>
      <c r="C2142" s="51" t="s">
        <v>64</v>
      </c>
      <c r="D2142" s="51" t="s">
        <v>516</v>
      </c>
      <c r="E2142" s="51" t="s">
        <v>515</v>
      </c>
      <c r="F2142" s="52">
        <v>71267.8539260775</v>
      </c>
      <c r="G2142" s="52">
        <v>88020</v>
      </c>
      <c r="H2142" s="52">
        <v>38250</v>
      </c>
      <c r="I2142" s="52">
        <v>126270</v>
      </c>
      <c r="J2142" s="51">
        <v>4</v>
      </c>
      <c r="K2142" s="54">
        <v>100000</v>
      </c>
      <c r="L2142" s="51">
        <v>0</v>
      </c>
      <c r="M2142" s="54">
        <v>0</v>
      </c>
      <c r="N2142" s="53">
        <f t="shared" si="66"/>
        <v>100000</v>
      </c>
      <c r="O2142" s="53">
        <f t="shared" si="67"/>
        <v>-100000</v>
      </c>
    </row>
    <row r="2143" spans="1:15" x14ac:dyDescent="0.2">
      <c r="A2143" s="51" t="s">
        <v>3567</v>
      </c>
      <c r="B2143" s="51" t="s">
        <v>3568</v>
      </c>
      <c r="C2143" s="51" t="s">
        <v>3707</v>
      </c>
      <c r="D2143" s="51" t="s">
        <v>4699</v>
      </c>
      <c r="E2143" s="51" t="s">
        <v>4700</v>
      </c>
      <c r="F2143" s="52">
        <v>42.555900000000001</v>
      </c>
      <c r="G2143" s="52">
        <v>0</v>
      </c>
      <c r="H2143" s="52">
        <v>0</v>
      </c>
      <c r="I2143" s="52">
        <v>0</v>
      </c>
      <c r="J2143" s="51">
        <v>0</v>
      </c>
      <c r="K2143" s="54">
        <v>0</v>
      </c>
      <c r="L2143" s="51">
        <v>0</v>
      </c>
      <c r="M2143" s="54">
        <v>0</v>
      </c>
      <c r="N2143" s="53">
        <f t="shared" si="66"/>
        <v>0</v>
      </c>
      <c r="O2143" s="53">
        <f t="shared" si="67"/>
        <v>0</v>
      </c>
    </row>
    <row r="2144" spans="1:15" x14ac:dyDescent="0.2">
      <c r="A2144" s="51" t="s">
        <v>3567</v>
      </c>
      <c r="B2144" s="51" t="s">
        <v>3568</v>
      </c>
      <c r="C2144" s="51" t="s">
        <v>3698</v>
      </c>
      <c r="D2144" s="51" t="s">
        <v>4674</v>
      </c>
      <c r="E2144" s="51" t="s">
        <v>4675</v>
      </c>
      <c r="F2144" s="52">
        <v>238.32218184405659</v>
      </c>
      <c r="G2144" s="52">
        <v>0</v>
      </c>
      <c r="H2144" s="52">
        <v>0</v>
      </c>
      <c r="I2144" s="52">
        <v>0</v>
      </c>
      <c r="J2144" s="51">
        <v>0</v>
      </c>
      <c r="K2144" s="54">
        <v>0</v>
      </c>
      <c r="L2144" s="51">
        <v>0</v>
      </c>
      <c r="M2144" s="54">
        <v>0</v>
      </c>
      <c r="N2144" s="53">
        <f t="shared" si="66"/>
        <v>0</v>
      </c>
      <c r="O2144" s="53">
        <f t="shared" si="67"/>
        <v>0</v>
      </c>
    </row>
    <row r="2145" spans="1:15" x14ac:dyDescent="0.2">
      <c r="A2145" s="51" t="s">
        <v>3567</v>
      </c>
      <c r="B2145" s="51" t="s">
        <v>3568</v>
      </c>
      <c r="C2145" s="51" t="s">
        <v>63</v>
      </c>
      <c r="D2145" s="51" t="s">
        <v>3398</v>
      </c>
      <c r="E2145" s="51" t="s">
        <v>3397</v>
      </c>
      <c r="F2145" s="52">
        <v>554.4825330801724</v>
      </c>
      <c r="G2145" s="52">
        <v>25000</v>
      </c>
      <c r="H2145" s="52">
        <v>200</v>
      </c>
      <c r="I2145" s="52">
        <v>25200</v>
      </c>
      <c r="J2145" s="51">
        <v>2</v>
      </c>
      <c r="K2145" s="54">
        <v>25000</v>
      </c>
      <c r="L2145" s="51">
        <v>0</v>
      </c>
      <c r="M2145" s="54">
        <v>0</v>
      </c>
      <c r="N2145" s="53">
        <f t="shared" si="66"/>
        <v>25000</v>
      </c>
      <c r="O2145" s="53">
        <f t="shared" si="67"/>
        <v>-25000</v>
      </c>
    </row>
    <row r="2146" spans="1:15" x14ac:dyDescent="0.2">
      <c r="A2146" s="51" t="s">
        <v>3567</v>
      </c>
      <c r="B2146" s="51" t="s">
        <v>3568</v>
      </c>
      <c r="C2146" s="51" t="s">
        <v>68</v>
      </c>
      <c r="D2146" s="51" t="s">
        <v>3296</v>
      </c>
      <c r="E2146" s="51" t="s">
        <v>3295</v>
      </c>
      <c r="F2146" s="52">
        <v>10652.3099</v>
      </c>
      <c r="G2146" s="52">
        <v>0</v>
      </c>
      <c r="H2146" s="52">
        <v>20400</v>
      </c>
      <c r="I2146" s="52">
        <v>20400</v>
      </c>
      <c r="J2146" s="51">
        <v>0</v>
      </c>
      <c r="K2146" s="54">
        <v>0</v>
      </c>
      <c r="L2146" s="51">
        <v>1</v>
      </c>
      <c r="M2146" s="54">
        <v>15000</v>
      </c>
      <c r="N2146" s="53">
        <f t="shared" si="66"/>
        <v>-15000</v>
      </c>
      <c r="O2146" s="53">
        <f t="shared" si="67"/>
        <v>15000</v>
      </c>
    </row>
    <row r="2147" spans="1:15" x14ac:dyDescent="0.2">
      <c r="A2147" s="51" t="s">
        <v>3567</v>
      </c>
      <c r="B2147" s="51" t="s">
        <v>3568</v>
      </c>
      <c r="C2147" s="51" t="s">
        <v>62</v>
      </c>
      <c r="D2147" s="51" t="s">
        <v>2660</v>
      </c>
      <c r="E2147" s="51" t="s">
        <v>2659</v>
      </c>
      <c r="F2147" s="52">
        <v>3890.2255</v>
      </c>
      <c r="G2147" s="52">
        <v>3350</v>
      </c>
      <c r="H2147" s="52">
        <v>2170</v>
      </c>
      <c r="I2147" s="52">
        <v>5520</v>
      </c>
      <c r="J2147" s="51">
        <v>1</v>
      </c>
      <c r="K2147" s="54">
        <v>5000</v>
      </c>
      <c r="L2147" s="51">
        <v>0</v>
      </c>
      <c r="M2147" s="54">
        <v>0</v>
      </c>
      <c r="N2147" s="53">
        <f t="shared" si="66"/>
        <v>5000</v>
      </c>
      <c r="O2147" s="53">
        <f t="shared" si="67"/>
        <v>-5000</v>
      </c>
    </row>
    <row r="2148" spans="1:15" x14ac:dyDescent="0.2">
      <c r="A2148" s="51" t="s">
        <v>3567</v>
      </c>
      <c r="B2148" s="51" t="s">
        <v>3568</v>
      </c>
      <c r="C2148" s="51" t="s">
        <v>52</v>
      </c>
      <c r="D2148" s="51" t="s">
        <v>3529</v>
      </c>
      <c r="E2148" s="51" t="s">
        <v>3528</v>
      </c>
      <c r="F2148" s="52">
        <v>7354.7838000000002</v>
      </c>
      <c r="G2148" s="52">
        <v>450</v>
      </c>
      <c r="H2148" s="52">
        <v>3750</v>
      </c>
      <c r="I2148" s="52">
        <v>4200</v>
      </c>
      <c r="J2148" s="51">
        <v>1</v>
      </c>
      <c r="K2148" s="54">
        <v>4000</v>
      </c>
      <c r="L2148" s="51">
        <v>0</v>
      </c>
      <c r="M2148" s="54">
        <v>0</v>
      </c>
      <c r="N2148" s="53">
        <f t="shared" si="66"/>
        <v>4000</v>
      </c>
      <c r="O2148" s="53">
        <f t="shared" si="67"/>
        <v>-4000</v>
      </c>
    </row>
    <row r="2149" spans="1:15" x14ac:dyDescent="0.2">
      <c r="A2149" s="51" t="s">
        <v>3567</v>
      </c>
      <c r="B2149" s="51" t="s">
        <v>3568</v>
      </c>
      <c r="C2149" s="51" t="s">
        <v>83</v>
      </c>
      <c r="D2149" s="51" t="s">
        <v>518</v>
      </c>
      <c r="E2149" s="51" t="s">
        <v>517</v>
      </c>
      <c r="F2149" s="52">
        <v>4015.1565000047999</v>
      </c>
      <c r="G2149" s="52">
        <v>5435</v>
      </c>
      <c r="H2149" s="52">
        <v>6890</v>
      </c>
      <c r="I2149" s="52">
        <v>12325</v>
      </c>
      <c r="J2149" s="51">
        <v>0</v>
      </c>
      <c r="K2149" s="54">
        <v>0</v>
      </c>
      <c r="L2149" s="51">
        <v>1</v>
      </c>
      <c r="M2149" s="54">
        <v>15000</v>
      </c>
      <c r="N2149" s="53">
        <f t="shared" si="66"/>
        <v>-15000</v>
      </c>
      <c r="O2149" s="53">
        <f t="shared" si="67"/>
        <v>15000</v>
      </c>
    </row>
    <row r="2150" spans="1:15" x14ac:dyDescent="0.2">
      <c r="A2150" s="51" t="s">
        <v>3567</v>
      </c>
      <c r="B2150" s="51" t="s">
        <v>3568</v>
      </c>
      <c r="C2150" s="51" t="s">
        <v>79</v>
      </c>
      <c r="D2150" s="51" t="s">
        <v>1080</v>
      </c>
      <c r="E2150" s="51" t="s">
        <v>1079</v>
      </c>
      <c r="F2150" s="52">
        <v>2094.3155573669392</v>
      </c>
      <c r="G2150" s="52">
        <v>9630</v>
      </c>
      <c r="H2150" s="52">
        <v>5990</v>
      </c>
      <c r="I2150" s="52">
        <v>15620</v>
      </c>
      <c r="J2150" s="51">
        <v>1</v>
      </c>
      <c r="K2150" s="54">
        <v>5000</v>
      </c>
      <c r="L2150" s="51">
        <v>0</v>
      </c>
      <c r="M2150" s="54">
        <v>0</v>
      </c>
      <c r="N2150" s="53">
        <f t="shared" si="66"/>
        <v>5000</v>
      </c>
      <c r="O2150" s="53">
        <f t="shared" si="67"/>
        <v>-5000</v>
      </c>
    </row>
    <row r="2151" spans="1:15" x14ac:dyDescent="0.2">
      <c r="A2151" s="51" t="s">
        <v>3567</v>
      </c>
      <c r="B2151" s="51" t="s">
        <v>3568</v>
      </c>
      <c r="C2151" s="51" t="s">
        <v>59</v>
      </c>
      <c r="D2151" s="51" t="s">
        <v>1638</v>
      </c>
      <c r="E2151" s="51" t="s">
        <v>1637</v>
      </c>
      <c r="F2151" s="52">
        <v>7119.5681855134999</v>
      </c>
      <c r="G2151" s="52">
        <v>6120</v>
      </c>
      <c r="H2151" s="52">
        <v>6450</v>
      </c>
      <c r="I2151" s="52">
        <v>12570</v>
      </c>
      <c r="J2151" s="51">
        <v>1</v>
      </c>
      <c r="K2151" s="54">
        <v>5000</v>
      </c>
      <c r="L2151" s="51">
        <v>0</v>
      </c>
      <c r="M2151" s="54">
        <v>0</v>
      </c>
      <c r="N2151" s="53">
        <f t="shared" si="66"/>
        <v>5000</v>
      </c>
      <c r="O2151" s="53">
        <f t="shared" si="67"/>
        <v>-5000</v>
      </c>
    </row>
    <row r="2152" spans="1:15" x14ac:dyDescent="0.2">
      <c r="A2152" s="51" t="s">
        <v>3567</v>
      </c>
      <c r="B2152" s="51" t="s">
        <v>3568</v>
      </c>
      <c r="C2152" s="51" t="s">
        <v>84</v>
      </c>
      <c r="D2152" s="51" t="s">
        <v>2524</v>
      </c>
      <c r="E2152" s="51" t="s">
        <v>2523</v>
      </c>
      <c r="F2152" s="52">
        <v>2.629</v>
      </c>
      <c r="G2152" s="52">
        <v>14680</v>
      </c>
      <c r="H2152" s="52">
        <v>5550</v>
      </c>
      <c r="I2152" s="52">
        <v>20230</v>
      </c>
      <c r="J2152" s="51">
        <v>1</v>
      </c>
      <c r="K2152" s="54">
        <v>9000</v>
      </c>
      <c r="L2152" s="51">
        <v>0</v>
      </c>
      <c r="M2152" s="54">
        <v>0</v>
      </c>
      <c r="N2152" s="53">
        <f t="shared" si="66"/>
        <v>9000</v>
      </c>
      <c r="O2152" s="53">
        <f t="shared" si="67"/>
        <v>-9000</v>
      </c>
    </row>
    <row r="2153" spans="1:15" x14ac:dyDescent="0.2">
      <c r="A2153" s="51" t="s">
        <v>3567</v>
      </c>
      <c r="B2153" s="51" t="s">
        <v>3568</v>
      </c>
      <c r="C2153" s="51" t="s">
        <v>53</v>
      </c>
      <c r="D2153" s="51" t="s">
        <v>1208</v>
      </c>
      <c r="E2153" s="51" t="s">
        <v>1207</v>
      </c>
      <c r="F2153" s="52">
        <v>31596.287845782641</v>
      </c>
      <c r="G2153" s="52">
        <v>300</v>
      </c>
      <c r="H2153" s="52">
        <v>2380</v>
      </c>
      <c r="I2153" s="52">
        <v>2680</v>
      </c>
      <c r="J2153" s="51">
        <v>0</v>
      </c>
      <c r="K2153" s="54">
        <v>0</v>
      </c>
      <c r="L2153" s="51">
        <v>1</v>
      </c>
      <c r="M2153" s="54">
        <v>10000</v>
      </c>
      <c r="N2153" s="53">
        <f t="shared" si="66"/>
        <v>-10000</v>
      </c>
      <c r="O2153" s="53">
        <f t="shared" si="67"/>
        <v>10000</v>
      </c>
    </row>
    <row r="2154" spans="1:15" x14ac:dyDescent="0.2">
      <c r="A2154" s="51" t="s">
        <v>3567</v>
      </c>
      <c r="B2154" s="51" t="s">
        <v>3568</v>
      </c>
      <c r="C2154" s="51" t="s">
        <v>71</v>
      </c>
      <c r="D2154" s="51" t="s">
        <v>2942</v>
      </c>
      <c r="E2154" s="51" t="s">
        <v>2941</v>
      </c>
      <c r="F2154" s="52">
        <v>6132.8097843109626</v>
      </c>
      <c r="G2154" s="52">
        <v>1400</v>
      </c>
      <c r="H2154" s="52">
        <v>7870</v>
      </c>
      <c r="I2154" s="52">
        <v>9270</v>
      </c>
      <c r="J2154" s="51">
        <v>0</v>
      </c>
      <c r="K2154" s="54">
        <v>0</v>
      </c>
      <c r="L2154" s="51">
        <v>1</v>
      </c>
      <c r="M2154" s="54">
        <v>10000</v>
      </c>
      <c r="N2154" s="53">
        <f t="shared" si="66"/>
        <v>-10000</v>
      </c>
      <c r="O2154" s="53">
        <f t="shared" si="67"/>
        <v>10000</v>
      </c>
    </row>
    <row r="2155" spans="1:15" x14ac:dyDescent="0.2">
      <c r="A2155" s="51" t="s">
        <v>3567</v>
      </c>
      <c r="B2155" s="51" t="s">
        <v>3568</v>
      </c>
      <c r="C2155" s="51" t="s">
        <v>64</v>
      </c>
      <c r="D2155" s="51" t="s">
        <v>2850</v>
      </c>
      <c r="E2155" s="51" t="s">
        <v>2849</v>
      </c>
      <c r="F2155" s="52">
        <v>6726.5727263007648</v>
      </c>
      <c r="G2155" s="52">
        <v>16630</v>
      </c>
      <c r="H2155" s="52">
        <v>9330</v>
      </c>
      <c r="I2155" s="52">
        <v>25960</v>
      </c>
      <c r="J2155" s="51">
        <v>1</v>
      </c>
      <c r="K2155" s="54">
        <v>10000</v>
      </c>
      <c r="L2155" s="51">
        <v>0</v>
      </c>
      <c r="M2155" s="54">
        <v>0</v>
      </c>
      <c r="N2155" s="53">
        <f t="shared" si="66"/>
        <v>10000</v>
      </c>
      <c r="O2155" s="53">
        <f t="shared" si="67"/>
        <v>-10000</v>
      </c>
    </row>
    <row r="2156" spans="1:15" x14ac:dyDescent="0.2">
      <c r="A2156" s="51" t="s">
        <v>3567</v>
      </c>
      <c r="B2156" s="51" t="s">
        <v>3568</v>
      </c>
      <c r="C2156" s="51" t="s">
        <v>74</v>
      </c>
      <c r="D2156" s="51" t="s">
        <v>3477</v>
      </c>
      <c r="E2156" s="51" t="s">
        <v>3476</v>
      </c>
      <c r="F2156" s="52">
        <v>8652.8976070528352</v>
      </c>
      <c r="G2156" s="52">
        <v>5000</v>
      </c>
      <c r="H2156" s="52">
        <v>6160</v>
      </c>
      <c r="I2156" s="52">
        <v>11160</v>
      </c>
      <c r="J2156" s="51">
        <v>1</v>
      </c>
      <c r="K2156" s="54">
        <v>5000</v>
      </c>
      <c r="L2156" s="51">
        <v>0</v>
      </c>
      <c r="M2156" s="54">
        <v>0</v>
      </c>
      <c r="N2156" s="53">
        <f t="shared" si="66"/>
        <v>5000</v>
      </c>
      <c r="O2156" s="53">
        <f t="shared" si="67"/>
        <v>-5000</v>
      </c>
    </row>
    <row r="2157" spans="1:15" x14ac:dyDescent="0.2">
      <c r="A2157" s="51" t="s">
        <v>3567</v>
      </c>
      <c r="B2157" s="51" t="s">
        <v>3568</v>
      </c>
      <c r="C2157" s="51" t="s">
        <v>83</v>
      </c>
      <c r="D2157" s="51" t="s">
        <v>956</v>
      </c>
      <c r="E2157" s="51" t="s">
        <v>955</v>
      </c>
      <c r="F2157" s="52">
        <v>6115.2212</v>
      </c>
      <c r="G2157" s="52">
        <v>1350</v>
      </c>
      <c r="H2157" s="52">
        <v>4700</v>
      </c>
      <c r="I2157" s="52">
        <v>6050</v>
      </c>
      <c r="J2157" s="51">
        <v>1</v>
      </c>
      <c r="K2157" s="54">
        <v>5000</v>
      </c>
      <c r="L2157" s="51">
        <v>0</v>
      </c>
      <c r="M2157" s="54">
        <v>0</v>
      </c>
      <c r="N2157" s="53">
        <f t="shared" si="66"/>
        <v>5000</v>
      </c>
      <c r="O2157" s="53">
        <f t="shared" si="67"/>
        <v>-5000</v>
      </c>
    </row>
    <row r="2158" spans="1:15" x14ac:dyDescent="0.2">
      <c r="A2158" s="51" t="s">
        <v>3567</v>
      </c>
      <c r="B2158" s="51" t="s">
        <v>3568</v>
      </c>
      <c r="C2158" s="51" t="s">
        <v>3786</v>
      </c>
      <c r="D2158" s="51" t="s">
        <v>4711</v>
      </c>
      <c r="E2158" s="51" t="s">
        <v>1568</v>
      </c>
      <c r="F2158" s="52">
        <v>3.3871289069931061</v>
      </c>
      <c r="G2158" s="52">
        <v>0</v>
      </c>
      <c r="H2158" s="52">
        <v>0</v>
      </c>
      <c r="I2158" s="52">
        <v>0</v>
      </c>
      <c r="J2158" s="51">
        <v>0</v>
      </c>
      <c r="K2158" s="54">
        <v>0</v>
      </c>
      <c r="L2158" s="51">
        <v>0</v>
      </c>
      <c r="M2158" s="54">
        <v>0</v>
      </c>
      <c r="N2158" s="53">
        <f t="shared" si="66"/>
        <v>0</v>
      </c>
      <c r="O2158" s="53">
        <f t="shared" si="67"/>
        <v>0</v>
      </c>
    </row>
    <row r="2159" spans="1:15" x14ac:dyDescent="0.2">
      <c r="A2159" s="51" t="s">
        <v>3567</v>
      </c>
      <c r="B2159" s="51" t="s">
        <v>3568</v>
      </c>
      <c r="C2159" s="51" t="s">
        <v>3763</v>
      </c>
      <c r="D2159" s="51" t="s">
        <v>4712</v>
      </c>
      <c r="E2159" s="51" t="s">
        <v>4645</v>
      </c>
      <c r="F2159" s="52">
        <v>7.5950928653846157</v>
      </c>
      <c r="G2159" s="52">
        <v>0</v>
      </c>
      <c r="H2159" s="52">
        <v>0</v>
      </c>
      <c r="I2159" s="52">
        <v>0</v>
      </c>
      <c r="J2159" s="51">
        <v>0</v>
      </c>
      <c r="K2159" s="54">
        <v>0</v>
      </c>
      <c r="L2159" s="51">
        <v>0</v>
      </c>
      <c r="M2159" s="54">
        <v>0</v>
      </c>
      <c r="N2159" s="53">
        <f t="shared" si="66"/>
        <v>0</v>
      </c>
      <c r="O2159" s="53">
        <f t="shared" si="67"/>
        <v>0</v>
      </c>
    </row>
    <row r="2160" spans="1:15" x14ac:dyDescent="0.2">
      <c r="A2160" s="51" t="s">
        <v>3567</v>
      </c>
      <c r="B2160" s="51" t="s">
        <v>3568</v>
      </c>
      <c r="C2160" s="51" t="s">
        <v>72</v>
      </c>
      <c r="D2160" s="51" t="s">
        <v>806</v>
      </c>
      <c r="E2160" s="51" t="s">
        <v>805</v>
      </c>
      <c r="F2160" s="52">
        <v>6947.6742449945204</v>
      </c>
      <c r="G2160" s="52">
        <v>3500</v>
      </c>
      <c r="H2160" s="52">
        <v>1000</v>
      </c>
      <c r="I2160" s="52">
        <v>4500</v>
      </c>
      <c r="J2160" s="51">
        <v>0</v>
      </c>
      <c r="K2160" s="54">
        <v>0</v>
      </c>
      <c r="L2160" s="51">
        <v>0</v>
      </c>
      <c r="M2160" s="54">
        <v>0</v>
      </c>
      <c r="N2160" s="53">
        <f t="shared" si="66"/>
        <v>0</v>
      </c>
      <c r="O2160" s="53">
        <f t="shared" si="67"/>
        <v>0</v>
      </c>
    </row>
    <row r="2161" spans="1:15" x14ac:dyDescent="0.2">
      <c r="A2161" s="51" t="s">
        <v>3567</v>
      </c>
      <c r="B2161" s="51" t="s">
        <v>3568</v>
      </c>
      <c r="C2161" s="51" t="s">
        <v>81</v>
      </c>
      <c r="D2161" s="51" t="s">
        <v>792</v>
      </c>
      <c r="E2161" s="51" t="s">
        <v>791</v>
      </c>
      <c r="F2161" s="52">
        <v>3507.0470665751518</v>
      </c>
      <c r="G2161" s="52">
        <v>1579</v>
      </c>
      <c r="H2161" s="52">
        <v>0</v>
      </c>
      <c r="I2161" s="52">
        <v>1579</v>
      </c>
      <c r="J2161" s="51">
        <v>1</v>
      </c>
      <c r="K2161" s="54">
        <v>5000</v>
      </c>
      <c r="L2161" s="51">
        <v>0</v>
      </c>
      <c r="M2161" s="54">
        <v>0</v>
      </c>
      <c r="N2161" s="53">
        <f t="shared" si="66"/>
        <v>5000</v>
      </c>
      <c r="O2161" s="53">
        <f t="shared" si="67"/>
        <v>-5000</v>
      </c>
    </row>
    <row r="2162" spans="1:15" x14ac:dyDescent="0.2">
      <c r="A2162" s="51" t="s">
        <v>3567</v>
      </c>
      <c r="B2162" s="51" t="s">
        <v>3568</v>
      </c>
      <c r="C2162" s="51" t="s">
        <v>72</v>
      </c>
      <c r="D2162" s="51" t="s">
        <v>1420</v>
      </c>
      <c r="E2162" s="51" t="s">
        <v>1419</v>
      </c>
      <c r="F2162" s="52">
        <v>3315.6375895289389</v>
      </c>
      <c r="G2162" s="52">
        <v>0</v>
      </c>
      <c r="H2162" s="52">
        <v>6700</v>
      </c>
      <c r="I2162" s="52">
        <v>6700</v>
      </c>
      <c r="J2162" s="51">
        <v>1</v>
      </c>
      <c r="K2162" s="54">
        <v>5000</v>
      </c>
      <c r="L2162" s="51">
        <v>1</v>
      </c>
      <c r="M2162" s="54">
        <v>10000</v>
      </c>
      <c r="N2162" s="53">
        <f t="shared" si="66"/>
        <v>-5000</v>
      </c>
      <c r="O2162" s="53">
        <f t="shared" si="67"/>
        <v>5000</v>
      </c>
    </row>
    <row r="2163" spans="1:15" x14ac:dyDescent="0.2">
      <c r="A2163" s="51" t="s">
        <v>3567</v>
      </c>
      <c r="B2163" s="51" t="s">
        <v>3568</v>
      </c>
      <c r="C2163" s="51" t="s">
        <v>3718</v>
      </c>
      <c r="D2163" s="51" t="s">
        <v>4685</v>
      </c>
      <c r="E2163" s="51" t="s">
        <v>1174</v>
      </c>
      <c r="F2163" s="52">
        <v>4.1183453228973752</v>
      </c>
      <c r="G2163" s="52">
        <v>0</v>
      </c>
      <c r="H2163" s="52">
        <v>0</v>
      </c>
      <c r="I2163" s="52">
        <v>0</v>
      </c>
      <c r="J2163" s="51">
        <v>0</v>
      </c>
      <c r="K2163" s="54">
        <v>0</v>
      </c>
      <c r="L2163" s="51">
        <v>0</v>
      </c>
      <c r="M2163" s="54">
        <v>0</v>
      </c>
      <c r="N2163" s="53">
        <f t="shared" si="66"/>
        <v>0</v>
      </c>
      <c r="O2163" s="53">
        <f t="shared" si="67"/>
        <v>0</v>
      </c>
    </row>
    <row r="2164" spans="1:15" x14ac:dyDescent="0.2">
      <c r="A2164" s="51" t="s">
        <v>3567</v>
      </c>
      <c r="B2164" s="51" t="s">
        <v>3568</v>
      </c>
      <c r="C2164" s="51" t="s">
        <v>81</v>
      </c>
      <c r="D2164" s="51" t="s">
        <v>3448</v>
      </c>
      <c r="E2164" s="51" t="s">
        <v>3447</v>
      </c>
      <c r="F2164" s="52">
        <v>11159.93666148675</v>
      </c>
      <c r="G2164" s="52">
        <v>2553</v>
      </c>
      <c r="H2164" s="52">
        <v>4470</v>
      </c>
      <c r="I2164" s="52">
        <v>7023</v>
      </c>
      <c r="J2164" s="51">
        <v>1</v>
      </c>
      <c r="K2164" s="54">
        <v>5000</v>
      </c>
      <c r="L2164" s="51">
        <v>0</v>
      </c>
      <c r="M2164" s="54">
        <v>0</v>
      </c>
      <c r="N2164" s="53">
        <f t="shared" si="66"/>
        <v>5000</v>
      </c>
      <c r="O2164" s="53">
        <f t="shared" si="67"/>
        <v>-5000</v>
      </c>
    </row>
    <row r="2165" spans="1:15" x14ac:dyDescent="0.2">
      <c r="A2165" s="51" t="s">
        <v>3567</v>
      </c>
      <c r="B2165" s="51" t="s">
        <v>3568</v>
      </c>
      <c r="C2165" s="51" t="s">
        <v>3636</v>
      </c>
      <c r="D2165" s="51" t="s">
        <v>4692</v>
      </c>
      <c r="E2165" s="51" t="s">
        <v>2865</v>
      </c>
      <c r="F2165" s="52">
        <v>2024.0340058801739</v>
      </c>
      <c r="G2165" s="52">
        <v>0</v>
      </c>
      <c r="H2165" s="52">
        <v>0</v>
      </c>
      <c r="I2165" s="52">
        <v>0</v>
      </c>
      <c r="J2165" s="51">
        <v>0</v>
      </c>
      <c r="K2165" s="54">
        <v>0</v>
      </c>
      <c r="L2165" s="51">
        <v>0</v>
      </c>
      <c r="M2165" s="54">
        <v>0</v>
      </c>
      <c r="N2165" s="53">
        <f t="shared" si="66"/>
        <v>0</v>
      </c>
      <c r="O2165" s="53">
        <f t="shared" si="67"/>
        <v>0</v>
      </c>
    </row>
    <row r="2166" spans="1:15" x14ac:dyDescent="0.2">
      <c r="A2166" s="51" t="s">
        <v>3567</v>
      </c>
      <c r="B2166" s="51" t="s">
        <v>3568</v>
      </c>
      <c r="C2166" s="51" t="s">
        <v>65</v>
      </c>
      <c r="D2166" s="51" t="s">
        <v>1372</v>
      </c>
      <c r="E2166" s="51" t="s">
        <v>1371</v>
      </c>
      <c r="F2166" s="52">
        <v>49.1539</v>
      </c>
      <c r="G2166" s="52">
        <v>1300</v>
      </c>
      <c r="H2166" s="52">
        <v>9800</v>
      </c>
      <c r="I2166" s="52">
        <v>11100</v>
      </c>
      <c r="J2166" s="51">
        <v>0</v>
      </c>
      <c r="K2166" s="54">
        <v>0</v>
      </c>
      <c r="L2166" s="51">
        <v>1</v>
      </c>
      <c r="M2166" s="54">
        <v>8500</v>
      </c>
      <c r="N2166" s="53">
        <f t="shared" si="66"/>
        <v>-8500</v>
      </c>
      <c r="O2166" s="53">
        <f t="shared" si="67"/>
        <v>8500</v>
      </c>
    </row>
    <row r="2167" spans="1:15" x14ac:dyDescent="0.2">
      <c r="A2167" s="51" t="s">
        <v>3567</v>
      </c>
      <c r="B2167" s="51" t="s">
        <v>3568</v>
      </c>
      <c r="C2167" s="51" t="s">
        <v>76</v>
      </c>
      <c r="D2167" s="51" t="s">
        <v>3347</v>
      </c>
      <c r="E2167" s="51" t="s">
        <v>3346</v>
      </c>
      <c r="F2167" s="52">
        <v>22191.097549999999</v>
      </c>
      <c r="G2167" s="52">
        <v>0</v>
      </c>
      <c r="H2167" s="52">
        <v>5120</v>
      </c>
      <c r="I2167" s="52">
        <v>5120</v>
      </c>
      <c r="J2167" s="51">
        <v>1</v>
      </c>
      <c r="K2167" s="54">
        <v>5000</v>
      </c>
      <c r="L2167" s="51">
        <v>0</v>
      </c>
      <c r="M2167" s="54">
        <v>0</v>
      </c>
      <c r="N2167" s="53">
        <f t="shared" si="66"/>
        <v>5000</v>
      </c>
      <c r="O2167" s="53">
        <f t="shared" si="67"/>
        <v>-5000</v>
      </c>
    </row>
    <row r="2168" spans="1:15" x14ac:dyDescent="0.2">
      <c r="A2168" s="51" t="s">
        <v>3567</v>
      </c>
      <c r="B2168" s="51" t="s">
        <v>3568</v>
      </c>
      <c r="C2168" s="51" t="s">
        <v>82</v>
      </c>
      <c r="D2168" s="51" t="s">
        <v>770</v>
      </c>
      <c r="E2168" s="51" t="s">
        <v>769</v>
      </c>
      <c r="F2168" s="52">
        <v>20.61222558137862</v>
      </c>
      <c r="G2168" s="52">
        <v>0</v>
      </c>
      <c r="H2168" s="52">
        <v>0</v>
      </c>
      <c r="I2168" s="52">
        <v>0</v>
      </c>
      <c r="J2168" s="51">
        <v>0</v>
      </c>
      <c r="K2168" s="54">
        <v>0</v>
      </c>
      <c r="L2168" s="51">
        <v>0</v>
      </c>
      <c r="M2168" s="54">
        <v>0</v>
      </c>
      <c r="N2168" s="53">
        <f t="shared" si="66"/>
        <v>0</v>
      </c>
      <c r="O2168" s="53">
        <f t="shared" si="67"/>
        <v>0</v>
      </c>
    </row>
    <row r="2169" spans="1:15" x14ac:dyDescent="0.2">
      <c r="A2169" s="51" t="s">
        <v>3567</v>
      </c>
      <c r="B2169" s="51" t="s">
        <v>3568</v>
      </c>
      <c r="C2169" s="51" t="s">
        <v>73</v>
      </c>
      <c r="D2169" s="51" t="s">
        <v>3341</v>
      </c>
      <c r="E2169" s="51" t="s">
        <v>3340</v>
      </c>
      <c r="F2169" s="52">
        <v>4638.7778500000004</v>
      </c>
      <c r="G2169" s="52">
        <v>3480</v>
      </c>
      <c r="H2169" s="52">
        <v>2985</v>
      </c>
      <c r="I2169" s="52">
        <v>6465</v>
      </c>
      <c r="J2169" s="51">
        <v>1</v>
      </c>
      <c r="K2169" s="54">
        <v>5000</v>
      </c>
      <c r="L2169" s="51">
        <v>0</v>
      </c>
      <c r="M2169" s="54">
        <v>0</v>
      </c>
      <c r="N2169" s="53">
        <f t="shared" si="66"/>
        <v>5000</v>
      </c>
      <c r="O2169" s="53">
        <f t="shared" si="67"/>
        <v>-5000</v>
      </c>
    </row>
    <row r="2170" spans="1:15" x14ac:dyDescent="0.2">
      <c r="A2170" s="51" t="s">
        <v>3567</v>
      </c>
      <c r="B2170" s="51" t="s">
        <v>3568</v>
      </c>
      <c r="C2170" s="51" t="s">
        <v>84</v>
      </c>
      <c r="D2170" s="51" t="s">
        <v>750</v>
      </c>
      <c r="E2170" s="51" t="s">
        <v>749</v>
      </c>
      <c r="F2170" s="52">
        <v>5421.8720082600366</v>
      </c>
      <c r="G2170" s="52">
        <v>1400</v>
      </c>
      <c r="H2170" s="52">
        <v>2300</v>
      </c>
      <c r="I2170" s="52">
        <v>3700</v>
      </c>
      <c r="J2170" s="51">
        <v>0</v>
      </c>
      <c r="K2170" s="54">
        <v>0</v>
      </c>
      <c r="L2170" s="51">
        <v>1</v>
      </c>
      <c r="M2170" s="54">
        <v>55000</v>
      </c>
      <c r="N2170" s="53">
        <f t="shared" si="66"/>
        <v>-55000</v>
      </c>
      <c r="O2170" s="53">
        <f t="shared" si="67"/>
        <v>55000</v>
      </c>
    </row>
    <row r="2171" spans="1:15" x14ac:dyDescent="0.2">
      <c r="A2171" s="51" t="s">
        <v>3567</v>
      </c>
      <c r="B2171" s="51" t="s">
        <v>3568</v>
      </c>
      <c r="C2171" s="51" t="s">
        <v>77</v>
      </c>
      <c r="D2171" s="51" t="s">
        <v>4696</v>
      </c>
      <c r="E2171" s="51" t="s">
        <v>461</v>
      </c>
      <c r="F2171" s="52">
        <v>3.431475042968549</v>
      </c>
      <c r="G2171" s="52">
        <v>0</v>
      </c>
      <c r="H2171" s="52">
        <v>0</v>
      </c>
      <c r="I2171" s="52">
        <v>0</v>
      </c>
      <c r="J2171" s="51">
        <v>0</v>
      </c>
      <c r="K2171" s="54">
        <v>0</v>
      </c>
      <c r="L2171" s="51">
        <v>0</v>
      </c>
      <c r="M2171" s="54">
        <v>0</v>
      </c>
      <c r="N2171" s="53">
        <f t="shared" si="66"/>
        <v>0</v>
      </c>
      <c r="O2171" s="53">
        <f t="shared" si="67"/>
        <v>0</v>
      </c>
    </row>
    <row r="2172" spans="1:15" x14ac:dyDescent="0.2">
      <c r="A2172" s="51" t="s">
        <v>3567</v>
      </c>
      <c r="B2172" s="51" t="s">
        <v>3568</v>
      </c>
      <c r="C2172" s="51" t="s">
        <v>75</v>
      </c>
      <c r="D2172" s="51" t="s">
        <v>2476</v>
      </c>
      <c r="E2172" s="51" t="s">
        <v>2475</v>
      </c>
      <c r="F2172" s="52">
        <v>65398.211213043498</v>
      </c>
      <c r="G2172" s="52">
        <v>2100</v>
      </c>
      <c r="H2172" s="52">
        <v>7140</v>
      </c>
      <c r="I2172" s="52">
        <v>9240</v>
      </c>
      <c r="J2172" s="51">
        <v>1</v>
      </c>
      <c r="K2172" s="54">
        <v>5000</v>
      </c>
      <c r="L2172" s="51">
        <v>0</v>
      </c>
      <c r="M2172" s="54">
        <v>0</v>
      </c>
      <c r="N2172" s="53">
        <f t="shared" si="66"/>
        <v>5000</v>
      </c>
      <c r="O2172" s="53">
        <f t="shared" si="67"/>
        <v>-5000</v>
      </c>
    </row>
    <row r="2173" spans="1:15" x14ac:dyDescent="0.2">
      <c r="A2173" s="51" t="s">
        <v>3567</v>
      </c>
      <c r="B2173" s="51" t="s">
        <v>3568</v>
      </c>
      <c r="C2173" s="51" t="s">
        <v>72</v>
      </c>
      <c r="D2173" s="51" t="s">
        <v>1156</v>
      </c>
      <c r="E2173" s="51" t="s">
        <v>1155</v>
      </c>
      <c r="F2173" s="52">
        <v>12761.88610927936</v>
      </c>
      <c r="G2173" s="52">
        <v>2300</v>
      </c>
      <c r="H2173" s="52">
        <v>10305</v>
      </c>
      <c r="I2173" s="52">
        <v>12605</v>
      </c>
      <c r="J2173" s="51">
        <v>0</v>
      </c>
      <c r="K2173" s="54">
        <v>0</v>
      </c>
      <c r="L2173" s="51">
        <v>1</v>
      </c>
      <c r="M2173" s="54">
        <v>10000</v>
      </c>
      <c r="N2173" s="53">
        <f t="shared" si="66"/>
        <v>-10000</v>
      </c>
      <c r="O2173" s="53">
        <f t="shared" si="67"/>
        <v>10000</v>
      </c>
    </row>
    <row r="2174" spans="1:15" x14ac:dyDescent="0.2">
      <c r="A2174" s="51" t="s">
        <v>3567</v>
      </c>
      <c r="B2174" s="51" t="s">
        <v>3568</v>
      </c>
      <c r="C2174" s="51" t="s">
        <v>3580</v>
      </c>
      <c r="D2174" s="51" t="s">
        <v>4707</v>
      </c>
      <c r="E2174" s="51" t="s">
        <v>4708</v>
      </c>
      <c r="F2174" s="52">
        <v>0.69367904601107055</v>
      </c>
      <c r="G2174" s="52">
        <v>0</v>
      </c>
      <c r="H2174" s="52">
        <v>0</v>
      </c>
      <c r="I2174" s="52">
        <v>0</v>
      </c>
      <c r="J2174" s="51">
        <v>0</v>
      </c>
      <c r="K2174" s="54">
        <v>0</v>
      </c>
      <c r="L2174" s="51">
        <v>0</v>
      </c>
      <c r="M2174" s="54">
        <v>0</v>
      </c>
      <c r="N2174" s="53">
        <f t="shared" si="66"/>
        <v>0</v>
      </c>
      <c r="O2174" s="53">
        <f t="shared" si="67"/>
        <v>0</v>
      </c>
    </row>
    <row r="2175" spans="1:15" x14ac:dyDescent="0.2">
      <c r="A2175" s="51" t="s">
        <v>3567</v>
      </c>
      <c r="B2175" s="51" t="s">
        <v>3568</v>
      </c>
      <c r="C2175" s="51" t="s">
        <v>70</v>
      </c>
      <c r="D2175" s="51" t="s">
        <v>4694</v>
      </c>
      <c r="E2175" s="51" t="s">
        <v>4695</v>
      </c>
      <c r="F2175" s="52">
        <v>2.1303179718332661</v>
      </c>
      <c r="G2175" s="52">
        <v>0</v>
      </c>
      <c r="H2175" s="52">
        <v>0</v>
      </c>
      <c r="I2175" s="52">
        <v>0</v>
      </c>
      <c r="J2175" s="51">
        <v>0</v>
      </c>
      <c r="K2175" s="54">
        <v>0</v>
      </c>
      <c r="L2175" s="51">
        <v>0</v>
      </c>
      <c r="M2175" s="54">
        <v>0</v>
      </c>
      <c r="N2175" s="53">
        <f t="shared" si="66"/>
        <v>0</v>
      </c>
      <c r="O2175" s="53">
        <f t="shared" si="67"/>
        <v>0</v>
      </c>
    </row>
    <row r="2176" spans="1:15" x14ac:dyDescent="0.2">
      <c r="A2176" s="51" t="s">
        <v>3567</v>
      </c>
      <c r="B2176" s="51" t="s">
        <v>3568</v>
      </c>
      <c r="C2176" s="51" t="s">
        <v>70</v>
      </c>
      <c r="D2176" s="51" t="s">
        <v>1240</v>
      </c>
      <c r="E2176" s="51" t="s">
        <v>1239</v>
      </c>
      <c r="F2176" s="52">
        <v>3489.4115752258981</v>
      </c>
      <c r="G2176" s="52">
        <v>6090</v>
      </c>
      <c r="H2176" s="52">
        <v>13340</v>
      </c>
      <c r="I2176" s="52">
        <v>19430</v>
      </c>
      <c r="J2176" s="51">
        <v>0</v>
      </c>
      <c r="K2176" s="54">
        <v>0</v>
      </c>
      <c r="L2176" s="51">
        <v>2</v>
      </c>
      <c r="M2176" s="54">
        <v>35000</v>
      </c>
      <c r="N2176" s="53">
        <f t="shared" si="66"/>
        <v>-35000</v>
      </c>
      <c r="O2176" s="53">
        <f t="shared" si="67"/>
        <v>35000</v>
      </c>
    </row>
    <row r="2177" spans="1:15" x14ac:dyDescent="0.2">
      <c r="A2177" s="51" t="s">
        <v>3567</v>
      </c>
      <c r="B2177" s="51" t="s">
        <v>3568</v>
      </c>
      <c r="C2177" s="51" t="s">
        <v>87</v>
      </c>
      <c r="D2177" s="51" t="s">
        <v>1258</v>
      </c>
      <c r="E2177" s="51" t="s">
        <v>1257</v>
      </c>
      <c r="F2177" s="52">
        <v>14319.76693415057</v>
      </c>
      <c r="G2177" s="52">
        <v>14740</v>
      </c>
      <c r="H2177" s="52">
        <v>17540</v>
      </c>
      <c r="I2177" s="52">
        <v>32280</v>
      </c>
      <c r="J2177" s="51">
        <v>1</v>
      </c>
      <c r="K2177" s="54">
        <v>5000</v>
      </c>
      <c r="L2177" s="51">
        <v>1</v>
      </c>
      <c r="M2177" s="54">
        <v>10000</v>
      </c>
      <c r="N2177" s="53">
        <f t="shared" si="66"/>
        <v>-5000</v>
      </c>
      <c r="O2177" s="53">
        <f t="shared" si="67"/>
        <v>5000</v>
      </c>
    </row>
    <row r="2178" spans="1:15" x14ac:dyDescent="0.2">
      <c r="A2178" s="51" t="s">
        <v>3567</v>
      </c>
      <c r="B2178" s="51" t="s">
        <v>3568</v>
      </c>
      <c r="C2178" s="51" t="s">
        <v>73</v>
      </c>
      <c r="D2178" s="51" t="s">
        <v>952</v>
      </c>
      <c r="E2178" s="51" t="s">
        <v>951</v>
      </c>
      <c r="F2178" s="52">
        <v>6971.19021062312</v>
      </c>
      <c r="G2178" s="52">
        <v>2000</v>
      </c>
      <c r="H2178" s="52">
        <v>102</v>
      </c>
      <c r="I2178" s="52">
        <v>2102</v>
      </c>
      <c r="J2178" s="51">
        <v>1</v>
      </c>
      <c r="K2178" s="54">
        <v>5000</v>
      </c>
      <c r="L2178" s="51">
        <v>0</v>
      </c>
      <c r="M2178" s="54">
        <v>0</v>
      </c>
      <c r="N2178" s="53">
        <f t="shared" si="66"/>
        <v>5000</v>
      </c>
      <c r="O2178" s="53">
        <f t="shared" si="67"/>
        <v>-5000</v>
      </c>
    </row>
    <row r="2179" spans="1:15" x14ac:dyDescent="0.2">
      <c r="A2179" s="51" t="s">
        <v>3567</v>
      </c>
      <c r="B2179" s="51" t="s">
        <v>3568</v>
      </c>
      <c r="C2179" s="51" t="s">
        <v>82</v>
      </c>
      <c r="D2179" s="51" t="s">
        <v>329</v>
      </c>
      <c r="E2179" s="51" t="s">
        <v>328</v>
      </c>
      <c r="F2179" s="52">
        <v>5235.224760246595</v>
      </c>
      <c r="G2179" s="52">
        <v>9020</v>
      </c>
      <c r="H2179" s="52">
        <v>3300</v>
      </c>
      <c r="I2179" s="52">
        <v>12320</v>
      </c>
      <c r="J2179" s="51">
        <v>1</v>
      </c>
      <c r="K2179" s="54">
        <v>10000</v>
      </c>
      <c r="L2179" s="51">
        <v>0</v>
      </c>
      <c r="M2179" s="54">
        <v>0</v>
      </c>
      <c r="N2179" s="53">
        <f t="shared" ref="N2179:N2242" si="68">K2179-M2179</f>
        <v>10000</v>
      </c>
      <c r="O2179" s="53">
        <f t="shared" ref="O2179:O2242" si="69">M2179-K2179</f>
        <v>-10000</v>
      </c>
    </row>
    <row r="2180" spans="1:15" x14ac:dyDescent="0.2">
      <c r="A2180" s="51" t="s">
        <v>3567</v>
      </c>
      <c r="B2180" s="51" t="s">
        <v>3568</v>
      </c>
      <c r="C2180" s="51" t="s">
        <v>3633</v>
      </c>
      <c r="D2180" s="51" t="s">
        <v>4701</v>
      </c>
      <c r="E2180" s="51" t="s">
        <v>4702</v>
      </c>
      <c r="F2180" s="52">
        <v>2.7197579334377031</v>
      </c>
      <c r="G2180" s="52">
        <v>0</v>
      </c>
      <c r="H2180" s="52">
        <v>0</v>
      </c>
      <c r="I2180" s="52">
        <v>0</v>
      </c>
      <c r="J2180" s="51">
        <v>0</v>
      </c>
      <c r="K2180" s="54">
        <v>0</v>
      </c>
      <c r="L2180" s="51">
        <v>0</v>
      </c>
      <c r="M2180" s="54">
        <v>0</v>
      </c>
      <c r="N2180" s="53">
        <f t="shared" si="68"/>
        <v>0</v>
      </c>
      <c r="O2180" s="53">
        <f t="shared" si="69"/>
        <v>0</v>
      </c>
    </row>
    <row r="2181" spans="1:15" x14ac:dyDescent="0.2">
      <c r="A2181" s="51" t="s">
        <v>3567</v>
      </c>
      <c r="B2181" s="51" t="s">
        <v>3568</v>
      </c>
      <c r="C2181" s="51" t="s">
        <v>82</v>
      </c>
      <c r="D2181" s="51" t="s">
        <v>1687</v>
      </c>
      <c r="E2181" s="51" t="s">
        <v>1686</v>
      </c>
      <c r="F2181" s="52">
        <v>2.3279999999999998</v>
      </c>
      <c r="G2181" s="52">
        <v>2459</v>
      </c>
      <c r="H2181" s="52">
        <v>2000</v>
      </c>
      <c r="I2181" s="52">
        <v>4459</v>
      </c>
      <c r="J2181" s="51">
        <v>0</v>
      </c>
      <c r="K2181" s="54">
        <v>0</v>
      </c>
      <c r="L2181" s="51">
        <v>1</v>
      </c>
      <c r="M2181" s="54">
        <v>4000</v>
      </c>
      <c r="N2181" s="53">
        <f t="shared" si="68"/>
        <v>-4000</v>
      </c>
      <c r="O2181" s="53">
        <f t="shared" si="69"/>
        <v>4000</v>
      </c>
    </row>
    <row r="2182" spans="1:15" x14ac:dyDescent="0.2">
      <c r="A2182" s="51" t="s">
        <v>3567</v>
      </c>
      <c r="B2182" s="51" t="s">
        <v>3568</v>
      </c>
      <c r="C2182" s="51" t="s">
        <v>93</v>
      </c>
      <c r="D2182" s="51" t="s">
        <v>1620</v>
      </c>
      <c r="E2182" s="51" t="s">
        <v>1619</v>
      </c>
      <c r="F2182" s="52">
        <v>14132.4272</v>
      </c>
      <c r="G2182" s="52">
        <v>13520</v>
      </c>
      <c r="H2182" s="52">
        <v>1000</v>
      </c>
      <c r="I2182" s="52">
        <v>14520</v>
      </c>
      <c r="J2182" s="51">
        <v>1</v>
      </c>
      <c r="K2182" s="54">
        <v>15000</v>
      </c>
      <c r="L2182" s="51">
        <v>1</v>
      </c>
      <c r="M2182" s="54">
        <v>5000</v>
      </c>
      <c r="N2182" s="53">
        <f t="shared" si="68"/>
        <v>10000</v>
      </c>
      <c r="O2182" s="53">
        <f t="shared" si="69"/>
        <v>-10000</v>
      </c>
    </row>
    <row r="2183" spans="1:15" x14ac:dyDescent="0.2">
      <c r="A2183" s="51" t="s">
        <v>3567</v>
      </c>
      <c r="B2183" s="51" t="s">
        <v>3568</v>
      </c>
      <c r="C2183" s="51" t="s">
        <v>65</v>
      </c>
      <c r="D2183" s="51" t="s">
        <v>186</v>
      </c>
      <c r="E2183" s="51" t="s">
        <v>185</v>
      </c>
      <c r="F2183" s="52">
        <v>19406.037799999998</v>
      </c>
      <c r="G2183" s="52">
        <v>5000</v>
      </c>
      <c r="H2183" s="52">
        <v>0</v>
      </c>
      <c r="I2183" s="52">
        <v>5000</v>
      </c>
      <c r="J2183" s="51">
        <v>1</v>
      </c>
      <c r="K2183" s="54">
        <v>5000</v>
      </c>
      <c r="L2183" s="51">
        <v>0</v>
      </c>
      <c r="M2183" s="54">
        <v>0</v>
      </c>
      <c r="N2183" s="53">
        <f t="shared" si="68"/>
        <v>5000</v>
      </c>
      <c r="O2183" s="53">
        <f t="shared" si="69"/>
        <v>-5000</v>
      </c>
    </row>
    <row r="2184" spans="1:15" x14ac:dyDescent="0.2">
      <c r="A2184" s="51" t="s">
        <v>3567</v>
      </c>
      <c r="B2184" s="51" t="s">
        <v>3568</v>
      </c>
      <c r="C2184" s="51" t="s">
        <v>74</v>
      </c>
      <c r="D2184" s="51" t="s">
        <v>3438</v>
      </c>
      <c r="E2184" s="51" t="s">
        <v>3437</v>
      </c>
      <c r="F2184" s="52">
        <v>4908.7376999999997</v>
      </c>
      <c r="G2184" s="52">
        <v>705</v>
      </c>
      <c r="H2184" s="52">
        <v>5100</v>
      </c>
      <c r="I2184" s="52">
        <v>5805</v>
      </c>
      <c r="J2184" s="51">
        <v>1</v>
      </c>
      <c r="K2184" s="54">
        <v>5000</v>
      </c>
      <c r="L2184" s="51">
        <v>1</v>
      </c>
      <c r="M2184" s="54">
        <v>17000</v>
      </c>
      <c r="N2184" s="53">
        <f t="shared" si="68"/>
        <v>-12000</v>
      </c>
      <c r="O2184" s="53">
        <f t="shared" si="69"/>
        <v>12000</v>
      </c>
    </row>
    <row r="2185" spans="1:15" x14ac:dyDescent="0.2">
      <c r="A2185" s="51" t="s">
        <v>3567</v>
      </c>
      <c r="B2185" s="51" t="s">
        <v>3568</v>
      </c>
      <c r="C2185" s="51" t="s">
        <v>63</v>
      </c>
      <c r="D2185" s="51" t="s">
        <v>4683</v>
      </c>
      <c r="E2185" s="51" t="s">
        <v>4684</v>
      </c>
      <c r="F2185" s="52">
        <v>1.0651697419397019</v>
      </c>
      <c r="G2185" s="52">
        <v>0</v>
      </c>
      <c r="H2185" s="52">
        <v>0</v>
      </c>
      <c r="I2185" s="52">
        <v>0</v>
      </c>
      <c r="J2185" s="51">
        <v>0</v>
      </c>
      <c r="K2185" s="54">
        <v>0</v>
      </c>
      <c r="L2185" s="51">
        <v>0</v>
      </c>
      <c r="M2185" s="54">
        <v>0</v>
      </c>
      <c r="N2185" s="53">
        <f t="shared" si="68"/>
        <v>0</v>
      </c>
      <c r="O2185" s="53">
        <f t="shared" si="69"/>
        <v>0</v>
      </c>
    </row>
    <row r="2186" spans="1:15" x14ac:dyDescent="0.2">
      <c r="A2186" s="51" t="s">
        <v>3567</v>
      </c>
      <c r="B2186" s="51" t="s">
        <v>3568</v>
      </c>
      <c r="C2186" s="51" t="s">
        <v>72</v>
      </c>
      <c r="D2186" s="51" t="s">
        <v>1070</v>
      </c>
      <c r="E2186" s="51" t="s">
        <v>1069</v>
      </c>
      <c r="F2186" s="52">
        <v>4414.5078999999996</v>
      </c>
      <c r="G2186" s="52">
        <v>1705</v>
      </c>
      <c r="H2186" s="52">
        <v>6170</v>
      </c>
      <c r="I2186" s="52">
        <v>7875</v>
      </c>
      <c r="J2186" s="51">
        <v>0</v>
      </c>
      <c r="K2186" s="54">
        <v>0</v>
      </c>
      <c r="L2186" s="51">
        <v>1</v>
      </c>
      <c r="M2186" s="54">
        <v>30000</v>
      </c>
      <c r="N2186" s="53">
        <f t="shared" si="68"/>
        <v>-30000</v>
      </c>
      <c r="O2186" s="53">
        <f t="shared" si="69"/>
        <v>30000</v>
      </c>
    </row>
    <row r="2187" spans="1:15" x14ac:dyDescent="0.2">
      <c r="A2187" s="51" t="s">
        <v>3567</v>
      </c>
      <c r="B2187" s="51" t="s">
        <v>3568</v>
      </c>
      <c r="C2187" s="51" t="s">
        <v>62</v>
      </c>
      <c r="D2187" s="51" t="s">
        <v>1169</v>
      </c>
      <c r="E2187" s="51" t="s">
        <v>1168</v>
      </c>
      <c r="F2187" s="52">
        <v>8211.5769204319367</v>
      </c>
      <c r="G2187" s="52">
        <v>0</v>
      </c>
      <c r="H2187" s="52">
        <v>0</v>
      </c>
      <c r="I2187" s="52">
        <v>0</v>
      </c>
      <c r="J2187" s="51">
        <v>0</v>
      </c>
      <c r="K2187" s="54">
        <v>0</v>
      </c>
      <c r="L2187" s="51">
        <v>1</v>
      </c>
      <c r="M2187" s="54">
        <v>5000</v>
      </c>
      <c r="N2187" s="53">
        <f t="shared" si="68"/>
        <v>-5000</v>
      </c>
      <c r="O2187" s="53">
        <f t="shared" si="69"/>
        <v>5000</v>
      </c>
    </row>
    <row r="2188" spans="1:15" x14ac:dyDescent="0.2">
      <c r="A2188" s="51" t="s">
        <v>3567</v>
      </c>
      <c r="B2188" s="51" t="s">
        <v>3568</v>
      </c>
      <c r="C2188" s="51" t="s">
        <v>84</v>
      </c>
      <c r="D2188" s="51" t="s">
        <v>4688</v>
      </c>
      <c r="E2188" s="51" t="s">
        <v>4689</v>
      </c>
      <c r="F2188" s="52">
        <v>0.54774999999999996</v>
      </c>
      <c r="G2188" s="52">
        <v>0</v>
      </c>
      <c r="H2188" s="52">
        <v>0</v>
      </c>
      <c r="I2188" s="52">
        <v>0</v>
      </c>
      <c r="J2188" s="51">
        <v>0</v>
      </c>
      <c r="K2188" s="54">
        <v>0</v>
      </c>
      <c r="L2188" s="51">
        <v>0</v>
      </c>
      <c r="M2188" s="54">
        <v>0</v>
      </c>
      <c r="N2188" s="53">
        <f t="shared" si="68"/>
        <v>0</v>
      </c>
      <c r="O2188" s="53">
        <f t="shared" si="69"/>
        <v>0</v>
      </c>
    </row>
    <row r="2189" spans="1:15" x14ac:dyDescent="0.2">
      <c r="A2189" s="51" t="s">
        <v>3567</v>
      </c>
      <c r="B2189" s="51" t="s">
        <v>3568</v>
      </c>
      <c r="C2189" s="51" t="s">
        <v>52</v>
      </c>
      <c r="D2189" s="51" t="s">
        <v>984</v>
      </c>
      <c r="E2189" s="51" t="s">
        <v>983</v>
      </c>
      <c r="F2189" s="52">
        <v>7254.0989144600917</v>
      </c>
      <c r="G2189" s="52">
        <v>11110</v>
      </c>
      <c r="H2189" s="52">
        <v>20657</v>
      </c>
      <c r="I2189" s="52">
        <v>31767</v>
      </c>
      <c r="J2189" s="51">
        <v>0</v>
      </c>
      <c r="K2189" s="54">
        <v>0</v>
      </c>
      <c r="L2189" s="51">
        <v>2</v>
      </c>
      <c r="M2189" s="54">
        <v>40000</v>
      </c>
      <c r="N2189" s="53">
        <f t="shared" si="68"/>
        <v>-40000</v>
      </c>
      <c r="O2189" s="53">
        <f t="shared" si="69"/>
        <v>40000</v>
      </c>
    </row>
    <row r="2190" spans="1:15" x14ac:dyDescent="0.2">
      <c r="A2190" s="51" t="s">
        <v>3567</v>
      </c>
      <c r="B2190" s="51" t="s">
        <v>3568</v>
      </c>
      <c r="C2190" s="51" t="s">
        <v>73</v>
      </c>
      <c r="D2190" s="51" t="s">
        <v>1351</v>
      </c>
      <c r="E2190" s="51" t="s">
        <v>1350</v>
      </c>
      <c r="F2190" s="52">
        <v>2913.892172742695</v>
      </c>
      <c r="G2190" s="52">
        <v>32400</v>
      </c>
      <c r="H2190" s="52">
        <v>1500</v>
      </c>
      <c r="I2190" s="52">
        <v>33900</v>
      </c>
      <c r="J2190" s="51">
        <v>1</v>
      </c>
      <c r="K2190" s="54">
        <v>30000</v>
      </c>
      <c r="L2190" s="51">
        <v>0</v>
      </c>
      <c r="M2190" s="54">
        <v>0</v>
      </c>
      <c r="N2190" s="53">
        <f t="shared" si="68"/>
        <v>30000</v>
      </c>
      <c r="O2190" s="53">
        <f t="shared" si="69"/>
        <v>-30000</v>
      </c>
    </row>
    <row r="2191" spans="1:15" x14ac:dyDescent="0.2">
      <c r="A2191" s="51" t="s">
        <v>3567</v>
      </c>
      <c r="B2191" s="51" t="s">
        <v>3568</v>
      </c>
      <c r="C2191" s="51" t="s">
        <v>68</v>
      </c>
      <c r="D2191" s="51" t="s">
        <v>2935</v>
      </c>
      <c r="E2191" s="51" t="s">
        <v>2934</v>
      </c>
      <c r="F2191" s="52">
        <v>6326.5443332938012</v>
      </c>
      <c r="G2191" s="52">
        <v>4400</v>
      </c>
      <c r="H2191" s="52">
        <v>40945</v>
      </c>
      <c r="I2191" s="52">
        <v>45345</v>
      </c>
      <c r="J2191" s="51">
        <v>0</v>
      </c>
      <c r="K2191" s="54">
        <v>0</v>
      </c>
      <c r="L2191" s="51">
        <v>2</v>
      </c>
      <c r="M2191" s="54">
        <v>35000</v>
      </c>
      <c r="N2191" s="53">
        <f t="shared" si="68"/>
        <v>-35000</v>
      </c>
      <c r="O2191" s="53">
        <f t="shared" si="69"/>
        <v>35000</v>
      </c>
    </row>
    <row r="2192" spans="1:15" x14ac:dyDescent="0.2">
      <c r="A2192" s="51" t="s">
        <v>3567</v>
      </c>
      <c r="B2192" s="51" t="s">
        <v>3568</v>
      </c>
      <c r="C2192" s="51" t="s">
        <v>3763</v>
      </c>
      <c r="D2192" s="51" t="s">
        <v>4686</v>
      </c>
      <c r="E2192" s="51" t="s">
        <v>4687</v>
      </c>
      <c r="F2192" s="52">
        <v>1.484294824799302</v>
      </c>
      <c r="G2192" s="52">
        <v>0</v>
      </c>
      <c r="H2192" s="52">
        <v>0</v>
      </c>
      <c r="I2192" s="52">
        <v>0</v>
      </c>
      <c r="J2192" s="51">
        <v>0</v>
      </c>
      <c r="K2192" s="54">
        <v>0</v>
      </c>
      <c r="L2192" s="51">
        <v>0</v>
      </c>
      <c r="M2192" s="54">
        <v>0</v>
      </c>
      <c r="N2192" s="53">
        <f t="shared" si="68"/>
        <v>0</v>
      </c>
      <c r="O2192" s="53">
        <f t="shared" si="69"/>
        <v>0</v>
      </c>
    </row>
    <row r="2193" spans="1:15" x14ac:dyDescent="0.2">
      <c r="A2193" s="51" t="s">
        <v>3567</v>
      </c>
      <c r="B2193" s="51" t="s">
        <v>3568</v>
      </c>
      <c r="C2193" s="51" t="s">
        <v>59</v>
      </c>
      <c r="D2193" s="51" t="s">
        <v>1175</v>
      </c>
      <c r="E2193" s="51" t="s">
        <v>1174</v>
      </c>
      <c r="F2193" s="52">
        <v>17008.410736743412</v>
      </c>
      <c r="G2193" s="52">
        <v>30140</v>
      </c>
      <c r="H2193" s="52">
        <v>49880</v>
      </c>
      <c r="I2193" s="52">
        <v>80020</v>
      </c>
      <c r="J2193" s="51">
        <v>0</v>
      </c>
      <c r="K2193" s="54">
        <v>0</v>
      </c>
      <c r="L2193" s="51">
        <v>2</v>
      </c>
      <c r="M2193" s="54">
        <v>55000</v>
      </c>
      <c r="N2193" s="53">
        <f t="shared" si="68"/>
        <v>-55000</v>
      </c>
      <c r="O2193" s="53">
        <f t="shared" si="69"/>
        <v>55000</v>
      </c>
    </row>
    <row r="2194" spans="1:15" x14ac:dyDescent="0.2">
      <c r="A2194" s="51" t="s">
        <v>3567</v>
      </c>
      <c r="B2194" s="51" t="s">
        <v>3568</v>
      </c>
      <c r="C2194" s="51" t="s">
        <v>3698</v>
      </c>
      <c r="D2194" s="51" t="s">
        <v>4681</v>
      </c>
      <c r="E2194" s="51" t="s">
        <v>4682</v>
      </c>
      <c r="F2194" s="52">
        <v>0.52005280090319062</v>
      </c>
      <c r="G2194" s="52">
        <v>0</v>
      </c>
      <c r="H2194" s="52">
        <v>0</v>
      </c>
      <c r="I2194" s="52">
        <v>0</v>
      </c>
      <c r="J2194" s="51">
        <v>0</v>
      </c>
      <c r="K2194" s="54">
        <v>0</v>
      </c>
      <c r="L2194" s="51">
        <v>0</v>
      </c>
      <c r="M2194" s="54">
        <v>0</v>
      </c>
      <c r="N2194" s="53">
        <f t="shared" si="68"/>
        <v>0</v>
      </c>
      <c r="O2194" s="53">
        <f t="shared" si="69"/>
        <v>0</v>
      </c>
    </row>
    <row r="2195" spans="1:15" x14ac:dyDescent="0.2">
      <c r="A2195" s="51" t="s">
        <v>3567</v>
      </c>
      <c r="B2195" s="51" t="s">
        <v>3568</v>
      </c>
      <c r="C2195" s="51" t="s">
        <v>54</v>
      </c>
      <c r="D2195" s="51" t="s">
        <v>361</v>
      </c>
      <c r="E2195" s="51" t="s">
        <v>360</v>
      </c>
      <c r="F2195" s="52">
        <v>23545.855020967469</v>
      </c>
      <c r="G2195" s="52">
        <v>2820</v>
      </c>
      <c r="H2195" s="52">
        <v>0</v>
      </c>
      <c r="I2195" s="52">
        <v>2820</v>
      </c>
      <c r="J2195" s="51">
        <v>2</v>
      </c>
      <c r="K2195" s="54">
        <v>10000</v>
      </c>
      <c r="L2195" s="51">
        <v>0</v>
      </c>
      <c r="M2195" s="54">
        <v>0</v>
      </c>
      <c r="N2195" s="53">
        <f t="shared" si="68"/>
        <v>10000</v>
      </c>
      <c r="O2195" s="53">
        <f t="shared" si="69"/>
        <v>-10000</v>
      </c>
    </row>
    <row r="2196" spans="1:15" x14ac:dyDescent="0.2">
      <c r="A2196" s="51" t="s">
        <v>3567</v>
      </c>
      <c r="B2196" s="51" t="s">
        <v>3568</v>
      </c>
      <c r="C2196" s="51" t="s">
        <v>58</v>
      </c>
      <c r="D2196" s="51" t="s">
        <v>1864</v>
      </c>
      <c r="E2196" s="51" t="s">
        <v>1863</v>
      </c>
      <c r="F2196" s="52">
        <v>13084.16609795054</v>
      </c>
      <c r="G2196" s="52">
        <v>2400</v>
      </c>
      <c r="H2196" s="52">
        <v>11500</v>
      </c>
      <c r="I2196" s="52">
        <v>13900</v>
      </c>
      <c r="J2196" s="51">
        <v>0</v>
      </c>
      <c r="K2196" s="54">
        <v>0</v>
      </c>
      <c r="L2196" s="51">
        <v>1</v>
      </c>
      <c r="M2196" s="54">
        <v>5000</v>
      </c>
      <c r="N2196" s="53">
        <f t="shared" si="68"/>
        <v>-5000</v>
      </c>
      <c r="O2196" s="53">
        <f t="shared" si="69"/>
        <v>5000</v>
      </c>
    </row>
    <row r="2197" spans="1:15" x14ac:dyDescent="0.2">
      <c r="A2197" s="51" t="s">
        <v>3567</v>
      </c>
      <c r="B2197" s="51" t="s">
        <v>3568</v>
      </c>
      <c r="C2197" s="51" t="s">
        <v>69</v>
      </c>
      <c r="D2197" s="51" t="s">
        <v>776</v>
      </c>
      <c r="E2197" s="51" t="s">
        <v>775</v>
      </c>
      <c r="F2197" s="52">
        <v>11219.9516</v>
      </c>
      <c r="G2197" s="52">
        <v>4970</v>
      </c>
      <c r="H2197" s="52">
        <v>10200</v>
      </c>
      <c r="I2197" s="52">
        <v>15170</v>
      </c>
      <c r="J2197" s="51">
        <v>0</v>
      </c>
      <c r="K2197" s="54">
        <v>0</v>
      </c>
      <c r="L2197" s="51">
        <v>1</v>
      </c>
      <c r="M2197" s="54">
        <v>20000</v>
      </c>
      <c r="N2197" s="53">
        <f t="shared" si="68"/>
        <v>-20000</v>
      </c>
      <c r="O2197" s="53">
        <f t="shared" si="69"/>
        <v>20000</v>
      </c>
    </row>
    <row r="2198" spans="1:15" x14ac:dyDescent="0.2">
      <c r="A2198" s="51" t="s">
        <v>3567</v>
      </c>
      <c r="B2198" s="51" t="s">
        <v>3568</v>
      </c>
      <c r="C2198" s="51" t="s">
        <v>76</v>
      </c>
      <c r="D2198" s="51" t="s">
        <v>522</v>
      </c>
      <c r="E2198" s="51" t="s">
        <v>521</v>
      </c>
      <c r="F2198" s="52">
        <v>12.9058011870736</v>
      </c>
      <c r="G2198" s="52">
        <v>0</v>
      </c>
      <c r="H2198" s="52">
        <v>0</v>
      </c>
      <c r="I2198" s="52">
        <v>0</v>
      </c>
      <c r="J2198" s="51">
        <v>0</v>
      </c>
      <c r="K2198" s="54">
        <v>0</v>
      </c>
      <c r="L2198" s="51">
        <v>0</v>
      </c>
      <c r="M2198" s="54">
        <v>0</v>
      </c>
      <c r="N2198" s="53">
        <f t="shared" si="68"/>
        <v>0</v>
      </c>
      <c r="O2198" s="53">
        <f t="shared" si="69"/>
        <v>0</v>
      </c>
    </row>
    <row r="2199" spans="1:15" x14ac:dyDescent="0.2">
      <c r="A2199" s="51" t="s">
        <v>3567</v>
      </c>
      <c r="B2199" s="51" t="s">
        <v>3568</v>
      </c>
      <c r="C2199" s="51" t="s">
        <v>82</v>
      </c>
      <c r="D2199" s="51" t="s">
        <v>2454</v>
      </c>
      <c r="E2199" s="51" t="s">
        <v>2453</v>
      </c>
      <c r="F2199" s="52">
        <v>26.3065</v>
      </c>
      <c r="G2199" s="52">
        <v>210</v>
      </c>
      <c r="H2199" s="52">
        <v>3000</v>
      </c>
      <c r="I2199" s="52">
        <v>3210</v>
      </c>
      <c r="J2199" s="51">
        <v>0</v>
      </c>
      <c r="K2199" s="54">
        <v>0</v>
      </c>
      <c r="L2199" s="51">
        <v>1</v>
      </c>
      <c r="M2199" s="54">
        <v>7000</v>
      </c>
      <c r="N2199" s="53">
        <f t="shared" si="68"/>
        <v>-7000</v>
      </c>
      <c r="O2199" s="53">
        <f t="shared" si="69"/>
        <v>7000</v>
      </c>
    </row>
    <row r="2200" spans="1:15" x14ac:dyDescent="0.2">
      <c r="A2200" s="51" t="s">
        <v>3567</v>
      </c>
      <c r="B2200" s="51" t="s">
        <v>3568</v>
      </c>
      <c r="C2200" s="51" t="s">
        <v>68</v>
      </c>
      <c r="D2200" s="51" t="s">
        <v>367</v>
      </c>
      <c r="E2200" s="51" t="s">
        <v>366</v>
      </c>
      <c r="F2200" s="52">
        <v>2430.0194882557789</v>
      </c>
      <c r="G2200" s="52">
        <v>0</v>
      </c>
      <c r="H2200" s="52">
        <v>0</v>
      </c>
      <c r="I2200" s="52">
        <v>0</v>
      </c>
      <c r="J2200" s="51">
        <v>0</v>
      </c>
      <c r="K2200" s="54">
        <v>0</v>
      </c>
      <c r="L2200" s="51">
        <v>0</v>
      </c>
      <c r="M2200" s="54">
        <v>0</v>
      </c>
      <c r="N2200" s="53">
        <f t="shared" si="68"/>
        <v>0</v>
      </c>
      <c r="O2200" s="53">
        <f t="shared" si="69"/>
        <v>0</v>
      </c>
    </row>
    <row r="2201" spans="1:15" x14ac:dyDescent="0.2">
      <c r="A2201" s="51" t="s">
        <v>3567</v>
      </c>
      <c r="B2201" s="51" t="s">
        <v>3568</v>
      </c>
      <c r="C2201" s="51" t="s">
        <v>77</v>
      </c>
      <c r="D2201" s="51" t="s">
        <v>3368</v>
      </c>
      <c r="E2201" s="51" t="s">
        <v>3367</v>
      </c>
      <c r="F2201" s="52">
        <v>40214.486160192479</v>
      </c>
      <c r="G2201" s="52">
        <v>1000</v>
      </c>
      <c r="H2201" s="52">
        <v>0</v>
      </c>
      <c r="I2201" s="52">
        <v>1000</v>
      </c>
      <c r="J2201" s="51">
        <v>1</v>
      </c>
      <c r="K2201" s="54">
        <v>5000</v>
      </c>
      <c r="L2201" s="51">
        <v>0</v>
      </c>
      <c r="M2201" s="54">
        <v>0</v>
      </c>
      <c r="N2201" s="53">
        <f t="shared" si="68"/>
        <v>5000</v>
      </c>
      <c r="O2201" s="53">
        <f t="shared" si="69"/>
        <v>-5000</v>
      </c>
    </row>
    <row r="2202" spans="1:15" x14ac:dyDescent="0.2">
      <c r="A2202" s="51" t="s">
        <v>3567</v>
      </c>
      <c r="B2202" s="51" t="s">
        <v>3568</v>
      </c>
      <c r="C2202" s="51" t="s">
        <v>69</v>
      </c>
      <c r="D2202" s="51" t="s">
        <v>4727</v>
      </c>
      <c r="E2202" s="51" t="s">
        <v>4728</v>
      </c>
      <c r="F2202" s="52">
        <v>4.0230499999999996</v>
      </c>
      <c r="G2202" s="52">
        <v>0</v>
      </c>
      <c r="H2202" s="52">
        <v>0</v>
      </c>
      <c r="I2202" s="52">
        <v>0</v>
      </c>
      <c r="J2202" s="51">
        <v>0</v>
      </c>
      <c r="K2202" s="54">
        <v>0</v>
      </c>
      <c r="L2202" s="51">
        <v>0</v>
      </c>
      <c r="M2202" s="54">
        <v>0</v>
      </c>
      <c r="N2202" s="53">
        <f t="shared" si="68"/>
        <v>0</v>
      </c>
      <c r="O2202" s="53">
        <f t="shared" si="69"/>
        <v>0</v>
      </c>
    </row>
    <row r="2203" spans="1:15" x14ac:dyDescent="0.2">
      <c r="A2203" s="51" t="s">
        <v>3567</v>
      </c>
      <c r="B2203" s="51" t="s">
        <v>3568</v>
      </c>
      <c r="C2203" s="51" t="s">
        <v>65</v>
      </c>
      <c r="D2203" s="51" t="s">
        <v>2179</v>
      </c>
      <c r="E2203" s="51" t="s">
        <v>2178</v>
      </c>
      <c r="F2203" s="52">
        <v>10609.89595</v>
      </c>
      <c r="G2203" s="52">
        <v>980</v>
      </c>
      <c r="H2203" s="52">
        <v>500</v>
      </c>
      <c r="I2203" s="52">
        <v>1480</v>
      </c>
      <c r="J2203" s="51">
        <v>1</v>
      </c>
      <c r="K2203" s="54">
        <v>10000</v>
      </c>
      <c r="L2203" s="51">
        <v>0</v>
      </c>
      <c r="M2203" s="54">
        <v>0</v>
      </c>
      <c r="N2203" s="53">
        <f t="shared" si="68"/>
        <v>10000</v>
      </c>
      <c r="O2203" s="53">
        <f t="shared" si="69"/>
        <v>-10000</v>
      </c>
    </row>
    <row r="2204" spans="1:15" x14ac:dyDescent="0.2">
      <c r="A2204" s="51" t="s">
        <v>3567</v>
      </c>
      <c r="B2204" s="51" t="s">
        <v>3568</v>
      </c>
      <c r="C2204" s="51" t="s">
        <v>80</v>
      </c>
      <c r="D2204" s="51" t="s">
        <v>3294</v>
      </c>
      <c r="E2204" s="51" t="s">
        <v>3293</v>
      </c>
      <c r="F2204" s="52">
        <v>6885.1106</v>
      </c>
      <c r="G2204" s="52">
        <v>0</v>
      </c>
      <c r="H2204" s="52">
        <v>4850</v>
      </c>
      <c r="I2204" s="52">
        <v>4850</v>
      </c>
      <c r="J2204" s="51">
        <v>0</v>
      </c>
      <c r="K2204" s="54">
        <v>0</v>
      </c>
      <c r="L2204" s="51">
        <v>1</v>
      </c>
      <c r="M2204" s="54">
        <v>50000</v>
      </c>
      <c r="N2204" s="53">
        <f t="shared" si="68"/>
        <v>-50000</v>
      </c>
      <c r="O2204" s="53">
        <f t="shared" si="69"/>
        <v>50000</v>
      </c>
    </row>
    <row r="2205" spans="1:15" x14ac:dyDescent="0.2">
      <c r="A2205" s="51" t="s">
        <v>3567</v>
      </c>
      <c r="B2205" s="51" t="s">
        <v>3568</v>
      </c>
      <c r="C2205" s="51" t="s">
        <v>92</v>
      </c>
      <c r="D2205" s="51" t="s">
        <v>2234</v>
      </c>
      <c r="E2205" s="51" t="s">
        <v>2233</v>
      </c>
      <c r="F2205" s="52">
        <v>13713.860834782699</v>
      </c>
      <c r="G2205" s="52">
        <v>1500</v>
      </c>
      <c r="H2205" s="52">
        <v>7230</v>
      </c>
      <c r="I2205" s="52">
        <v>8730</v>
      </c>
      <c r="J2205" s="51">
        <v>0</v>
      </c>
      <c r="K2205" s="54">
        <v>0</v>
      </c>
      <c r="L2205" s="51">
        <v>1</v>
      </c>
      <c r="M2205" s="54">
        <v>5000</v>
      </c>
      <c r="N2205" s="53">
        <f t="shared" si="68"/>
        <v>-5000</v>
      </c>
      <c r="O2205" s="53">
        <f t="shared" si="69"/>
        <v>5000</v>
      </c>
    </row>
    <row r="2206" spans="1:15" x14ac:dyDescent="0.2">
      <c r="A2206" s="51" t="s">
        <v>3567</v>
      </c>
      <c r="B2206" s="51" t="s">
        <v>3568</v>
      </c>
      <c r="C2206" s="51" t="s">
        <v>54</v>
      </c>
      <c r="D2206" s="51" t="s">
        <v>1018</v>
      </c>
      <c r="E2206" s="51" t="s">
        <v>1017</v>
      </c>
      <c r="F2206" s="52">
        <v>12821.08550998475</v>
      </c>
      <c r="G2206" s="52">
        <v>1300</v>
      </c>
      <c r="H2206" s="52">
        <v>18355</v>
      </c>
      <c r="I2206" s="52">
        <v>19655</v>
      </c>
      <c r="J2206" s="51">
        <v>0</v>
      </c>
      <c r="K2206" s="54">
        <v>0</v>
      </c>
      <c r="L2206" s="51">
        <v>2</v>
      </c>
      <c r="M2206" s="54">
        <v>15000</v>
      </c>
      <c r="N2206" s="53">
        <f t="shared" si="68"/>
        <v>-15000</v>
      </c>
      <c r="O2206" s="53">
        <f t="shared" si="69"/>
        <v>15000</v>
      </c>
    </row>
    <row r="2207" spans="1:15" x14ac:dyDescent="0.2">
      <c r="A2207" s="51" t="s">
        <v>3567</v>
      </c>
      <c r="B2207" s="51" t="s">
        <v>3568</v>
      </c>
      <c r="C2207" s="51" t="s">
        <v>83</v>
      </c>
      <c r="D2207" s="51" t="s">
        <v>2350</v>
      </c>
      <c r="E2207" s="51" t="s">
        <v>2349</v>
      </c>
      <c r="F2207" s="52">
        <v>1995.3287536125149</v>
      </c>
      <c r="G2207" s="52">
        <v>0</v>
      </c>
      <c r="H2207" s="52">
        <v>0</v>
      </c>
      <c r="I2207" s="52">
        <v>0</v>
      </c>
      <c r="J2207" s="51">
        <v>0</v>
      </c>
      <c r="K2207" s="54">
        <v>0</v>
      </c>
      <c r="L2207" s="51">
        <v>0</v>
      </c>
      <c r="M2207" s="54">
        <v>0</v>
      </c>
      <c r="N2207" s="53">
        <f t="shared" si="68"/>
        <v>0</v>
      </c>
      <c r="O2207" s="53">
        <f t="shared" si="69"/>
        <v>0</v>
      </c>
    </row>
    <row r="2208" spans="1:15" x14ac:dyDescent="0.2">
      <c r="A2208" s="51" t="s">
        <v>3567</v>
      </c>
      <c r="B2208" s="51" t="s">
        <v>3568</v>
      </c>
      <c r="C2208" s="51" t="s">
        <v>68</v>
      </c>
      <c r="D2208" s="51" t="s">
        <v>2336</v>
      </c>
      <c r="E2208" s="51" t="s">
        <v>2335</v>
      </c>
      <c r="F2208" s="52">
        <v>35402.361258788311</v>
      </c>
      <c r="G2208" s="52">
        <v>19205</v>
      </c>
      <c r="H2208" s="52">
        <v>14610</v>
      </c>
      <c r="I2208" s="52">
        <v>33815</v>
      </c>
      <c r="J2208" s="51">
        <v>1</v>
      </c>
      <c r="K2208" s="54">
        <v>10000</v>
      </c>
      <c r="L2208" s="51">
        <v>0</v>
      </c>
      <c r="M2208" s="54">
        <v>0</v>
      </c>
      <c r="N2208" s="53">
        <f t="shared" si="68"/>
        <v>10000</v>
      </c>
      <c r="O2208" s="53">
        <f t="shared" si="69"/>
        <v>-10000</v>
      </c>
    </row>
    <row r="2209" spans="1:15" x14ac:dyDescent="0.2">
      <c r="A2209" s="51" t="s">
        <v>3567</v>
      </c>
      <c r="B2209" s="51" t="s">
        <v>3568</v>
      </c>
      <c r="C2209" s="51" t="s">
        <v>59</v>
      </c>
      <c r="D2209" s="51" t="s">
        <v>418</v>
      </c>
      <c r="E2209" s="51" t="s">
        <v>417</v>
      </c>
      <c r="F2209" s="52">
        <v>2840.1543000000001</v>
      </c>
      <c r="G2209" s="52">
        <v>10340</v>
      </c>
      <c r="H2209" s="52">
        <v>6400</v>
      </c>
      <c r="I2209" s="52">
        <v>16740</v>
      </c>
      <c r="J2209" s="51">
        <v>0</v>
      </c>
      <c r="K2209" s="54">
        <v>0</v>
      </c>
      <c r="L2209" s="51">
        <v>1</v>
      </c>
      <c r="M2209" s="54">
        <v>20000</v>
      </c>
      <c r="N2209" s="53">
        <f t="shared" si="68"/>
        <v>-20000</v>
      </c>
      <c r="O2209" s="53">
        <f t="shared" si="69"/>
        <v>20000</v>
      </c>
    </row>
    <row r="2210" spans="1:15" x14ac:dyDescent="0.2">
      <c r="A2210" s="51" t="s">
        <v>3567</v>
      </c>
      <c r="B2210" s="51" t="s">
        <v>3568</v>
      </c>
      <c r="C2210" s="51" t="s">
        <v>71</v>
      </c>
      <c r="D2210" s="51" t="s">
        <v>4697</v>
      </c>
      <c r="E2210" s="51" t="s">
        <v>4698</v>
      </c>
      <c r="F2210" s="52">
        <v>0.78964999999999996</v>
      </c>
      <c r="G2210" s="52">
        <v>0</v>
      </c>
      <c r="H2210" s="52">
        <v>0</v>
      </c>
      <c r="I2210" s="52">
        <v>0</v>
      </c>
      <c r="J2210" s="51">
        <v>0</v>
      </c>
      <c r="K2210" s="54">
        <v>0</v>
      </c>
      <c r="L2210" s="51">
        <v>0</v>
      </c>
      <c r="M2210" s="54">
        <v>0</v>
      </c>
      <c r="N2210" s="53">
        <f t="shared" si="68"/>
        <v>0</v>
      </c>
      <c r="O2210" s="53">
        <f t="shared" si="69"/>
        <v>0</v>
      </c>
    </row>
    <row r="2211" spans="1:15" x14ac:dyDescent="0.2">
      <c r="A2211" s="51" t="s">
        <v>3567</v>
      </c>
      <c r="B2211" s="51" t="s">
        <v>3568</v>
      </c>
      <c r="C2211" s="51" t="s">
        <v>55</v>
      </c>
      <c r="D2211" s="51" t="s">
        <v>587</v>
      </c>
      <c r="E2211" s="51" t="s">
        <v>586</v>
      </c>
      <c r="F2211" s="52">
        <v>2561.6563999999998</v>
      </c>
      <c r="G2211" s="52">
        <v>6150</v>
      </c>
      <c r="H2211" s="52">
        <v>30235</v>
      </c>
      <c r="I2211" s="52">
        <v>36385</v>
      </c>
      <c r="J2211" s="51">
        <v>0</v>
      </c>
      <c r="K2211" s="54">
        <v>0</v>
      </c>
      <c r="L2211" s="51">
        <v>2</v>
      </c>
      <c r="M2211" s="54">
        <v>25000</v>
      </c>
      <c r="N2211" s="53">
        <f t="shared" si="68"/>
        <v>-25000</v>
      </c>
      <c r="O2211" s="53">
        <f t="shared" si="69"/>
        <v>25000</v>
      </c>
    </row>
    <row r="2212" spans="1:15" x14ac:dyDescent="0.2">
      <c r="A2212" s="51" t="s">
        <v>3567</v>
      </c>
      <c r="B2212" s="51" t="s">
        <v>3568</v>
      </c>
      <c r="C2212" s="51" t="s">
        <v>84</v>
      </c>
      <c r="D2212" s="51" t="s">
        <v>287</v>
      </c>
      <c r="E2212" s="51" t="s">
        <v>286</v>
      </c>
      <c r="F2212" s="52">
        <v>4849.5386717254878</v>
      </c>
      <c r="G2212" s="52">
        <v>1900</v>
      </c>
      <c r="H2212" s="52">
        <v>0</v>
      </c>
      <c r="I2212" s="52">
        <v>1900</v>
      </c>
      <c r="J2212" s="51">
        <v>1</v>
      </c>
      <c r="K2212" s="54">
        <v>5000</v>
      </c>
      <c r="L2212" s="51">
        <v>0</v>
      </c>
      <c r="M2212" s="54">
        <v>0</v>
      </c>
      <c r="N2212" s="53">
        <f t="shared" si="68"/>
        <v>5000</v>
      </c>
      <c r="O2212" s="53">
        <f t="shared" si="69"/>
        <v>-5000</v>
      </c>
    </row>
    <row r="2213" spans="1:15" x14ac:dyDescent="0.2">
      <c r="A2213" s="51" t="s">
        <v>3567</v>
      </c>
      <c r="B2213" s="51" t="s">
        <v>3568</v>
      </c>
      <c r="C2213" s="51" t="s">
        <v>3619</v>
      </c>
      <c r="D2213" s="51" t="s">
        <v>4771</v>
      </c>
      <c r="E2213" s="51" t="s">
        <v>4653</v>
      </c>
      <c r="F2213" s="52">
        <v>3.410850969228489</v>
      </c>
      <c r="G2213" s="52">
        <v>0</v>
      </c>
      <c r="H2213" s="52">
        <v>0</v>
      </c>
      <c r="I2213" s="52">
        <v>0</v>
      </c>
      <c r="J2213" s="51">
        <v>0</v>
      </c>
      <c r="K2213" s="54">
        <v>0</v>
      </c>
      <c r="L2213" s="51">
        <v>0</v>
      </c>
      <c r="M2213" s="54">
        <v>0</v>
      </c>
      <c r="N2213" s="53">
        <f t="shared" si="68"/>
        <v>0</v>
      </c>
      <c r="O2213" s="53">
        <f t="shared" si="69"/>
        <v>0</v>
      </c>
    </row>
    <row r="2214" spans="1:15" x14ac:dyDescent="0.2">
      <c r="A2214" s="51" t="s">
        <v>3567</v>
      </c>
      <c r="B2214" s="51" t="s">
        <v>3568</v>
      </c>
      <c r="C2214" s="51" t="s">
        <v>3756</v>
      </c>
      <c r="D2214" s="51" t="s">
        <v>4709</v>
      </c>
      <c r="E2214" s="51" t="s">
        <v>4710</v>
      </c>
      <c r="F2214" s="52">
        <v>0.8819688</v>
      </c>
      <c r="G2214" s="52">
        <v>0</v>
      </c>
      <c r="H2214" s="52">
        <v>0</v>
      </c>
      <c r="I2214" s="52">
        <v>0</v>
      </c>
      <c r="J2214" s="51">
        <v>0</v>
      </c>
      <c r="K2214" s="54">
        <v>0</v>
      </c>
      <c r="L2214" s="51">
        <v>0</v>
      </c>
      <c r="M2214" s="54">
        <v>0</v>
      </c>
      <c r="N2214" s="53">
        <f t="shared" si="68"/>
        <v>0</v>
      </c>
      <c r="O2214" s="53">
        <f t="shared" si="69"/>
        <v>0</v>
      </c>
    </row>
    <row r="2215" spans="1:15" x14ac:dyDescent="0.2">
      <c r="A2215" s="51" t="s">
        <v>3567</v>
      </c>
      <c r="B2215" s="51" t="s">
        <v>3568</v>
      </c>
      <c r="C2215" s="51" t="s">
        <v>3577</v>
      </c>
      <c r="D2215" s="51" t="s">
        <v>4723</v>
      </c>
      <c r="E2215" s="51" t="s">
        <v>4724</v>
      </c>
      <c r="F2215" s="52">
        <v>1.338649436512126</v>
      </c>
      <c r="G2215" s="52">
        <v>0</v>
      </c>
      <c r="H2215" s="52">
        <v>0</v>
      </c>
      <c r="I2215" s="52">
        <v>0</v>
      </c>
      <c r="J2215" s="51">
        <v>0</v>
      </c>
      <c r="K2215" s="54">
        <v>0</v>
      </c>
      <c r="L2215" s="51">
        <v>0</v>
      </c>
      <c r="M2215" s="54">
        <v>0</v>
      </c>
      <c r="N2215" s="53">
        <f t="shared" si="68"/>
        <v>0</v>
      </c>
      <c r="O2215" s="53">
        <f t="shared" si="69"/>
        <v>0</v>
      </c>
    </row>
    <row r="2216" spans="1:15" x14ac:dyDescent="0.2">
      <c r="A2216" s="51" t="s">
        <v>3567</v>
      </c>
      <c r="B2216" s="51" t="s">
        <v>3568</v>
      </c>
      <c r="C2216" s="51" t="s">
        <v>83</v>
      </c>
      <c r="D2216" s="51" t="s">
        <v>2184</v>
      </c>
      <c r="E2216" s="51" t="s">
        <v>2183</v>
      </c>
      <c r="F2216" s="52">
        <v>12656.045273215819</v>
      </c>
      <c r="G2216" s="52">
        <v>0</v>
      </c>
      <c r="H2216" s="52">
        <v>4000</v>
      </c>
      <c r="I2216" s="52">
        <v>4000</v>
      </c>
      <c r="J2216" s="51">
        <v>0</v>
      </c>
      <c r="K2216" s="54">
        <v>0</v>
      </c>
      <c r="L2216" s="51">
        <v>1</v>
      </c>
      <c r="M2216" s="54">
        <v>20000</v>
      </c>
      <c r="N2216" s="53">
        <f t="shared" si="68"/>
        <v>-20000</v>
      </c>
      <c r="O2216" s="53">
        <f t="shared" si="69"/>
        <v>20000</v>
      </c>
    </row>
    <row r="2217" spans="1:15" x14ac:dyDescent="0.2">
      <c r="A2217" s="51" t="s">
        <v>3567</v>
      </c>
      <c r="B2217" s="51" t="s">
        <v>3568</v>
      </c>
      <c r="C2217" s="51" t="s">
        <v>58</v>
      </c>
      <c r="D2217" s="51" t="s">
        <v>1561</v>
      </c>
      <c r="E2217" s="51" t="s">
        <v>1560</v>
      </c>
      <c r="F2217" s="52">
        <v>6180.6664002354</v>
      </c>
      <c r="G2217" s="52">
        <v>1214</v>
      </c>
      <c r="H2217" s="52">
        <v>5399</v>
      </c>
      <c r="I2217" s="52">
        <v>6613</v>
      </c>
      <c r="J2217" s="51">
        <v>1</v>
      </c>
      <c r="K2217" s="54">
        <v>10000</v>
      </c>
      <c r="L2217" s="51">
        <v>0</v>
      </c>
      <c r="M2217" s="54">
        <v>0</v>
      </c>
      <c r="N2217" s="53">
        <f t="shared" si="68"/>
        <v>10000</v>
      </c>
      <c r="O2217" s="53">
        <f t="shared" si="69"/>
        <v>-10000</v>
      </c>
    </row>
    <row r="2218" spans="1:15" x14ac:dyDescent="0.2">
      <c r="A2218" s="51" t="s">
        <v>3567</v>
      </c>
      <c r="B2218" s="51" t="s">
        <v>3568</v>
      </c>
      <c r="C2218" s="51" t="s">
        <v>83</v>
      </c>
      <c r="D2218" s="51" t="s">
        <v>2370</v>
      </c>
      <c r="E2218" s="51" t="s">
        <v>2369</v>
      </c>
      <c r="F2218" s="52">
        <v>8150.4463184895149</v>
      </c>
      <c r="G2218" s="52">
        <v>7500</v>
      </c>
      <c r="H2218" s="52">
        <v>24285</v>
      </c>
      <c r="I2218" s="52">
        <v>31785</v>
      </c>
      <c r="J2218" s="51">
        <v>0</v>
      </c>
      <c r="K2218" s="54">
        <v>0</v>
      </c>
      <c r="L2218" s="51">
        <v>2</v>
      </c>
      <c r="M2218" s="54">
        <v>20000</v>
      </c>
      <c r="N2218" s="53">
        <f t="shared" si="68"/>
        <v>-20000</v>
      </c>
      <c r="O2218" s="53">
        <f t="shared" si="69"/>
        <v>20000</v>
      </c>
    </row>
    <row r="2219" spans="1:15" x14ac:dyDescent="0.2">
      <c r="A2219" s="51" t="s">
        <v>3567</v>
      </c>
      <c r="B2219" s="51" t="s">
        <v>3568</v>
      </c>
      <c r="C2219" s="51" t="s">
        <v>69</v>
      </c>
      <c r="D2219" s="51" t="s">
        <v>4769</v>
      </c>
      <c r="E2219" s="51" t="s">
        <v>4770</v>
      </c>
      <c r="F2219" s="52">
        <v>1.4505140907593239</v>
      </c>
      <c r="G2219" s="52">
        <v>0</v>
      </c>
      <c r="H2219" s="52">
        <v>0</v>
      </c>
      <c r="I2219" s="52">
        <v>0</v>
      </c>
      <c r="J2219" s="51">
        <v>0</v>
      </c>
      <c r="K2219" s="54">
        <v>0</v>
      </c>
      <c r="L2219" s="51">
        <v>0</v>
      </c>
      <c r="M2219" s="54">
        <v>0</v>
      </c>
      <c r="N2219" s="53">
        <f t="shared" si="68"/>
        <v>0</v>
      </c>
      <c r="O2219" s="53">
        <f t="shared" si="69"/>
        <v>0</v>
      </c>
    </row>
    <row r="2220" spans="1:15" x14ac:dyDescent="0.2">
      <c r="A2220" s="51" t="s">
        <v>3567</v>
      </c>
      <c r="B2220" s="51" t="s">
        <v>3568</v>
      </c>
      <c r="C2220" s="51" t="s">
        <v>53</v>
      </c>
      <c r="D2220" s="51" t="s">
        <v>2723</v>
      </c>
      <c r="E2220" s="51" t="s">
        <v>2722</v>
      </c>
      <c r="F2220" s="52">
        <v>14369.202600000001</v>
      </c>
      <c r="G2220" s="52">
        <v>29585</v>
      </c>
      <c r="H2220" s="52">
        <v>15950</v>
      </c>
      <c r="I2220" s="52">
        <v>45535</v>
      </c>
      <c r="J2220" s="51">
        <v>2</v>
      </c>
      <c r="K2220" s="54">
        <v>21000</v>
      </c>
      <c r="L2220" s="51">
        <v>0</v>
      </c>
      <c r="M2220" s="54">
        <v>0</v>
      </c>
      <c r="N2220" s="53">
        <f t="shared" si="68"/>
        <v>21000</v>
      </c>
      <c r="O2220" s="53">
        <f t="shared" si="69"/>
        <v>-21000</v>
      </c>
    </row>
    <row r="2221" spans="1:15" x14ac:dyDescent="0.2">
      <c r="A2221" s="51" t="s">
        <v>3567</v>
      </c>
      <c r="B2221" s="51" t="s">
        <v>3568</v>
      </c>
      <c r="C2221" s="51" t="s">
        <v>67</v>
      </c>
      <c r="D2221" s="51" t="s">
        <v>1060</v>
      </c>
      <c r="E2221" s="51" t="s">
        <v>1059</v>
      </c>
      <c r="F2221" s="52">
        <v>179557.22743043469</v>
      </c>
      <c r="G2221" s="52">
        <v>3570</v>
      </c>
      <c r="H2221" s="52">
        <v>16235</v>
      </c>
      <c r="I2221" s="52">
        <v>19805</v>
      </c>
      <c r="J2221" s="51">
        <v>1</v>
      </c>
      <c r="K2221" s="54">
        <v>5000</v>
      </c>
      <c r="L2221" s="51">
        <v>0</v>
      </c>
      <c r="M2221" s="54">
        <v>0</v>
      </c>
      <c r="N2221" s="53">
        <f t="shared" si="68"/>
        <v>5000</v>
      </c>
      <c r="O2221" s="53">
        <f t="shared" si="69"/>
        <v>-5000</v>
      </c>
    </row>
    <row r="2222" spans="1:15" x14ac:dyDescent="0.2">
      <c r="A2222" s="51" t="s">
        <v>3567</v>
      </c>
      <c r="B2222" s="51" t="s">
        <v>3568</v>
      </c>
      <c r="C2222" s="51" t="s">
        <v>58</v>
      </c>
      <c r="D2222" s="51" t="s">
        <v>1453</v>
      </c>
      <c r="E2222" s="51" t="s">
        <v>1452</v>
      </c>
      <c r="F2222" s="52">
        <v>86.128600000000006</v>
      </c>
      <c r="G2222" s="52">
        <v>0</v>
      </c>
      <c r="H2222" s="52">
        <v>5050</v>
      </c>
      <c r="I2222" s="52">
        <v>5050</v>
      </c>
      <c r="J2222" s="51">
        <v>0</v>
      </c>
      <c r="K2222" s="54">
        <v>0</v>
      </c>
      <c r="L2222" s="51">
        <v>1</v>
      </c>
      <c r="M2222" s="54">
        <v>5000</v>
      </c>
      <c r="N2222" s="53">
        <f t="shared" si="68"/>
        <v>-5000</v>
      </c>
      <c r="O2222" s="53">
        <f t="shared" si="69"/>
        <v>5000</v>
      </c>
    </row>
    <row r="2223" spans="1:15" x14ac:dyDescent="0.2">
      <c r="A2223" s="51" t="s">
        <v>3567</v>
      </c>
      <c r="B2223" s="51" t="s">
        <v>3568</v>
      </c>
      <c r="C2223" s="51" t="s">
        <v>80</v>
      </c>
      <c r="D2223" s="51" t="s">
        <v>1449</v>
      </c>
      <c r="E2223" s="51" t="s">
        <v>1448</v>
      </c>
      <c r="F2223" s="52">
        <v>2564.532911421933</v>
      </c>
      <c r="G2223" s="52">
        <v>3200</v>
      </c>
      <c r="H2223" s="52">
        <v>3880</v>
      </c>
      <c r="I2223" s="52">
        <v>7080</v>
      </c>
      <c r="J2223" s="51">
        <v>0</v>
      </c>
      <c r="K2223" s="54">
        <v>0</v>
      </c>
      <c r="L2223" s="51">
        <v>1</v>
      </c>
      <c r="M2223" s="54">
        <v>15000</v>
      </c>
      <c r="N2223" s="53">
        <f t="shared" si="68"/>
        <v>-15000</v>
      </c>
      <c r="O2223" s="53">
        <f t="shared" si="69"/>
        <v>15000</v>
      </c>
    </row>
    <row r="2224" spans="1:15" x14ac:dyDescent="0.2">
      <c r="A2224" s="51" t="s">
        <v>3567</v>
      </c>
      <c r="B2224" s="51" t="s">
        <v>3568</v>
      </c>
      <c r="C2224" s="51" t="s">
        <v>57</v>
      </c>
      <c r="D2224" s="51" t="s">
        <v>1210</v>
      </c>
      <c r="E2224" s="51" t="s">
        <v>1209</v>
      </c>
      <c r="F2224" s="52">
        <v>6973.1824703537814</v>
      </c>
      <c r="G2224" s="52">
        <v>4400</v>
      </c>
      <c r="H2224" s="52">
        <v>20810</v>
      </c>
      <c r="I2224" s="52">
        <v>25210</v>
      </c>
      <c r="J2224" s="51">
        <v>0</v>
      </c>
      <c r="K2224" s="54">
        <v>0</v>
      </c>
      <c r="L2224" s="51">
        <v>1</v>
      </c>
      <c r="M2224" s="54">
        <v>23000</v>
      </c>
      <c r="N2224" s="53">
        <f t="shared" si="68"/>
        <v>-23000</v>
      </c>
      <c r="O2224" s="53">
        <f t="shared" si="69"/>
        <v>23000</v>
      </c>
    </row>
    <row r="2225" spans="1:15" x14ac:dyDescent="0.2">
      <c r="A2225" s="51" t="s">
        <v>3567</v>
      </c>
      <c r="B2225" s="51" t="s">
        <v>3568</v>
      </c>
      <c r="C2225" s="51" t="s">
        <v>63</v>
      </c>
      <c r="D2225" s="51" t="s">
        <v>1010</v>
      </c>
      <c r="E2225" s="51" t="s">
        <v>1009</v>
      </c>
      <c r="F2225" s="52">
        <v>11093.2917</v>
      </c>
      <c r="G2225" s="52">
        <v>13188</v>
      </c>
      <c r="H2225" s="52">
        <v>13030</v>
      </c>
      <c r="I2225" s="52">
        <v>26218</v>
      </c>
      <c r="J2225" s="51">
        <v>1</v>
      </c>
      <c r="K2225" s="54">
        <v>5000</v>
      </c>
      <c r="L2225" s="51">
        <v>0</v>
      </c>
      <c r="M2225" s="54">
        <v>0</v>
      </c>
      <c r="N2225" s="53">
        <f t="shared" si="68"/>
        <v>5000</v>
      </c>
      <c r="O2225" s="53">
        <f t="shared" si="69"/>
        <v>-5000</v>
      </c>
    </row>
    <row r="2226" spans="1:15" x14ac:dyDescent="0.2">
      <c r="A2226" s="51" t="s">
        <v>3567</v>
      </c>
      <c r="B2226" s="51" t="s">
        <v>3568</v>
      </c>
      <c r="C2226" s="51" t="s">
        <v>63</v>
      </c>
      <c r="D2226" s="51" t="s">
        <v>2842</v>
      </c>
      <c r="E2226" s="51" t="s">
        <v>2841</v>
      </c>
      <c r="F2226" s="52">
        <v>119.81292534625911</v>
      </c>
      <c r="G2226" s="52">
        <v>980</v>
      </c>
      <c r="H2226" s="52">
        <v>1490</v>
      </c>
      <c r="I2226" s="52">
        <v>2470</v>
      </c>
      <c r="J2226" s="51">
        <v>0</v>
      </c>
      <c r="K2226" s="54">
        <v>0</v>
      </c>
      <c r="L2226" s="51">
        <v>1</v>
      </c>
      <c r="M2226" s="54">
        <v>37000</v>
      </c>
      <c r="N2226" s="53">
        <f t="shared" si="68"/>
        <v>-37000</v>
      </c>
      <c r="O2226" s="53">
        <f t="shared" si="69"/>
        <v>37000</v>
      </c>
    </row>
    <row r="2227" spans="1:15" x14ac:dyDescent="0.2">
      <c r="A2227" s="51" t="s">
        <v>3567</v>
      </c>
      <c r="B2227" s="51" t="s">
        <v>3568</v>
      </c>
      <c r="C2227" s="51" t="s">
        <v>66</v>
      </c>
      <c r="D2227" s="51" t="s">
        <v>4731</v>
      </c>
      <c r="E2227" s="51" t="s">
        <v>4732</v>
      </c>
      <c r="F2227" s="52">
        <v>2.8849266611725541</v>
      </c>
      <c r="G2227" s="52">
        <v>0</v>
      </c>
      <c r="H2227" s="52">
        <v>0</v>
      </c>
      <c r="I2227" s="52">
        <v>0</v>
      </c>
      <c r="J2227" s="51">
        <v>0</v>
      </c>
      <c r="K2227" s="54">
        <v>0</v>
      </c>
      <c r="L2227" s="51">
        <v>0</v>
      </c>
      <c r="M2227" s="54">
        <v>0</v>
      </c>
      <c r="N2227" s="53">
        <f t="shared" si="68"/>
        <v>0</v>
      </c>
      <c r="O2227" s="53">
        <f t="shared" si="69"/>
        <v>0</v>
      </c>
    </row>
    <row r="2228" spans="1:15" x14ac:dyDescent="0.2">
      <c r="A2228" s="51" t="s">
        <v>3567</v>
      </c>
      <c r="B2228" s="51" t="s">
        <v>3568</v>
      </c>
      <c r="C2228" s="51" t="s">
        <v>63</v>
      </c>
      <c r="D2228" s="51" t="s">
        <v>1586</v>
      </c>
      <c r="E2228" s="51" t="s">
        <v>1585</v>
      </c>
      <c r="F2228" s="52">
        <v>5572.2139999999999</v>
      </c>
      <c r="G2228" s="52">
        <v>22000</v>
      </c>
      <c r="H2228" s="52">
        <v>30613</v>
      </c>
      <c r="I2228" s="52">
        <v>52613</v>
      </c>
      <c r="J2228" s="51">
        <v>0</v>
      </c>
      <c r="K2228" s="54">
        <v>0</v>
      </c>
      <c r="L2228" s="51">
        <v>1</v>
      </c>
      <c r="M2228" s="54">
        <v>6000</v>
      </c>
      <c r="N2228" s="53">
        <f t="shared" si="68"/>
        <v>-6000</v>
      </c>
      <c r="O2228" s="53">
        <f t="shared" si="69"/>
        <v>6000</v>
      </c>
    </row>
    <row r="2229" spans="1:15" x14ac:dyDescent="0.2">
      <c r="A2229" s="51" t="s">
        <v>3567</v>
      </c>
      <c r="B2229" s="51" t="s">
        <v>3568</v>
      </c>
      <c r="C2229" s="51" t="s">
        <v>83</v>
      </c>
      <c r="D2229" s="51" t="s">
        <v>2777</v>
      </c>
      <c r="E2229" s="51" t="s">
        <v>2776</v>
      </c>
      <c r="F2229" s="52">
        <v>5453.5691062086244</v>
      </c>
      <c r="G2229" s="52">
        <v>0</v>
      </c>
      <c r="H2229" s="52">
        <v>0</v>
      </c>
      <c r="I2229" s="52">
        <v>0</v>
      </c>
      <c r="J2229" s="51">
        <v>1</v>
      </c>
      <c r="K2229" s="54">
        <v>5000</v>
      </c>
      <c r="L2229" s="51">
        <v>0</v>
      </c>
      <c r="M2229" s="54">
        <v>0</v>
      </c>
      <c r="N2229" s="53">
        <f t="shared" si="68"/>
        <v>5000</v>
      </c>
      <c r="O2229" s="53">
        <f t="shared" si="69"/>
        <v>-5000</v>
      </c>
    </row>
    <row r="2230" spans="1:15" x14ac:dyDescent="0.2">
      <c r="A2230" s="51" t="s">
        <v>3567</v>
      </c>
      <c r="B2230" s="51" t="s">
        <v>3568</v>
      </c>
      <c r="C2230" s="51" t="s">
        <v>62</v>
      </c>
      <c r="D2230" s="51" t="s">
        <v>3027</v>
      </c>
      <c r="E2230" s="51" t="s">
        <v>3026</v>
      </c>
      <c r="F2230" s="52">
        <v>9251.6769999999997</v>
      </c>
      <c r="G2230" s="52">
        <v>0</v>
      </c>
      <c r="H2230" s="52">
        <v>0</v>
      </c>
      <c r="I2230" s="52">
        <v>0</v>
      </c>
      <c r="J2230" s="51">
        <v>1</v>
      </c>
      <c r="K2230" s="54">
        <v>5000</v>
      </c>
      <c r="L2230" s="51">
        <v>0</v>
      </c>
      <c r="M2230" s="54">
        <v>0</v>
      </c>
      <c r="N2230" s="53">
        <f t="shared" si="68"/>
        <v>5000</v>
      </c>
      <c r="O2230" s="53">
        <f t="shared" si="69"/>
        <v>-5000</v>
      </c>
    </row>
    <row r="2231" spans="1:15" x14ac:dyDescent="0.2">
      <c r="A2231" s="51" t="s">
        <v>3567</v>
      </c>
      <c r="B2231" s="51" t="s">
        <v>3568</v>
      </c>
      <c r="C2231" s="51" t="s">
        <v>76</v>
      </c>
      <c r="D2231" s="51" t="s">
        <v>2206</v>
      </c>
      <c r="E2231" s="51" t="s">
        <v>2205</v>
      </c>
      <c r="F2231" s="52">
        <v>18939.072050999999</v>
      </c>
      <c r="G2231" s="52">
        <v>250</v>
      </c>
      <c r="H2231" s="52">
        <v>3200</v>
      </c>
      <c r="I2231" s="52">
        <v>3450</v>
      </c>
      <c r="J2231" s="51">
        <v>0</v>
      </c>
      <c r="K2231" s="54">
        <v>0</v>
      </c>
      <c r="L2231" s="51">
        <v>1</v>
      </c>
      <c r="M2231" s="54">
        <v>25000</v>
      </c>
      <c r="N2231" s="53">
        <f t="shared" si="68"/>
        <v>-25000</v>
      </c>
      <c r="O2231" s="53">
        <f t="shared" si="69"/>
        <v>25000</v>
      </c>
    </row>
    <row r="2232" spans="1:15" x14ac:dyDescent="0.2">
      <c r="A2232" s="51" t="s">
        <v>3567</v>
      </c>
      <c r="B2232" s="51" t="s">
        <v>3568</v>
      </c>
      <c r="C2232" s="51" t="s">
        <v>79</v>
      </c>
      <c r="D2232" s="51" t="s">
        <v>2021</v>
      </c>
      <c r="E2232" s="51" t="s">
        <v>2020</v>
      </c>
      <c r="F2232" s="52">
        <v>4168.6534000000001</v>
      </c>
      <c r="G2232" s="52">
        <v>0</v>
      </c>
      <c r="H2232" s="52">
        <v>1590</v>
      </c>
      <c r="I2232" s="52">
        <v>1590</v>
      </c>
      <c r="J2232" s="51">
        <v>0</v>
      </c>
      <c r="K2232" s="54">
        <v>0</v>
      </c>
      <c r="L2232" s="51">
        <v>0</v>
      </c>
      <c r="M2232" s="54">
        <v>0</v>
      </c>
      <c r="N2232" s="53">
        <f t="shared" si="68"/>
        <v>0</v>
      </c>
      <c r="O2232" s="53">
        <f t="shared" si="69"/>
        <v>0</v>
      </c>
    </row>
    <row r="2233" spans="1:15" x14ac:dyDescent="0.2">
      <c r="A2233" s="51" t="s">
        <v>3567</v>
      </c>
      <c r="B2233" s="51" t="s">
        <v>3568</v>
      </c>
      <c r="C2233" s="51" t="s">
        <v>65</v>
      </c>
      <c r="D2233" s="51" t="s">
        <v>4739</v>
      </c>
      <c r="E2233" s="51" t="s">
        <v>4740</v>
      </c>
      <c r="F2233" s="52">
        <v>4.6151</v>
      </c>
      <c r="G2233" s="52">
        <v>0</v>
      </c>
      <c r="H2233" s="52">
        <v>0</v>
      </c>
      <c r="I2233" s="52">
        <v>0</v>
      </c>
      <c r="J2233" s="51">
        <v>0</v>
      </c>
      <c r="K2233" s="54">
        <v>0</v>
      </c>
      <c r="L2233" s="51">
        <v>0</v>
      </c>
      <c r="M2233" s="54">
        <v>0</v>
      </c>
      <c r="N2233" s="53">
        <f t="shared" si="68"/>
        <v>0</v>
      </c>
      <c r="O2233" s="53">
        <f t="shared" si="69"/>
        <v>0</v>
      </c>
    </row>
    <row r="2234" spans="1:15" x14ac:dyDescent="0.2">
      <c r="A2234" s="51" t="s">
        <v>3567</v>
      </c>
      <c r="B2234" s="51" t="s">
        <v>3568</v>
      </c>
      <c r="C2234" s="51" t="s">
        <v>3707</v>
      </c>
      <c r="D2234" s="51" t="s">
        <v>4733</v>
      </c>
      <c r="E2234" s="51" t="s">
        <v>4734</v>
      </c>
      <c r="F2234" s="52">
        <v>2.6231892505007108</v>
      </c>
      <c r="G2234" s="52">
        <v>0</v>
      </c>
      <c r="H2234" s="52">
        <v>0</v>
      </c>
      <c r="I2234" s="52">
        <v>0</v>
      </c>
      <c r="J2234" s="51">
        <v>0</v>
      </c>
      <c r="K2234" s="54">
        <v>0</v>
      </c>
      <c r="L2234" s="51">
        <v>0</v>
      </c>
      <c r="M2234" s="54">
        <v>0</v>
      </c>
      <c r="N2234" s="53">
        <f t="shared" si="68"/>
        <v>0</v>
      </c>
      <c r="O2234" s="53">
        <f t="shared" si="69"/>
        <v>0</v>
      </c>
    </row>
    <row r="2235" spans="1:15" x14ac:dyDescent="0.2">
      <c r="A2235" s="51" t="s">
        <v>3567</v>
      </c>
      <c r="B2235" s="51" t="s">
        <v>3568</v>
      </c>
      <c r="C2235" s="51" t="s">
        <v>64</v>
      </c>
      <c r="D2235" s="51" t="s">
        <v>3259</v>
      </c>
      <c r="E2235" s="51" t="s">
        <v>3258</v>
      </c>
      <c r="F2235" s="52">
        <v>8433.563559557535</v>
      </c>
      <c r="G2235" s="52">
        <v>5185</v>
      </c>
      <c r="H2235" s="52">
        <v>2890</v>
      </c>
      <c r="I2235" s="52">
        <v>8075</v>
      </c>
      <c r="J2235" s="51">
        <v>0</v>
      </c>
      <c r="K2235" s="54">
        <v>0</v>
      </c>
      <c r="L2235" s="51">
        <v>1</v>
      </c>
      <c r="M2235" s="54">
        <v>6000</v>
      </c>
      <c r="N2235" s="53">
        <f t="shared" si="68"/>
        <v>-6000</v>
      </c>
      <c r="O2235" s="53">
        <f t="shared" si="69"/>
        <v>6000</v>
      </c>
    </row>
    <row r="2236" spans="1:15" x14ac:dyDescent="0.2">
      <c r="A2236" s="51" t="s">
        <v>3567</v>
      </c>
      <c r="B2236" s="51" t="s">
        <v>3568</v>
      </c>
      <c r="C2236" s="51" t="s">
        <v>64</v>
      </c>
      <c r="D2236" s="51" t="s">
        <v>4719</v>
      </c>
      <c r="E2236" s="51" t="s">
        <v>4720</v>
      </c>
      <c r="F2236" s="52">
        <v>1.0540000005000001</v>
      </c>
      <c r="G2236" s="52">
        <v>0</v>
      </c>
      <c r="H2236" s="52">
        <v>0</v>
      </c>
      <c r="I2236" s="52">
        <v>0</v>
      </c>
      <c r="J2236" s="51">
        <v>0</v>
      </c>
      <c r="K2236" s="54">
        <v>0</v>
      </c>
      <c r="L2236" s="51">
        <v>0</v>
      </c>
      <c r="M2236" s="54">
        <v>0</v>
      </c>
      <c r="N2236" s="53">
        <f t="shared" si="68"/>
        <v>0</v>
      </c>
      <c r="O2236" s="53">
        <f t="shared" si="69"/>
        <v>0</v>
      </c>
    </row>
    <row r="2237" spans="1:15" x14ac:dyDescent="0.2">
      <c r="A2237" s="51" t="s">
        <v>3567</v>
      </c>
      <c r="B2237" s="51" t="s">
        <v>3568</v>
      </c>
      <c r="C2237" s="51" t="s">
        <v>78</v>
      </c>
      <c r="D2237" s="51" t="s">
        <v>1113</v>
      </c>
      <c r="E2237" s="51" t="s">
        <v>1112</v>
      </c>
      <c r="F2237" s="52">
        <v>174.88499999999999</v>
      </c>
      <c r="G2237" s="52">
        <v>3990</v>
      </c>
      <c r="H2237" s="52">
        <v>3600</v>
      </c>
      <c r="I2237" s="52">
        <v>7590</v>
      </c>
      <c r="J2237" s="51">
        <v>0</v>
      </c>
      <c r="K2237" s="54">
        <v>0</v>
      </c>
      <c r="L2237" s="51">
        <v>1</v>
      </c>
      <c r="M2237" s="54">
        <v>16000</v>
      </c>
      <c r="N2237" s="53">
        <f t="shared" si="68"/>
        <v>-16000</v>
      </c>
      <c r="O2237" s="53">
        <f t="shared" si="69"/>
        <v>16000</v>
      </c>
    </row>
    <row r="2238" spans="1:15" x14ac:dyDescent="0.2">
      <c r="A2238" s="51" t="s">
        <v>3567</v>
      </c>
      <c r="B2238" s="51" t="s">
        <v>3568</v>
      </c>
      <c r="C2238" s="51" t="s">
        <v>63</v>
      </c>
      <c r="D2238" s="51" t="s">
        <v>2484</v>
      </c>
      <c r="E2238" s="51" t="s">
        <v>2483</v>
      </c>
      <c r="F2238" s="52">
        <v>6593.5060000000003</v>
      </c>
      <c r="G2238" s="52">
        <v>0</v>
      </c>
      <c r="H2238" s="52">
        <v>0</v>
      </c>
      <c r="I2238" s="52">
        <v>0</v>
      </c>
      <c r="J2238" s="51">
        <v>1</v>
      </c>
      <c r="K2238" s="54">
        <v>5000</v>
      </c>
      <c r="L2238" s="51">
        <v>0</v>
      </c>
      <c r="M2238" s="54">
        <v>0</v>
      </c>
      <c r="N2238" s="53">
        <f t="shared" si="68"/>
        <v>5000</v>
      </c>
      <c r="O2238" s="53">
        <f t="shared" si="69"/>
        <v>-5000</v>
      </c>
    </row>
    <row r="2239" spans="1:15" x14ac:dyDescent="0.2">
      <c r="A2239" s="51" t="s">
        <v>3567</v>
      </c>
      <c r="B2239" s="51" t="s">
        <v>3568</v>
      </c>
      <c r="C2239" s="51" t="s">
        <v>3698</v>
      </c>
      <c r="D2239" s="51" t="s">
        <v>4735</v>
      </c>
      <c r="E2239" s="51" t="s">
        <v>4736</v>
      </c>
      <c r="F2239" s="52">
        <v>11.503394924337449</v>
      </c>
      <c r="G2239" s="52">
        <v>0</v>
      </c>
      <c r="H2239" s="52">
        <v>0</v>
      </c>
      <c r="I2239" s="52">
        <v>0</v>
      </c>
      <c r="J2239" s="51">
        <v>0</v>
      </c>
      <c r="K2239" s="54">
        <v>0</v>
      </c>
      <c r="L2239" s="51">
        <v>0</v>
      </c>
      <c r="M2239" s="54">
        <v>0</v>
      </c>
      <c r="N2239" s="53">
        <f t="shared" si="68"/>
        <v>0</v>
      </c>
      <c r="O2239" s="53">
        <f t="shared" si="69"/>
        <v>0</v>
      </c>
    </row>
    <row r="2240" spans="1:15" x14ac:dyDescent="0.2">
      <c r="A2240" s="51" t="s">
        <v>3567</v>
      </c>
      <c r="B2240" s="51" t="s">
        <v>3568</v>
      </c>
      <c r="C2240" s="51" t="s">
        <v>65</v>
      </c>
      <c r="D2240" s="51" t="s">
        <v>4717</v>
      </c>
      <c r="E2240" s="51" t="s">
        <v>4718</v>
      </c>
      <c r="F2240" s="52">
        <v>19.238849999999999</v>
      </c>
      <c r="G2240" s="52">
        <v>0</v>
      </c>
      <c r="H2240" s="52">
        <v>0</v>
      </c>
      <c r="I2240" s="52">
        <v>0</v>
      </c>
      <c r="J2240" s="51">
        <v>0</v>
      </c>
      <c r="K2240" s="54">
        <v>0</v>
      </c>
      <c r="L2240" s="51">
        <v>0</v>
      </c>
      <c r="M2240" s="54">
        <v>0</v>
      </c>
      <c r="N2240" s="53">
        <f t="shared" si="68"/>
        <v>0</v>
      </c>
      <c r="O2240" s="53">
        <f t="shared" si="69"/>
        <v>0</v>
      </c>
    </row>
    <row r="2241" spans="1:15" x14ac:dyDescent="0.2">
      <c r="A2241" s="51" t="s">
        <v>3567</v>
      </c>
      <c r="B2241" s="51" t="s">
        <v>3568</v>
      </c>
      <c r="C2241" s="51" t="s">
        <v>79</v>
      </c>
      <c r="D2241" s="51" t="s">
        <v>1161</v>
      </c>
      <c r="E2241" s="51" t="s">
        <v>1160</v>
      </c>
      <c r="F2241" s="52">
        <v>6212.8580568150956</v>
      </c>
      <c r="G2241" s="52">
        <v>24300</v>
      </c>
      <c r="H2241" s="52">
        <v>5750</v>
      </c>
      <c r="I2241" s="52">
        <v>30050</v>
      </c>
      <c r="J2241" s="51">
        <v>1</v>
      </c>
      <c r="K2241" s="54">
        <v>5000</v>
      </c>
      <c r="L2241" s="51">
        <v>0</v>
      </c>
      <c r="M2241" s="54">
        <v>0</v>
      </c>
      <c r="N2241" s="53">
        <f t="shared" si="68"/>
        <v>5000</v>
      </c>
      <c r="O2241" s="53">
        <f t="shared" si="69"/>
        <v>-5000</v>
      </c>
    </row>
    <row r="2242" spans="1:15" x14ac:dyDescent="0.2">
      <c r="A2242" s="51" t="s">
        <v>3567</v>
      </c>
      <c r="B2242" s="51" t="s">
        <v>3568</v>
      </c>
      <c r="C2242" s="51" t="s">
        <v>69</v>
      </c>
      <c r="D2242" s="51" t="s">
        <v>4795</v>
      </c>
      <c r="E2242" s="51" t="s">
        <v>4796</v>
      </c>
      <c r="F2242" s="52">
        <v>0.61480000000000001</v>
      </c>
      <c r="G2242" s="52">
        <v>0</v>
      </c>
      <c r="H2242" s="52">
        <v>0</v>
      </c>
      <c r="I2242" s="52">
        <v>0</v>
      </c>
      <c r="J2242" s="51">
        <v>0</v>
      </c>
      <c r="K2242" s="54">
        <v>0</v>
      </c>
      <c r="L2242" s="51">
        <v>0</v>
      </c>
      <c r="M2242" s="54">
        <v>0</v>
      </c>
      <c r="N2242" s="53">
        <f t="shared" si="68"/>
        <v>0</v>
      </c>
      <c r="O2242" s="53">
        <f t="shared" si="69"/>
        <v>0</v>
      </c>
    </row>
    <row r="2243" spans="1:15" x14ac:dyDescent="0.2">
      <c r="A2243" s="51" t="s">
        <v>3567</v>
      </c>
      <c r="B2243" s="51" t="s">
        <v>3568</v>
      </c>
      <c r="C2243" s="51" t="s">
        <v>67</v>
      </c>
      <c r="D2243" s="51" t="s">
        <v>754</v>
      </c>
      <c r="E2243" s="51" t="s">
        <v>753</v>
      </c>
      <c r="F2243" s="52">
        <v>16.73626769767845</v>
      </c>
      <c r="G2243" s="52">
        <v>0</v>
      </c>
      <c r="H2243" s="52">
        <v>0</v>
      </c>
      <c r="I2243" s="52">
        <v>0</v>
      </c>
      <c r="J2243" s="51">
        <v>0</v>
      </c>
      <c r="K2243" s="54">
        <v>0</v>
      </c>
      <c r="L2243" s="51">
        <v>0</v>
      </c>
      <c r="M2243" s="54">
        <v>0</v>
      </c>
      <c r="N2243" s="53">
        <f t="shared" ref="N2243:N2306" si="70">K2243-M2243</f>
        <v>0</v>
      </c>
      <c r="O2243" s="53">
        <f t="shared" ref="O2243:O2306" si="71">M2243-K2243</f>
        <v>0</v>
      </c>
    </row>
    <row r="2244" spans="1:15" x14ac:dyDescent="0.2">
      <c r="A2244" s="51" t="s">
        <v>3567</v>
      </c>
      <c r="B2244" s="51" t="s">
        <v>3568</v>
      </c>
      <c r="C2244" s="51" t="s">
        <v>3627</v>
      </c>
      <c r="D2244" s="51" t="s">
        <v>4747</v>
      </c>
      <c r="E2244" s="51" t="s">
        <v>4748</v>
      </c>
      <c r="F2244" s="52">
        <v>11.498749999999999</v>
      </c>
      <c r="G2244" s="52">
        <v>0</v>
      </c>
      <c r="H2244" s="52">
        <v>0</v>
      </c>
      <c r="I2244" s="52">
        <v>0</v>
      </c>
      <c r="J2244" s="51">
        <v>0</v>
      </c>
      <c r="K2244" s="54">
        <v>0</v>
      </c>
      <c r="L2244" s="51">
        <v>0</v>
      </c>
      <c r="M2244" s="54">
        <v>0</v>
      </c>
      <c r="N2244" s="53">
        <f t="shared" si="70"/>
        <v>0</v>
      </c>
      <c r="O2244" s="53">
        <f t="shared" si="71"/>
        <v>0</v>
      </c>
    </row>
    <row r="2245" spans="1:15" x14ac:dyDescent="0.2">
      <c r="A2245" s="51" t="s">
        <v>3567</v>
      </c>
      <c r="B2245" s="51" t="s">
        <v>3568</v>
      </c>
      <c r="C2245" s="51" t="s">
        <v>58</v>
      </c>
      <c r="D2245" s="51" t="s">
        <v>2056</v>
      </c>
      <c r="E2245" s="51" t="s">
        <v>2055</v>
      </c>
      <c r="F2245" s="52">
        <v>1169.1843817468</v>
      </c>
      <c r="G2245" s="52">
        <v>0</v>
      </c>
      <c r="H2245" s="52">
        <v>0</v>
      </c>
      <c r="I2245" s="52">
        <v>0</v>
      </c>
      <c r="J2245" s="51">
        <v>0</v>
      </c>
      <c r="K2245" s="54">
        <v>0</v>
      </c>
      <c r="L2245" s="51">
        <v>0</v>
      </c>
      <c r="M2245" s="54">
        <v>0</v>
      </c>
      <c r="N2245" s="53">
        <f t="shared" si="70"/>
        <v>0</v>
      </c>
      <c r="O2245" s="53">
        <f t="shared" si="71"/>
        <v>0</v>
      </c>
    </row>
    <row r="2246" spans="1:15" x14ac:dyDescent="0.2">
      <c r="A2246" s="51" t="s">
        <v>3567</v>
      </c>
      <c r="B2246" s="51" t="s">
        <v>3568</v>
      </c>
      <c r="C2246" s="51" t="s">
        <v>79</v>
      </c>
      <c r="D2246" s="51" t="s">
        <v>3337</v>
      </c>
      <c r="E2246" s="51" t="s">
        <v>3336</v>
      </c>
      <c r="F2246" s="52">
        <v>2298.91176659651</v>
      </c>
      <c r="G2246" s="52">
        <v>32650</v>
      </c>
      <c r="H2246" s="52">
        <v>33960</v>
      </c>
      <c r="I2246" s="52">
        <v>66610</v>
      </c>
      <c r="J2246" s="51">
        <v>0</v>
      </c>
      <c r="K2246" s="54">
        <v>0</v>
      </c>
      <c r="L2246" s="51">
        <v>2</v>
      </c>
      <c r="M2246" s="54">
        <v>40000</v>
      </c>
      <c r="N2246" s="53">
        <f t="shared" si="70"/>
        <v>-40000</v>
      </c>
      <c r="O2246" s="53">
        <f t="shared" si="71"/>
        <v>40000</v>
      </c>
    </row>
    <row r="2247" spans="1:15" x14ac:dyDescent="0.2">
      <c r="A2247" s="51" t="s">
        <v>3567</v>
      </c>
      <c r="B2247" s="51" t="s">
        <v>3568</v>
      </c>
      <c r="C2247" s="51" t="s">
        <v>53</v>
      </c>
      <c r="D2247" s="51" t="s">
        <v>2676</v>
      </c>
      <c r="E2247" s="51" t="s">
        <v>2675</v>
      </c>
      <c r="F2247" s="52">
        <v>632.40020000050004</v>
      </c>
      <c r="G2247" s="52">
        <v>7260</v>
      </c>
      <c r="H2247" s="52">
        <v>1165</v>
      </c>
      <c r="I2247" s="52">
        <v>8425</v>
      </c>
      <c r="J2247" s="51">
        <v>1</v>
      </c>
      <c r="K2247" s="54">
        <v>6000</v>
      </c>
      <c r="L2247" s="51">
        <v>0</v>
      </c>
      <c r="M2247" s="54">
        <v>0</v>
      </c>
      <c r="N2247" s="53">
        <f t="shared" si="70"/>
        <v>6000</v>
      </c>
      <c r="O2247" s="53">
        <f t="shared" si="71"/>
        <v>-6000</v>
      </c>
    </row>
    <row r="2248" spans="1:15" x14ac:dyDescent="0.2">
      <c r="A2248" s="51" t="s">
        <v>3567</v>
      </c>
      <c r="B2248" s="51" t="s">
        <v>3568</v>
      </c>
      <c r="C2248" s="51" t="s">
        <v>67</v>
      </c>
      <c r="D2248" s="51" t="s">
        <v>603</v>
      </c>
      <c r="E2248" s="51" t="s">
        <v>602</v>
      </c>
      <c r="F2248" s="52">
        <v>13831.254273913</v>
      </c>
      <c r="G2248" s="52">
        <v>0</v>
      </c>
      <c r="H2248" s="52">
        <v>0</v>
      </c>
      <c r="I2248" s="52">
        <v>0</v>
      </c>
      <c r="J2248" s="51">
        <v>1</v>
      </c>
      <c r="K2248" s="54">
        <v>6000</v>
      </c>
      <c r="L2248" s="51">
        <v>0</v>
      </c>
      <c r="M2248" s="54">
        <v>0</v>
      </c>
      <c r="N2248" s="53">
        <f t="shared" si="70"/>
        <v>6000</v>
      </c>
      <c r="O2248" s="53">
        <f t="shared" si="71"/>
        <v>-6000</v>
      </c>
    </row>
    <row r="2249" spans="1:15" x14ac:dyDescent="0.2">
      <c r="A2249" s="51" t="s">
        <v>3567</v>
      </c>
      <c r="B2249" s="51" t="s">
        <v>3568</v>
      </c>
      <c r="C2249" s="51" t="s">
        <v>74</v>
      </c>
      <c r="D2249" s="51" t="s">
        <v>930</v>
      </c>
      <c r="E2249" s="51" t="s">
        <v>929</v>
      </c>
      <c r="F2249" s="52">
        <v>3761.4074999999998</v>
      </c>
      <c r="G2249" s="52">
        <v>7540</v>
      </c>
      <c r="H2249" s="52">
        <v>3800</v>
      </c>
      <c r="I2249" s="52">
        <v>11340</v>
      </c>
      <c r="J2249" s="51">
        <v>2</v>
      </c>
      <c r="K2249" s="54">
        <v>15000</v>
      </c>
      <c r="L2249" s="51">
        <v>1</v>
      </c>
      <c r="M2249" s="54">
        <v>10000</v>
      </c>
      <c r="N2249" s="53">
        <f t="shared" si="70"/>
        <v>5000</v>
      </c>
      <c r="O2249" s="53">
        <f t="shared" si="71"/>
        <v>-5000</v>
      </c>
    </row>
    <row r="2250" spans="1:15" x14ac:dyDescent="0.2">
      <c r="A2250" s="51" t="s">
        <v>3567</v>
      </c>
      <c r="B2250" s="51" t="s">
        <v>3568</v>
      </c>
      <c r="C2250" s="51" t="s">
        <v>86</v>
      </c>
      <c r="D2250" s="51" t="s">
        <v>277</v>
      </c>
      <c r="E2250" s="51" t="s">
        <v>276</v>
      </c>
      <c r="F2250" s="52">
        <v>6580.629758348894</v>
      </c>
      <c r="G2250" s="52">
        <v>0</v>
      </c>
      <c r="H2250" s="52">
        <v>0</v>
      </c>
      <c r="I2250" s="52">
        <v>0</v>
      </c>
      <c r="J2250" s="51">
        <v>1</v>
      </c>
      <c r="K2250" s="54">
        <v>5000</v>
      </c>
      <c r="L2250" s="51">
        <v>0</v>
      </c>
      <c r="M2250" s="54">
        <v>0</v>
      </c>
      <c r="N2250" s="53">
        <f t="shared" si="70"/>
        <v>5000</v>
      </c>
      <c r="O2250" s="53">
        <f t="shared" si="71"/>
        <v>-5000</v>
      </c>
    </row>
    <row r="2251" spans="1:15" x14ac:dyDescent="0.2">
      <c r="A2251" s="51" t="s">
        <v>3567</v>
      </c>
      <c r="B2251" s="51" t="s">
        <v>3568</v>
      </c>
      <c r="C2251" s="51" t="s">
        <v>65</v>
      </c>
      <c r="D2251" s="51" t="s">
        <v>2277</v>
      </c>
      <c r="E2251" s="51" t="s">
        <v>2276</v>
      </c>
      <c r="F2251" s="52">
        <v>4.7536965540932759</v>
      </c>
      <c r="G2251" s="52">
        <v>0</v>
      </c>
      <c r="H2251" s="52">
        <v>0</v>
      </c>
      <c r="I2251" s="52">
        <v>0</v>
      </c>
      <c r="J2251" s="51">
        <v>0</v>
      </c>
      <c r="K2251" s="54">
        <v>0</v>
      </c>
      <c r="L2251" s="51">
        <v>0</v>
      </c>
      <c r="M2251" s="54">
        <v>0</v>
      </c>
      <c r="N2251" s="53">
        <f t="shared" si="70"/>
        <v>0</v>
      </c>
      <c r="O2251" s="53">
        <f t="shared" si="71"/>
        <v>0</v>
      </c>
    </row>
    <row r="2252" spans="1:15" x14ac:dyDescent="0.2">
      <c r="A2252" s="51" t="s">
        <v>3567</v>
      </c>
      <c r="B2252" s="51" t="s">
        <v>3568</v>
      </c>
      <c r="C2252" s="51" t="s">
        <v>59</v>
      </c>
      <c r="D2252" s="51" t="s">
        <v>144</v>
      </c>
      <c r="E2252" s="51" t="s">
        <v>143</v>
      </c>
      <c r="F2252" s="52">
        <v>178.84921259445659</v>
      </c>
      <c r="G2252" s="52">
        <v>0</v>
      </c>
      <c r="H2252" s="52">
        <v>4940</v>
      </c>
      <c r="I2252" s="52">
        <v>4940</v>
      </c>
      <c r="J2252" s="51">
        <v>0</v>
      </c>
      <c r="K2252" s="54">
        <v>0</v>
      </c>
      <c r="L2252" s="51">
        <v>0</v>
      </c>
      <c r="M2252" s="54">
        <v>0</v>
      </c>
      <c r="N2252" s="53">
        <f t="shared" si="70"/>
        <v>0</v>
      </c>
      <c r="O2252" s="53">
        <f t="shared" si="71"/>
        <v>0</v>
      </c>
    </row>
    <row r="2253" spans="1:15" x14ac:dyDescent="0.2">
      <c r="A2253" s="51" t="s">
        <v>3567</v>
      </c>
      <c r="B2253" s="51" t="s">
        <v>3568</v>
      </c>
      <c r="C2253" s="51" t="s">
        <v>63</v>
      </c>
      <c r="D2253" s="51" t="s">
        <v>1551</v>
      </c>
      <c r="E2253" s="51" t="s">
        <v>1550</v>
      </c>
      <c r="F2253" s="52">
        <v>20387.087392104419</v>
      </c>
      <c r="G2253" s="52">
        <v>100</v>
      </c>
      <c r="H2253" s="52">
        <v>18080</v>
      </c>
      <c r="I2253" s="52">
        <v>18180</v>
      </c>
      <c r="J2253" s="51">
        <v>0</v>
      </c>
      <c r="K2253" s="54">
        <v>0</v>
      </c>
      <c r="L2253" s="51">
        <v>2</v>
      </c>
      <c r="M2253" s="54">
        <v>15000</v>
      </c>
      <c r="N2253" s="53">
        <f t="shared" si="70"/>
        <v>-15000</v>
      </c>
      <c r="O2253" s="53">
        <f t="shared" si="71"/>
        <v>15000</v>
      </c>
    </row>
    <row r="2254" spans="1:15" x14ac:dyDescent="0.2">
      <c r="A2254" s="51" t="s">
        <v>3567</v>
      </c>
      <c r="B2254" s="51" t="s">
        <v>3568</v>
      </c>
      <c r="C2254" s="51" t="s">
        <v>69</v>
      </c>
      <c r="D2254" s="51" t="s">
        <v>1284</v>
      </c>
      <c r="E2254" s="51" t="s">
        <v>1283</v>
      </c>
      <c r="F2254" s="52">
        <v>9538.5707864218639</v>
      </c>
      <c r="G2254" s="52">
        <v>2385</v>
      </c>
      <c r="H2254" s="52">
        <v>0</v>
      </c>
      <c r="I2254" s="52">
        <v>2385</v>
      </c>
      <c r="J2254" s="51">
        <v>1</v>
      </c>
      <c r="K2254" s="54">
        <v>5000</v>
      </c>
      <c r="L2254" s="51">
        <v>0</v>
      </c>
      <c r="M2254" s="54">
        <v>0</v>
      </c>
      <c r="N2254" s="53">
        <f t="shared" si="70"/>
        <v>5000</v>
      </c>
      <c r="O2254" s="53">
        <f t="shared" si="71"/>
        <v>-5000</v>
      </c>
    </row>
    <row r="2255" spans="1:15" x14ac:dyDescent="0.2">
      <c r="A2255" s="51" t="s">
        <v>3567</v>
      </c>
      <c r="B2255" s="51" t="s">
        <v>3568</v>
      </c>
      <c r="C2255" s="51" t="s">
        <v>73</v>
      </c>
      <c r="D2255" s="51" t="s">
        <v>2712</v>
      </c>
      <c r="E2255" s="51" t="s">
        <v>2711</v>
      </c>
      <c r="F2255" s="52">
        <v>50.229048523435829</v>
      </c>
      <c r="G2255" s="52">
        <v>0</v>
      </c>
      <c r="H2255" s="52">
        <v>600</v>
      </c>
      <c r="I2255" s="52">
        <v>600</v>
      </c>
      <c r="J2255" s="51">
        <v>0</v>
      </c>
      <c r="K2255" s="54">
        <v>0</v>
      </c>
      <c r="L2255" s="51">
        <v>1</v>
      </c>
      <c r="M2255" s="54">
        <v>6000</v>
      </c>
      <c r="N2255" s="53">
        <f t="shared" si="70"/>
        <v>-6000</v>
      </c>
      <c r="O2255" s="53">
        <f t="shared" si="71"/>
        <v>6000</v>
      </c>
    </row>
    <row r="2256" spans="1:15" x14ac:dyDescent="0.2">
      <c r="A2256" s="51" t="s">
        <v>3567</v>
      </c>
      <c r="B2256" s="51" t="s">
        <v>3568</v>
      </c>
      <c r="C2256" s="51" t="s">
        <v>64</v>
      </c>
      <c r="D2256" s="51" t="s">
        <v>1148</v>
      </c>
      <c r="E2256" s="51" t="s">
        <v>1147</v>
      </c>
      <c r="F2256" s="52">
        <v>46038.753254406802</v>
      </c>
      <c r="G2256" s="52">
        <v>1515</v>
      </c>
      <c r="H2256" s="52">
        <v>6700</v>
      </c>
      <c r="I2256" s="52">
        <v>8215</v>
      </c>
      <c r="J2256" s="51">
        <v>1</v>
      </c>
      <c r="K2256" s="54">
        <v>12000</v>
      </c>
      <c r="L2256" s="51">
        <v>0</v>
      </c>
      <c r="M2256" s="54">
        <v>0</v>
      </c>
      <c r="N2256" s="53">
        <f t="shared" si="70"/>
        <v>12000</v>
      </c>
      <c r="O2256" s="53">
        <f t="shared" si="71"/>
        <v>-12000</v>
      </c>
    </row>
    <row r="2257" spans="1:15" x14ac:dyDescent="0.2">
      <c r="A2257" s="51" t="s">
        <v>3567</v>
      </c>
      <c r="B2257" s="51" t="s">
        <v>3568</v>
      </c>
      <c r="C2257" s="51" t="s">
        <v>56</v>
      </c>
      <c r="D2257" s="51" t="s">
        <v>2419</v>
      </c>
      <c r="E2257" s="51" t="s">
        <v>2339</v>
      </c>
      <c r="F2257" s="52">
        <v>309.15456201130092</v>
      </c>
      <c r="G2257" s="52">
        <v>1805</v>
      </c>
      <c r="H2257" s="52">
        <v>1290</v>
      </c>
      <c r="I2257" s="52">
        <v>3095</v>
      </c>
      <c r="J2257" s="51">
        <v>0</v>
      </c>
      <c r="K2257" s="54">
        <v>0</v>
      </c>
      <c r="L2257" s="51">
        <v>1</v>
      </c>
      <c r="M2257" s="54">
        <v>10000</v>
      </c>
      <c r="N2257" s="53">
        <f t="shared" si="70"/>
        <v>-10000</v>
      </c>
      <c r="O2257" s="53">
        <f t="shared" si="71"/>
        <v>10000</v>
      </c>
    </row>
    <row r="2258" spans="1:15" x14ac:dyDescent="0.2">
      <c r="A2258" s="51" t="s">
        <v>3567</v>
      </c>
      <c r="B2258" s="51" t="s">
        <v>3568</v>
      </c>
      <c r="C2258" s="51" t="s">
        <v>57</v>
      </c>
      <c r="D2258" s="51" t="s">
        <v>1628</v>
      </c>
      <c r="E2258" s="51" t="s">
        <v>1627</v>
      </c>
      <c r="F2258" s="52">
        <v>26.04037178334216</v>
      </c>
      <c r="G2258" s="52">
        <v>0</v>
      </c>
      <c r="H2258" s="52">
        <v>6980</v>
      </c>
      <c r="I2258" s="52">
        <v>6980</v>
      </c>
      <c r="J2258" s="51">
        <v>0</v>
      </c>
      <c r="K2258" s="54">
        <v>0</v>
      </c>
      <c r="L2258" s="51">
        <v>1</v>
      </c>
      <c r="M2258" s="54">
        <v>7000</v>
      </c>
      <c r="N2258" s="53">
        <f t="shared" si="70"/>
        <v>-7000</v>
      </c>
      <c r="O2258" s="53">
        <f t="shared" si="71"/>
        <v>7000</v>
      </c>
    </row>
    <row r="2259" spans="1:15" x14ac:dyDescent="0.2">
      <c r="A2259" s="51" t="s">
        <v>3567</v>
      </c>
      <c r="B2259" s="51" t="s">
        <v>3568</v>
      </c>
      <c r="C2259" s="51" t="s">
        <v>3650</v>
      </c>
      <c r="D2259" s="51" t="s">
        <v>4757</v>
      </c>
      <c r="E2259" s="51" t="s">
        <v>4758</v>
      </c>
      <c r="F2259" s="52">
        <v>28.931031309000002</v>
      </c>
      <c r="G2259" s="52">
        <v>0</v>
      </c>
      <c r="H2259" s="52">
        <v>0</v>
      </c>
      <c r="I2259" s="52">
        <v>0</v>
      </c>
      <c r="J2259" s="51">
        <v>0</v>
      </c>
      <c r="K2259" s="54">
        <v>0</v>
      </c>
      <c r="L2259" s="51">
        <v>0</v>
      </c>
      <c r="M2259" s="54">
        <v>0</v>
      </c>
      <c r="N2259" s="53">
        <f t="shared" si="70"/>
        <v>0</v>
      </c>
      <c r="O2259" s="53">
        <f t="shared" si="71"/>
        <v>0</v>
      </c>
    </row>
    <row r="2260" spans="1:15" x14ac:dyDescent="0.2">
      <c r="A2260" s="51" t="s">
        <v>3567</v>
      </c>
      <c r="B2260" s="51" t="s">
        <v>3568</v>
      </c>
      <c r="C2260" s="51" t="s">
        <v>3756</v>
      </c>
      <c r="D2260" s="51" t="s">
        <v>4743</v>
      </c>
      <c r="E2260" s="51" t="s">
        <v>4744</v>
      </c>
      <c r="F2260" s="52">
        <v>223.7590261612402</v>
      </c>
      <c r="G2260" s="52">
        <v>0</v>
      </c>
      <c r="H2260" s="52">
        <v>0</v>
      </c>
      <c r="I2260" s="52">
        <v>0</v>
      </c>
      <c r="J2260" s="51">
        <v>0</v>
      </c>
      <c r="K2260" s="54">
        <v>0</v>
      </c>
      <c r="L2260" s="51">
        <v>0</v>
      </c>
      <c r="M2260" s="54">
        <v>0</v>
      </c>
      <c r="N2260" s="53">
        <f t="shared" si="70"/>
        <v>0</v>
      </c>
      <c r="O2260" s="53">
        <f t="shared" si="71"/>
        <v>0</v>
      </c>
    </row>
    <row r="2261" spans="1:15" x14ac:dyDescent="0.2">
      <c r="A2261" s="51" t="s">
        <v>3567</v>
      </c>
      <c r="B2261" s="51" t="s">
        <v>3568</v>
      </c>
      <c r="C2261" s="51" t="s">
        <v>57</v>
      </c>
      <c r="D2261" s="51" t="s">
        <v>882</v>
      </c>
      <c r="E2261" s="51" t="s">
        <v>881</v>
      </c>
      <c r="F2261" s="52">
        <v>20798.097334999999</v>
      </c>
      <c r="G2261" s="52">
        <v>2000</v>
      </c>
      <c r="H2261" s="52">
        <v>48115</v>
      </c>
      <c r="I2261" s="52">
        <v>50115</v>
      </c>
      <c r="J2261" s="51">
        <v>0</v>
      </c>
      <c r="K2261" s="54">
        <v>0</v>
      </c>
      <c r="L2261" s="51">
        <v>2</v>
      </c>
      <c r="M2261" s="54">
        <v>29000</v>
      </c>
      <c r="N2261" s="53">
        <f t="shared" si="70"/>
        <v>-29000</v>
      </c>
      <c r="O2261" s="53">
        <f t="shared" si="71"/>
        <v>29000</v>
      </c>
    </row>
    <row r="2262" spans="1:15" x14ac:dyDescent="0.2">
      <c r="A2262" s="51" t="s">
        <v>3567</v>
      </c>
      <c r="B2262" s="51" t="s">
        <v>3568</v>
      </c>
      <c r="C2262" s="51" t="s">
        <v>3707</v>
      </c>
      <c r="D2262" s="51" t="s">
        <v>4751</v>
      </c>
      <c r="E2262" s="51" t="s">
        <v>4752</v>
      </c>
      <c r="F2262" s="52">
        <v>3.681327334213206</v>
      </c>
      <c r="G2262" s="52">
        <v>0</v>
      </c>
      <c r="H2262" s="52">
        <v>0</v>
      </c>
      <c r="I2262" s="52">
        <v>0</v>
      </c>
      <c r="J2262" s="51">
        <v>0</v>
      </c>
      <c r="K2262" s="54">
        <v>0</v>
      </c>
      <c r="L2262" s="51">
        <v>0</v>
      </c>
      <c r="M2262" s="54">
        <v>0</v>
      </c>
      <c r="N2262" s="53">
        <f t="shared" si="70"/>
        <v>0</v>
      </c>
      <c r="O2262" s="53">
        <f t="shared" si="71"/>
        <v>0</v>
      </c>
    </row>
    <row r="2263" spans="1:15" x14ac:dyDescent="0.2">
      <c r="A2263" s="51" t="s">
        <v>3567</v>
      </c>
      <c r="B2263" s="51" t="s">
        <v>3568</v>
      </c>
      <c r="C2263" s="51" t="s">
        <v>53</v>
      </c>
      <c r="D2263" s="51" t="s">
        <v>1229</v>
      </c>
      <c r="E2263" s="51" t="s">
        <v>1228</v>
      </c>
      <c r="F2263" s="52">
        <v>11590.349700000001</v>
      </c>
      <c r="G2263" s="52">
        <v>2400</v>
      </c>
      <c r="H2263" s="52">
        <v>8850</v>
      </c>
      <c r="I2263" s="52">
        <v>11250</v>
      </c>
      <c r="J2263" s="51">
        <v>1</v>
      </c>
      <c r="K2263" s="54">
        <v>5000</v>
      </c>
      <c r="L2263" s="51">
        <v>0</v>
      </c>
      <c r="M2263" s="54">
        <v>0</v>
      </c>
      <c r="N2263" s="53">
        <f t="shared" si="70"/>
        <v>5000</v>
      </c>
      <c r="O2263" s="53">
        <f t="shared" si="71"/>
        <v>-5000</v>
      </c>
    </row>
    <row r="2264" spans="1:15" x14ac:dyDescent="0.2">
      <c r="A2264" s="51" t="s">
        <v>3567</v>
      </c>
      <c r="B2264" s="51" t="s">
        <v>3568</v>
      </c>
      <c r="C2264" s="51" t="s">
        <v>72</v>
      </c>
      <c r="D2264" s="51" t="s">
        <v>4759</v>
      </c>
      <c r="E2264" s="51" t="s">
        <v>4760</v>
      </c>
      <c r="F2264" s="52">
        <v>0.22555038720829881</v>
      </c>
      <c r="G2264" s="52">
        <v>0</v>
      </c>
      <c r="H2264" s="52">
        <v>0</v>
      </c>
      <c r="I2264" s="52">
        <v>0</v>
      </c>
      <c r="J2264" s="51">
        <v>0</v>
      </c>
      <c r="K2264" s="54">
        <v>0</v>
      </c>
      <c r="L2264" s="51">
        <v>0</v>
      </c>
      <c r="M2264" s="54">
        <v>0</v>
      </c>
      <c r="N2264" s="53">
        <f t="shared" si="70"/>
        <v>0</v>
      </c>
      <c r="O2264" s="53">
        <f t="shared" si="71"/>
        <v>0</v>
      </c>
    </row>
    <row r="2265" spans="1:15" x14ac:dyDescent="0.2">
      <c r="A2265" s="51" t="s">
        <v>3567</v>
      </c>
      <c r="B2265" s="51" t="s">
        <v>3568</v>
      </c>
      <c r="C2265" s="51" t="s">
        <v>4149</v>
      </c>
      <c r="D2265" s="51" t="s">
        <v>4741</v>
      </c>
      <c r="E2265" s="51" t="s">
        <v>4742</v>
      </c>
      <c r="F2265" s="52">
        <v>5.3087483391785266</v>
      </c>
      <c r="G2265" s="52">
        <v>0</v>
      </c>
      <c r="H2265" s="52">
        <v>0</v>
      </c>
      <c r="I2265" s="52">
        <v>0</v>
      </c>
      <c r="J2265" s="51">
        <v>0</v>
      </c>
      <c r="K2265" s="54">
        <v>0</v>
      </c>
      <c r="L2265" s="51">
        <v>0</v>
      </c>
      <c r="M2265" s="54">
        <v>0</v>
      </c>
      <c r="N2265" s="53">
        <f t="shared" si="70"/>
        <v>0</v>
      </c>
      <c r="O2265" s="53">
        <f t="shared" si="71"/>
        <v>0</v>
      </c>
    </row>
    <row r="2266" spans="1:15" x14ac:dyDescent="0.2">
      <c r="A2266" s="51" t="s">
        <v>3567</v>
      </c>
      <c r="B2266" s="51" t="s">
        <v>3568</v>
      </c>
      <c r="C2266" s="51" t="s">
        <v>93</v>
      </c>
      <c r="D2266" s="51" t="s">
        <v>554</v>
      </c>
      <c r="E2266" s="51" t="s">
        <v>553</v>
      </c>
      <c r="F2266" s="52">
        <v>4.4686378345851949</v>
      </c>
      <c r="G2266" s="52">
        <v>0</v>
      </c>
      <c r="H2266" s="52">
        <v>0</v>
      </c>
      <c r="I2266" s="52">
        <v>0</v>
      </c>
      <c r="J2266" s="51">
        <v>0</v>
      </c>
      <c r="K2266" s="54">
        <v>0</v>
      </c>
      <c r="L2266" s="51">
        <v>0</v>
      </c>
      <c r="M2266" s="54">
        <v>0</v>
      </c>
      <c r="N2266" s="53">
        <f t="shared" si="70"/>
        <v>0</v>
      </c>
      <c r="O2266" s="53">
        <f t="shared" si="71"/>
        <v>0</v>
      </c>
    </row>
    <row r="2267" spans="1:15" x14ac:dyDescent="0.2">
      <c r="A2267" s="51" t="s">
        <v>3567</v>
      </c>
      <c r="B2267" s="51" t="s">
        <v>3568</v>
      </c>
      <c r="C2267" s="51" t="s">
        <v>70</v>
      </c>
      <c r="D2267" s="51" t="s">
        <v>1006</v>
      </c>
      <c r="E2267" s="51" t="s">
        <v>1005</v>
      </c>
      <c r="F2267" s="52">
        <v>973.94219999999996</v>
      </c>
      <c r="G2267" s="52">
        <v>0</v>
      </c>
      <c r="H2267" s="52">
        <v>48330</v>
      </c>
      <c r="I2267" s="52">
        <v>48330</v>
      </c>
      <c r="J2267" s="51">
        <v>0</v>
      </c>
      <c r="K2267" s="54">
        <v>0</v>
      </c>
      <c r="L2267" s="51">
        <v>3</v>
      </c>
      <c r="M2267" s="54">
        <v>55000</v>
      </c>
      <c r="N2267" s="53">
        <f t="shared" si="70"/>
        <v>-55000</v>
      </c>
      <c r="O2267" s="53">
        <f t="shared" si="71"/>
        <v>55000</v>
      </c>
    </row>
    <row r="2268" spans="1:15" x14ac:dyDescent="0.2">
      <c r="A2268" s="51" t="s">
        <v>3567</v>
      </c>
      <c r="B2268" s="51" t="s">
        <v>3568</v>
      </c>
      <c r="C2268" s="51" t="s">
        <v>81</v>
      </c>
      <c r="D2268" s="51" t="s">
        <v>644</v>
      </c>
      <c r="E2268" s="51" t="s">
        <v>643</v>
      </c>
      <c r="F2268" s="52">
        <v>12196.65310866336</v>
      </c>
      <c r="G2268" s="52">
        <v>6345</v>
      </c>
      <c r="H2268" s="52">
        <v>36445</v>
      </c>
      <c r="I2268" s="52">
        <v>42790</v>
      </c>
      <c r="J2268" s="51">
        <v>0</v>
      </c>
      <c r="K2268" s="54">
        <v>0</v>
      </c>
      <c r="L2268" s="51">
        <v>2</v>
      </c>
      <c r="M2268" s="54">
        <v>55000</v>
      </c>
      <c r="N2268" s="53">
        <f t="shared" si="70"/>
        <v>-55000</v>
      </c>
      <c r="O2268" s="53">
        <f t="shared" si="71"/>
        <v>55000</v>
      </c>
    </row>
    <row r="2269" spans="1:15" x14ac:dyDescent="0.2">
      <c r="A2269" s="51" t="s">
        <v>3567</v>
      </c>
      <c r="B2269" s="51" t="s">
        <v>3568</v>
      </c>
      <c r="C2269" s="51" t="s">
        <v>81</v>
      </c>
      <c r="D2269" s="51" t="s">
        <v>1936</v>
      </c>
      <c r="E2269" s="51" t="s">
        <v>1935</v>
      </c>
      <c r="F2269" s="52">
        <v>8477.1332000000002</v>
      </c>
      <c r="G2269" s="52">
        <v>200</v>
      </c>
      <c r="H2269" s="52">
        <v>0</v>
      </c>
      <c r="I2269" s="52">
        <v>200</v>
      </c>
      <c r="J2269" s="51">
        <v>1</v>
      </c>
      <c r="K2269" s="54">
        <v>6000</v>
      </c>
      <c r="L2269" s="51">
        <v>0</v>
      </c>
      <c r="M2269" s="54">
        <v>0</v>
      </c>
      <c r="N2269" s="53">
        <f t="shared" si="70"/>
        <v>6000</v>
      </c>
      <c r="O2269" s="53">
        <f t="shared" si="71"/>
        <v>-6000</v>
      </c>
    </row>
    <row r="2270" spans="1:15" x14ac:dyDescent="0.2">
      <c r="A2270" s="51" t="s">
        <v>3567</v>
      </c>
      <c r="B2270" s="51" t="s">
        <v>3568</v>
      </c>
      <c r="C2270" s="51" t="s">
        <v>68</v>
      </c>
      <c r="D2270" s="51" t="s">
        <v>1651</v>
      </c>
      <c r="E2270" s="51" t="s">
        <v>1650</v>
      </c>
      <c r="F2270" s="52">
        <v>31.2544</v>
      </c>
      <c r="G2270" s="52">
        <v>0</v>
      </c>
      <c r="H2270" s="52">
        <v>0</v>
      </c>
      <c r="I2270" s="52">
        <v>0</v>
      </c>
      <c r="J2270" s="51">
        <v>0</v>
      </c>
      <c r="K2270" s="54">
        <v>0</v>
      </c>
      <c r="L2270" s="51">
        <v>0</v>
      </c>
      <c r="M2270" s="54">
        <v>0</v>
      </c>
      <c r="N2270" s="53">
        <f t="shared" si="70"/>
        <v>0</v>
      </c>
      <c r="O2270" s="53">
        <f t="shared" si="71"/>
        <v>0</v>
      </c>
    </row>
    <row r="2271" spans="1:15" x14ac:dyDescent="0.2">
      <c r="A2271" s="51" t="s">
        <v>3567</v>
      </c>
      <c r="B2271" s="51" t="s">
        <v>3568</v>
      </c>
      <c r="C2271" s="51" t="s">
        <v>85</v>
      </c>
      <c r="D2271" s="51" t="s">
        <v>2332</v>
      </c>
      <c r="E2271" s="51" t="s">
        <v>2331</v>
      </c>
      <c r="F2271" s="52">
        <v>47550.022944757431</v>
      </c>
      <c r="G2271" s="52">
        <v>34350</v>
      </c>
      <c r="H2271" s="52">
        <v>38970</v>
      </c>
      <c r="I2271" s="52">
        <v>73320</v>
      </c>
      <c r="J2271" s="51">
        <v>1</v>
      </c>
      <c r="K2271" s="54">
        <v>5000</v>
      </c>
      <c r="L2271" s="51">
        <v>2</v>
      </c>
      <c r="M2271" s="54">
        <v>115000</v>
      </c>
      <c r="N2271" s="53">
        <f t="shared" si="70"/>
        <v>-110000</v>
      </c>
      <c r="O2271" s="53">
        <f t="shared" si="71"/>
        <v>110000</v>
      </c>
    </row>
    <row r="2272" spans="1:15" x14ac:dyDescent="0.2">
      <c r="A2272" s="51" t="s">
        <v>3567</v>
      </c>
      <c r="B2272" s="51" t="s">
        <v>3568</v>
      </c>
      <c r="C2272" s="51" t="s">
        <v>3944</v>
      </c>
      <c r="D2272" s="51" t="s">
        <v>4737</v>
      </c>
      <c r="E2272" s="51" t="s">
        <v>4738</v>
      </c>
      <c r="F2272" s="52">
        <v>8.1160446988955375</v>
      </c>
      <c r="G2272" s="52">
        <v>0</v>
      </c>
      <c r="H2272" s="52">
        <v>0</v>
      </c>
      <c r="I2272" s="52">
        <v>0</v>
      </c>
      <c r="J2272" s="51">
        <v>0</v>
      </c>
      <c r="K2272" s="54">
        <v>0</v>
      </c>
      <c r="L2272" s="51">
        <v>0</v>
      </c>
      <c r="M2272" s="54">
        <v>0</v>
      </c>
      <c r="N2272" s="53">
        <f t="shared" si="70"/>
        <v>0</v>
      </c>
      <c r="O2272" s="53">
        <f t="shared" si="71"/>
        <v>0</v>
      </c>
    </row>
    <row r="2273" spans="1:15" x14ac:dyDescent="0.2">
      <c r="A2273" s="51" t="s">
        <v>3567</v>
      </c>
      <c r="B2273" s="51" t="s">
        <v>3568</v>
      </c>
      <c r="C2273" s="51" t="s">
        <v>58</v>
      </c>
      <c r="D2273" s="51" t="s">
        <v>2925</v>
      </c>
      <c r="E2273" s="51" t="s">
        <v>2924</v>
      </c>
      <c r="F2273" s="52">
        <v>10533.75217533354</v>
      </c>
      <c r="G2273" s="52">
        <v>9510</v>
      </c>
      <c r="H2273" s="52">
        <v>5750</v>
      </c>
      <c r="I2273" s="52">
        <v>15260</v>
      </c>
      <c r="J2273" s="51">
        <v>1</v>
      </c>
      <c r="K2273" s="54">
        <v>10000</v>
      </c>
      <c r="L2273" s="51">
        <v>0</v>
      </c>
      <c r="M2273" s="54">
        <v>0</v>
      </c>
      <c r="N2273" s="53">
        <f t="shared" si="70"/>
        <v>10000</v>
      </c>
      <c r="O2273" s="53">
        <f t="shared" si="71"/>
        <v>-10000</v>
      </c>
    </row>
    <row r="2274" spans="1:15" x14ac:dyDescent="0.2">
      <c r="A2274" s="51" t="s">
        <v>3567</v>
      </c>
      <c r="B2274" s="51" t="s">
        <v>3568</v>
      </c>
      <c r="C2274" s="51" t="s">
        <v>71</v>
      </c>
      <c r="D2274" s="51" t="s">
        <v>2817</v>
      </c>
      <c r="E2274" s="51" t="s">
        <v>2816</v>
      </c>
      <c r="F2274" s="52">
        <v>12609.60944411773</v>
      </c>
      <c r="G2274" s="52">
        <v>0</v>
      </c>
      <c r="H2274" s="52">
        <v>49318</v>
      </c>
      <c r="I2274" s="52">
        <v>49318</v>
      </c>
      <c r="J2274" s="51">
        <v>1</v>
      </c>
      <c r="K2274" s="54">
        <v>5000</v>
      </c>
      <c r="L2274" s="51">
        <v>3</v>
      </c>
      <c r="M2274" s="54">
        <v>44000</v>
      </c>
      <c r="N2274" s="53">
        <f t="shared" si="70"/>
        <v>-39000</v>
      </c>
      <c r="O2274" s="53">
        <f t="shared" si="71"/>
        <v>39000</v>
      </c>
    </row>
    <row r="2275" spans="1:15" x14ac:dyDescent="0.2">
      <c r="A2275" s="51" t="s">
        <v>3567</v>
      </c>
      <c r="B2275" s="51" t="s">
        <v>3568</v>
      </c>
      <c r="C2275" s="51" t="s">
        <v>78</v>
      </c>
      <c r="D2275" s="51" t="s">
        <v>2319</v>
      </c>
      <c r="E2275" s="51" t="s">
        <v>1269</v>
      </c>
      <c r="F2275" s="52">
        <v>8474.8401000025005</v>
      </c>
      <c r="G2275" s="52">
        <v>550</v>
      </c>
      <c r="H2275" s="52">
        <v>0</v>
      </c>
      <c r="I2275" s="52">
        <v>550</v>
      </c>
      <c r="J2275" s="51">
        <v>1</v>
      </c>
      <c r="K2275" s="54">
        <v>5000</v>
      </c>
      <c r="L2275" s="51">
        <v>0</v>
      </c>
      <c r="M2275" s="54">
        <v>0</v>
      </c>
      <c r="N2275" s="53">
        <f t="shared" si="70"/>
        <v>5000</v>
      </c>
      <c r="O2275" s="53">
        <f t="shared" si="71"/>
        <v>-5000</v>
      </c>
    </row>
    <row r="2276" spans="1:15" x14ac:dyDescent="0.2">
      <c r="A2276" s="51" t="s">
        <v>3567</v>
      </c>
      <c r="B2276" s="51" t="s">
        <v>3568</v>
      </c>
      <c r="C2276" s="51" t="s">
        <v>66</v>
      </c>
      <c r="D2276" s="51" t="s">
        <v>2907</v>
      </c>
      <c r="E2276" s="51" t="s">
        <v>2906</v>
      </c>
      <c r="F2276" s="52">
        <v>6055.2633961635547</v>
      </c>
      <c r="G2276" s="52">
        <v>17145</v>
      </c>
      <c r="H2276" s="52">
        <v>13010</v>
      </c>
      <c r="I2276" s="52">
        <v>30155</v>
      </c>
      <c r="J2276" s="51">
        <v>3</v>
      </c>
      <c r="K2276" s="54">
        <v>15000</v>
      </c>
      <c r="L2276" s="51">
        <v>1</v>
      </c>
      <c r="M2276" s="54">
        <v>5000</v>
      </c>
      <c r="N2276" s="53">
        <f t="shared" si="70"/>
        <v>10000</v>
      </c>
      <c r="O2276" s="53">
        <f t="shared" si="71"/>
        <v>-10000</v>
      </c>
    </row>
    <row r="2277" spans="1:15" x14ac:dyDescent="0.2">
      <c r="A2277" s="51" t="s">
        <v>3567</v>
      </c>
      <c r="B2277" s="51" t="s">
        <v>3568</v>
      </c>
      <c r="C2277" s="51" t="s">
        <v>83</v>
      </c>
      <c r="D2277" s="51" t="s">
        <v>3308</v>
      </c>
      <c r="E2277" s="51" t="s">
        <v>3307</v>
      </c>
      <c r="F2277" s="52">
        <v>1284.5070000000001</v>
      </c>
      <c r="G2277" s="52">
        <v>0</v>
      </c>
      <c r="H2277" s="52">
        <v>0</v>
      </c>
      <c r="I2277" s="52">
        <v>0</v>
      </c>
      <c r="J2277" s="51">
        <v>0</v>
      </c>
      <c r="K2277" s="54">
        <v>0</v>
      </c>
      <c r="L2277" s="51">
        <v>1</v>
      </c>
      <c r="M2277" s="54">
        <v>6000</v>
      </c>
      <c r="N2277" s="53">
        <f t="shared" si="70"/>
        <v>-6000</v>
      </c>
      <c r="O2277" s="53">
        <f t="shared" si="71"/>
        <v>6000</v>
      </c>
    </row>
    <row r="2278" spans="1:15" x14ac:dyDescent="0.2">
      <c r="A2278" s="51" t="s">
        <v>3567</v>
      </c>
      <c r="B2278" s="51" t="s">
        <v>3568</v>
      </c>
      <c r="C2278" s="51" t="s">
        <v>75</v>
      </c>
      <c r="D2278" s="51" t="s">
        <v>3055</v>
      </c>
      <c r="E2278" s="51" t="s">
        <v>3054</v>
      </c>
      <c r="F2278" s="52">
        <v>29630.430140896759</v>
      </c>
      <c r="G2278" s="52">
        <v>16320</v>
      </c>
      <c r="H2278" s="52">
        <v>7450</v>
      </c>
      <c r="I2278" s="52">
        <v>23770</v>
      </c>
      <c r="J2278" s="51">
        <v>1</v>
      </c>
      <c r="K2278" s="54">
        <v>10000</v>
      </c>
      <c r="L2278" s="51">
        <v>0</v>
      </c>
      <c r="M2278" s="54">
        <v>0</v>
      </c>
      <c r="N2278" s="53">
        <f t="shared" si="70"/>
        <v>10000</v>
      </c>
      <c r="O2278" s="53">
        <f t="shared" si="71"/>
        <v>-10000</v>
      </c>
    </row>
    <row r="2279" spans="1:15" x14ac:dyDescent="0.2">
      <c r="A2279" s="51" t="s">
        <v>3567</v>
      </c>
      <c r="B2279" s="51" t="s">
        <v>3568</v>
      </c>
      <c r="C2279" s="51" t="s">
        <v>75</v>
      </c>
      <c r="D2279" s="51" t="s">
        <v>2745</v>
      </c>
      <c r="E2279" s="51" t="s">
        <v>2744</v>
      </c>
      <c r="F2279" s="52">
        <v>1197.087988663558</v>
      </c>
      <c r="G2279" s="52">
        <v>2880</v>
      </c>
      <c r="H2279" s="52">
        <v>6530</v>
      </c>
      <c r="I2279" s="52">
        <v>9410</v>
      </c>
      <c r="J2279" s="51">
        <v>1</v>
      </c>
      <c r="K2279" s="54">
        <v>3000</v>
      </c>
      <c r="L2279" s="51">
        <v>2</v>
      </c>
      <c r="M2279" s="54">
        <v>13000</v>
      </c>
      <c r="N2279" s="53">
        <f t="shared" si="70"/>
        <v>-10000</v>
      </c>
      <c r="O2279" s="53">
        <f t="shared" si="71"/>
        <v>10000</v>
      </c>
    </row>
    <row r="2280" spans="1:15" x14ac:dyDescent="0.2">
      <c r="A2280" s="51" t="s">
        <v>3567</v>
      </c>
      <c r="B2280" s="51" t="s">
        <v>3568</v>
      </c>
      <c r="C2280" s="51" t="s">
        <v>57</v>
      </c>
      <c r="D2280" s="51" t="s">
        <v>1956</v>
      </c>
      <c r="E2280" s="51" t="s">
        <v>1955</v>
      </c>
      <c r="F2280" s="52">
        <v>4278.5177256922179</v>
      </c>
      <c r="G2280" s="52">
        <v>0</v>
      </c>
      <c r="H2280" s="52">
        <v>2000</v>
      </c>
      <c r="I2280" s="52">
        <v>2000</v>
      </c>
      <c r="J2280" s="51">
        <v>0</v>
      </c>
      <c r="K2280" s="54">
        <v>0</v>
      </c>
      <c r="L2280" s="51">
        <v>1</v>
      </c>
      <c r="M2280" s="54">
        <v>5000</v>
      </c>
      <c r="N2280" s="53">
        <f t="shared" si="70"/>
        <v>-5000</v>
      </c>
      <c r="O2280" s="53">
        <f t="shared" si="71"/>
        <v>5000</v>
      </c>
    </row>
    <row r="2281" spans="1:15" x14ac:dyDescent="0.2">
      <c r="A2281" s="51" t="s">
        <v>3567</v>
      </c>
      <c r="B2281" s="51" t="s">
        <v>3568</v>
      </c>
      <c r="C2281" s="51" t="s">
        <v>72</v>
      </c>
      <c r="D2281" s="51" t="s">
        <v>1871</v>
      </c>
      <c r="E2281" s="51" t="s">
        <v>1870</v>
      </c>
      <c r="F2281" s="52">
        <v>4554.4803426353601</v>
      </c>
      <c r="G2281" s="52">
        <v>600</v>
      </c>
      <c r="H2281" s="52">
        <v>9115</v>
      </c>
      <c r="I2281" s="52">
        <v>9715</v>
      </c>
      <c r="J2281" s="51">
        <v>1</v>
      </c>
      <c r="K2281" s="54">
        <v>5000</v>
      </c>
      <c r="L2281" s="51">
        <v>1</v>
      </c>
      <c r="M2281" s="54">
        <v>23000</v>
      </c>
      <c r="N2281" s="53">
        <f t="shared" si="70"/>
        <v>-18000</v>
      </c>
      <c r="O2281" s="53">
        <f t="shared" si="71"/>
        <v>18000</v>
      </c>
    </row>
    <row r="2282" spans="1:15" x14ac:dyDescent="0.2">
      <c r="A2282" s="51" t="s">
        <v>3567</v>
      </c>
      <c r="B2282" s="51" t="s">
        <v>3568</v>
      </c>
      <c r="C2282" s="51" t="s">
        <v>66</v>
      </c>
      <c r="D2282" s="51" t="s">
        <v>4705</v>
      </c>
      <c r="E2282" s="51" t="s">
        <v>4706</v>
      </c>
      <c r="F2282" s="52">
        <v>1.2433000000000001</v>
      </c>
      <c r="G2282" s="52">
        <v>0</v>
      </c>
      <c r="H2282" s="52">
        <v>0</v>
      </c>
      <c r="I2282" s="52">
        <v>0</v>
      </c>
      <c r="J2282" s="51">
        <v>0</v>
      </c>
      <c r="K2282" s="54">
        <v>0</v>
      </c>
      <c r="L2282" s="51">
        <v>0</v>
      </c>
      <c r="M2282" s="54">
        <v>0</v>
      </c>
      <c r="N2282" s="53">
        <f t="shared" si="70"/>
        <v>0</v>
      </c>
      <c r="O2282" s="53">
        <f t="shared" si="71"/>
        <v>0</v>
      </c>
    </row>
    <row r="2283" spans="1:15" x14ac:dyDescent="0.2">
      <c r="A2283" s="51" t="s">
        <v>3567</v>
      </c>
      <c r="B2283" s="51" t="s">
        <v>3568</v>
      </c>
      <c r="C2283" s="51" t="s">
        <v>3725</v>
      </c>
      <c r="D2283" s="51" t="s">
        <v>4789</v>
      </c>
      <c r="E2283" s="51" t="s">
        <v>4790</v>
      </c>
      <c r="F2283" s="52">
        <v>0.67627734047484589</v>
      </c>
      <c r="G2283" s="52">
        <v>0</v>
      </c>
      <c r="H2283" s="52">
        <v>0</v>
      </c>
      <c r="I2283" s="52">
        <v>0</v>
      </c>
      <c r="J2283" s="51">
        <v>0</v>
      </c>
      <c r="K2283" s="54">
        <v>0</v>
      </c>
      <c r="L2283" s="51">
        <v>0</v>
      </c>
      <c r="M2283" s="54">
        <v>0</v>
      </c>
      <c r="N2283" s="53">
        <f t="shared" si="70"/>
        <v>0</v>
      </c>
      <c r="O2283" s="53">
        <f t="shared" si="71"/>
        <v>0</v>
      </c>
    </row>
    <row r="2284" spans="1:15" x14ac:dyDescent="0.2">
      <c r="A2284" s="51" t="s">
        <v>3567</v>
      </c>
      <c r="B2284" s="51" t="s">
        <v>3568</v>
      </c>
      <c r="C2284" s="51" t="s">
        <v>63</v>
      </c>
      <c r="D2284" s="51" t="s">
        <v>2955</v>
      </c>
      <c r="E2284" s="51" t="s">
        <v>2954</v>
      </c>
      <c r="F2284" s="52">
        <v>2436.2499306915588</v>
      </c>
      <c r="G2284" s="52">
        <v>15065</v>
      </c>
      <c r="H2284" s="52">
        <v>5800</v>
      </c>
      <c r="I2284" s="52">
        <v>20865</v>
      </c>
      <c r="J2284" s="51">
        <v>1</v>
      </c>
      <c r="K2284" s="54">
        <v>5000</v>
      </c>
      <c r="L2284" s="51">
        <v>0</v>
      </c>
      <c r="M2284" s="54">
        <v>0</v>
      </c>
      <c r="N2284" s="53">
        <f t="shared" si="70"/>
        <v>5000</v>
      </c>
      <c r="O2284" s="53">
        <f t="shared" si="71"/>
        <v>-5000</v>
      </c>
    </row>
    <row r="2285" spans="1:15" x14ac:dyDescent="0.2">
      <c r="A2285" s="51" t="s">
        <v>3567</v>
      </c>
      <c r="B2285" s="51" t="s">
        <v>3568</v>
      </c>
      <c r="C2285" s="51" t="s">
        <v>3650</v>
      </c>
      <c r="D2285" s="51" t="s">
        <v>4713</v>
      </c>
      <c r="E2285" s="51" t="s">
        <v>4714</v>
      </c>
      <c r="F2285" s="52">
        <v>50.446493362600123</v>
      </c>
      <c r="G2285" s="52">
        <v>0</v>
      </c>
      <c r="H2285" s="52">
        <v>0</v>
      </c>
      <c r="I2285" s="52">
        <v>0</v>
      </c>
      <c r="J2285" s="51">
        <v>0</v>
      </c>
      <c r="K2285" s="54">
        <v>0</v>
      </c>
      <c r="L2285" s="51">
        <v>0</v>
      </c>
      <c r="M2285" s="54">
        <v>0</v>
      </c>
      <c r="N2285" s="53">
        <f t="shared" si="70"/>
        <v>0</v>
      </c>
      <c r="O2285" s="53">
        <f t="shared" si="71"/>
        <v>0</v>
      </c>
    </row>
    <row r="2286" spans="1:15" x14ac:dyDescent="0.2">
      <c r="A2286" s="51" t="s">
        <v>3567</v>
      </c>
      <c r="B2286" s="51" t="s">
        <v>3568</v>
      </c>
      <c r="C2286" s="51" t="s">
        <v>64</v>
      </c>
      <c r="D2286" s="51" t="s">
        <v>3061</v>
      </c>
      <c r="E2286" s="51" t="s">
        <v>3060</v>
      </c>
      <c r="F2286" s="52">
        <v>6553.8729072982051</v>
      </c>
      <c r="G2286" s="52">
        <v>420</v>
      </c>
      <c r="H2286" s="52">
        <v>1230</v>
      </c>
      <c r="I2286" s="52">
        <v>1650</v>
      </c>
      <c r="J2286" s="51">
        <v>0</v>
      </c>
      <c r="K2286" s="54">
        <v>0</v>
      </c>
      <c r="L2286" s="51">
        <v>1</v>
      </c>
      <c r="M2286" s="54">
        <v>6000</v>
      </c>
      <c r="N2286" s="53">
        <f t="shared" si="70"/>
        <v>-6000</v>
      </c>
      <c r="O2286" s="53">
        <f t="shared" si="71"/>
        <v>6000</v>
      </c>
    </row>
    <row r="2287" spans="1:15" x14ac:dyDescent="0.2">
      <c r="A2287" s="51" t="s">
        <v>3567</v>
      </c>
      <c r="B2287" s="51" t="s">
        <v>3568</v>
      </c>
      <c r="C2287" s="51" t="s">
        <v>63</v>
      </c>
      <c r="D2287" s="51" t="s">
        <v>4715</v>
      </c>
      <c r="E2287" s="51" t="s">
        <v>4716</v>
      </c>
      <c r="F2287" s="52">
        <v>1.4309000000000001</v>
      </c>
      <c r="G2287" s="52">
        <v>0</v>
      </c>
      <c r="H2287" s="52">
        <v>0</v>
      </c>
      <c r="I2287" s="52">
        <v>0</v>
      </c>
      <c r="J2287" s="51">
        <v>0</v>
      </c>
      <c r="K2287" s="54">
        <v>0</v>
      </c>
      <c r="L2287" s="51">
        <v>0</v>
      </c>
      <c r="M2287" s="54">
        <v>0</v>
      </c>
      <c r="N2287" s="53">
        <f t="shared" si="70"/>
        <v>0</v>
      </c>
      <c r="O2287" s="53">
        <f t="shared" si="71"/>
        <v>0</v>
      </c>
    </row>
    <row r="2288" spans="1:15" x14ac:dyDescent="0.2">
      <c r="A2288" s="51" t="s">
        <v>3567</v>
      </c>
      <c r="B2288" s="51" t="s">
        <v>3568</v>
      </c>
      <c r="C2288" s="51" t="s">
        <v>85</v>
      </c>
      <c r="D2288" s="51" t="s">
        <v>3249</v>
      </c>
      <c r="E2288" s="51" t="s">
        <v>3248</v>
      </c>
      <c r="F2288" s="52">
        <v>23551.44449275154</v>
      </c>
      <c r="G2288" s="52">
        <v>2100</v>
      </c>
      <c r="H2288" s="52">
        <v>77945</v>
      </c>
      <c r="I2288" s="52">
        <v>80045</v>
      </c>
      <c r="J2288" s="51">
        <v>0</v>
      </c>
      <c r="K2288" s="54">
        <v>0</v>
      </c>
      <c r="L2288" s="51">
        <v>2</v>
      </c>
      <c r="M2288" s="54">
        <v>100000</v>
      </c>
      <c r="N2288" s="53">
        <f t="shared" si="70"/>
        <v>-100000</v>
      </c>
      <c r="O2288" s="53">
        <f t="shared" si="71"/>
        <v>100000</v>
      </c>
    </row>
    <row r="2289" spans="1:15" x14ac:dyDescent="0.2">
      <c r="A2289" s="51" t="s">
        <v>3567</v>
      </c>
      <c r="B2289" s="51" t="s">
        <v>3568</v>
      </c>
      <c r="C2289" s="51" t="s">
        <v>74</v>
      </c>
      <c r="D2289" s="51" t="s">
        <v>668</v>
      </c>
      <c r="E2289" s="51" t="s">
        <v>667</v>
      </c>
      <c r="F2289" s="52">
        <v>8238.2140500000005</v>
      </c>
      <c r="G2289" s="52">
        <v>3000</v>
      </c>
      <c r="H2289" s="52">
        <v>3850</v>
      </c>
      <c r="I2289" s="52">
        <v>6850</v>
      </c>
      <c r="J2289" s="51">
        <v>1</v>
      </c>
      <c r="K2289" s="54">
        <v>6000</v>
      </c>
      <c r="L2289" s="51">
        <v>0</v>
      </c>
      <c r="M2289" s="54">
        <v>0</v>
      </c>
      <c r="N2289" s="53">
        <f t="shared" si="70"/>
        <v>6000</v>
      </c>
      <c r="O2289" s="53">
        <f t="shared" si="71"/>
        <v>-6000</v>
      </c>
    </row>
    <row r="2290" spans="1:15" x14ac:dyDescent="0.2">
      <c r="A2290" s="51" t="s">
        <v>3567</v>
      </c>
      <c r="B2290" s="51" t="s">
        <v>3568</v>
      </c>
      <c r="C2290" s="51" t="s">
        <v>54</v>
      </c>
      <c r="D2290" s="51" t="s">
        <v>1427</v>
      </c>
      <c r="E2290" s="51" t="s">
        <v>645</v>
      </c>
      <c r="F2290" s="52">
        <v>408.81444057772569</v>
      </c>
      <c r="G2290" s="52">
        <v>10455</v>
      </c>
      <c r="H2290" s="52">
        <v>6534</v>
      </c>
      <c r="I2290" s="52">
        <v>16989</v>
      </c>
      <c r="J2290" s="51">
        <v>1</v>
      </c>
      <c r="K2290" s="54">
        <v>5000</v>
      </c>
      <c r="L2290" s="51">
        <v>0</v>
      </c>
      <c r="M2290" s="54">
        <v>0</v>
      </c>
      <c r="N2290" s="53">
        <f t="shared" si="70"/>
        <v>5000</v>
      </c>
      <c r="O2290" s="53">
        <f t="shared" si="71"/>
        <v>-5000</v>
      </c>
    </row>
    <row r="2291" spans="1:15" x14ac:dyDescent="0.2">
      <c r="A2291" s="51" t="s">
        <v>3567</v>
      </c>
      <c r="B2291" s="51" t="s">
        <v>3568</v>
      </c>
      <c r="C2291" s="51" t="s">
        <v>58</v>
      </c>
      <c r="D2291" s="51" t="s">
        <v>1383</v>
      </c>
      <c r="E2291" s="51" t="s">
        <v>1382</v>
      </c>
      <c r="F2291" s="52">
        <v>9887.6839999999993</v>
      </c>
      <c r="G2291" s="52">
        <v>20030</v>
      </c>
      <c r="H2291" s="52">
        <v>2385</v>
      </c>
      <c r="I2291" s="52">
        <v>22415</v>
      </c>
      <c r="J2291" s="51">
        <v>1</v>
      </c>
      <c r="K2291" s="54">
        <v>8000</v>
      </c>
      <c r="L2291" s="51">
        <v>0</v>
      </c>
      <c r="M2291" s="54">
        <v>0</v>
      </c>
      <c r="N2291" s="53">
        <f t="shared" si="70"/>
        <v>8000</v>
      </c>
      <c r="O2291" s="53">
        <f t="shared" si="71"/>
        <v>-8000</v>
      </c>
    </row>
    <row r="2292" spans="1:15" x14ac:dyDescent="0.2">
      <c r="A2292" s="51" t="s">
        <v>3567</v>
      </c>
      <c r="B2292" s="51" t="s">
        <v>3568</v>
      </c>
      <c r="C2292" s="51" t="s">
        <v>3636</v>
      </c>
      <c r="D2292" s="51" t="s">
        <v>4703</v>
      </c>
      <c r="E2292" s="51" t="s">
        <v>4704</v>
      </c>
      <c r="F2292" s="52">
        <v>0.49776298888071602</v>
      </c>
      <c r="G2292" s="52">
        <v>0</v>
      </c>
      <c r="H2292" s="52">
        <v>0</v>
      </c>
      <c r="I2292" s="52">
        <v>0</v>
      </c>
      <c r="J2292" s="51">
        <v>0</v>
      </c>
      <c r="K2292" s="54">
        <v>0</v>
      </c>
      <c r="L2292" s="51">
        <v>0</v>
      </c>
      <c r="M2292" s="54">
        <v>0</v>
      </c>
      <c r="N2292" s="53">
        <f t="shared" si="70"/>
        <v>0</v>
      </c>
      <c r="O2292" s="53">
        <f t="shared" si="71"/>
        <v>0</v>
      </c>
    </row>
    <row r="2293" spans="1:15" x14ac:dyDescent="0.2">
      <c r="A2293" s="51" t="s">
        <v>3567</v>
      </c>
      <c r="B2293" s="51" t="s">
        <v>3568</v>
      </c>
      <c r="C2293" s="51" t="s">
        <v>3707</v>
      </c>
      <c r="D2293" s="51" t="s">
        <v>4753</v>
      </c>
      <c r="E2293" s="51" t="s">
        <v>4754</v>
      </c>
      <c r="F2293" s="52">
        <v>3.2977613096456611</v>
      </c>
      <c r="G2293" s="52">
        <v>0</v>
      </c>
      <c r="H2293" s="52">
        <v>0</v>
      </c>
      <c r="I2293" s="52">
        <v>0</v>
      </c>
      <c r="J2293" s="51">
        <v>0</v>
      </c>
      <c r="K2293" s="54">
        <v>0</v>
      </c>
      <c r="L2293" s="51">
        <v>0</v>
      </c>
      <c r="M2293" s="54">
        <v>0</v>
      </c>
      <c r="N2293" s="53">
        <f t="shared" si="70"/>
        <v>0</v>
      </c>
      <c r="O2293" s="53">
        <f t="shared" si="71"/>
        <v>0</v>
      </c>
    </row>
    <row r="2294" spans="1:15" x14ac:dyDescent="0.2">
      <c r="A2294" s="51" t="s">
        <v>3567</v>
      </c>
      <c r="B2294" s="51" t="s">
        <v>3568</v>
      </c>
      <c r="C2294" s="51" t="s">
        <v>3610</v>
      </c>
      <c r="D2294" s="51" t="s">
        <v>4725</v>
      </c>
      <c r="E2294" s="51" t="s">
        <v>4726</v>
      </c>
      <c r="F2294" s="52">
        <v>35.613816148091679</v>
      </c>
      <c r="G2294" s="52">
        <v>0</v>
      </c>
      <c r="H2294" s="52">
        <v>0</v>
      </c>
      <c r="I2294" s="52">
        <v>0</v>
      </c>
      <c r="J2294" s="51">
        <v>0</v>
      </c>
      <c r="K2294" s="54">
        <v>0</v>
      </c>
      <c r="L2294" s="51">
        <v>0</v>
      </c>
      <c r="M2294" s="54">
        <v>0</v>
      </c>
      <c r="N2294" s="53">
        <f t="shared" si="70"/>
        <v>0</v>
      </c>
      <c r="O2294" s="53">
        <f t="shared" si="71"/>
        <v>0</v>
      </c>
    </row>
    <row r="2295" spans="1:15" x14ac:dyDescent="0.2">
      <c r="A2295" s="51" t="s">
        <v>3567</v>
      </c>
      <c r="B2295" s="51" t="s">
        <v>3568</v>
      </c>
      <c r="C2295" s="51" t="s">
        <v>68</v>
      </c>
      <c r="D2295" s="51" t="s">
        <v>4765</v>
      </c>
      <c r="E2295" s="51" t="s">
        <v>4766</v>
      </c>
      <c r="F2295" s="52">
        <v>2.0665611416024999E-3</v>
      </c>
      <c r="G2295" s="52">
        <v>0</v>
      </c>
      <c r="H2295" s="52">
        <v>0</v>
      </c>
      <c r="I2295" s="52">
        <v>0</v>
      </c>
      <c r="J2295" s="51">
        <v>0</v>
      </c>
      <c r="K2295" s="54">
        <v>0</v>
      </c>
      <c r="L2295" s="51">
        <v>0</v>
      </c>
      <c r="M2295" s="54">
        <v>0</v>
      </c>
      <c r="N2295" s="53">
        <f t="shared" si="70"/>
        <v>0</v>
      </c>
      <c r="O2295" s="53">
        <f t="shared" si="71"/>
        <v>0</v>
      </c>
    </row>
    <row r="2296" spans="1:15" x14ac:dyDescent="0.2">
      <c r="A2296" s="51" t="s">
        <v>3567</v>
      </c>
      <c r="B2296" s="51" t="s">
        <v>3568</v>
      </c>
      <c r="C2296" s="51" t="s">
        <v>58</v>
      </c>
      <c r="D2296" s="51" t="s">
        <v>1314</v>
      </c>
      <c r="E2296" s="51" t="s">
        <v>1251</v>
      </c>
      <c r="F2296" s="52">
        <v>17723.48852313677</v>
      </c>
      <c r="G2296" s="52">
        <v>4920</v>
      </c>
      <c r="H2296" s="52">
        <v>30010</v>
      </c>
      <c r="I2296" s="52">
        <v>34930</v>
      </c>
      <c r="J2296" s="51">
        <v>0</v>
      </c>
      <c r="K2296" s="54">
        <v>0</v>
      </c>
      <c r="L2296" s="51">
        <v>1</v>
      </c>
      <c r="M2296" s="54">
        <v>14000</v>
      </c>
      <c r="N2296" s="53">
        <f t="shared" si="70"/>
        <v>-14000</v>
      </c>
      <c r="O2296" s="53">
        <f t="shared" si="71"/>
        <v>14000</v>
      </c>
    </row>
    <row r="2297" spans="1:15" x14ac:dyDescent="0.2">
      <c r="A2297" s="51" t="s">
        <v>3567</v>
      </c>
      <c r="B2297" s="51" t="s">
        <v>3568</v>
      </c>
      <c r="C2297" s="51" t="s">
        <v>67</v>
      </c>
      <c r="D2297" s="51" t="s">
        <v>4797</v>
      </c>
      <c r="E2297" s="51" t="s">
        <v>4798</v>
      </c>
      <c r="F2297" s="52">
        <v>1.6752762296160031</v>
      </c>
      <c r="G2297" s="52">
        <v>0</v>
      </c>
      <c r="H2297" s="52">
        <v>0</v>
      </c>
      <c r="I2297" s="52">
        <v>0</v>
      </c>
      <c r="J2297" s="51">
        <v>0</v>
      </c>
      <c r="K2297" s="54">
        <v>0</v>
      </c>
      <c r="L2297" s="51">
        <v>0</v>
      </c>
      <c r="M2297" s="54">
        <v>0</v>
      </c>
      <c r="N2297" s="53">
        <f t="shared" si="70"/>
        <v>0</v>
      </c>
      <c r="O2297" s="53">
        <f t="shared" si="71"/>
        <v>0</v>
      </c>
    </row>
    <row r="2298" spans="1:15" x14ac:dyDescent="0.2">
      <c r="A2298" s="51" t="s">
        <v>3567</v>
      </c>
      <c r="B2298" s="51" t="s">
        <v>3568</v>
      </c>
      <c r="C2298" s="51" t="s">
        <v>92</v>
      </c>
      <c r="D2298" s="51" t="s">
        <v>2764</v>
      </c>
      <c r="E2298" s="51" t="s">
        <v>2763</v>
      </c>
      <c r="F2298" s="52">
        <v>35511.957962275919</v>
      </c>
      <c r="G2298" s="52">
        <v>8670</v>
      </c>
      <c r="H2298" s="52">
        <v>40430</v>
      </c>
      <c r="I2298" s="52">
        <v>49100</v>
      </c>
      <c r="J2298" s="51">
        <v>1</v>
      </c>
      <c r="K2298" s="54">
        <v>5000</v>
      </c>
      <c r="L2298" s="51">
        <v>1</v>
      </c>
      <c r="M2298" s="54">
        <v>45000</v>
      </c>
      <c r="N2298" s="53">
        <f t="shared" si="70"/>
        <v>-40000</v>
      </c>
      <c r="O2298" s="53">
        <f t="shared" si="71"/>
        <v>40000</v>
      </c>
    </row>
    <row r="2299" spans="1:15" x14ac:dyDescent="0.2">
      <c r="A2299" s="51" t="s">
        <v>3567</v>
      </c>
      <c r="B2299" s="51" t="s">
        <v>3568</v>
      </c>
      <c r="C2299" s="51" t="s">
        <v>77</v>
      </c>
      <c r="D2299" s="51" t="s">
        <v>823</v>
      </c>
      <c r="E2299" s="51" t="s">
        <v>822</v>
      </c>
      <c r="F2299" s="52">
        <v>23781.602475</v>
      </c>
      <c r="G2299" s="52">
        <v>19000</v>
      </c>
      <c r="H2299" s="52">
        <v>1100</v>
      </c>
      <c r="I2299" s="52">
        <v>20100</v>
      </c>
      <c r="J2299" s="51">
        <v>0</v>
      </c>
      <c r="K2299" s="54">
        <v>0</v>
      </c>
      <c r="L2299" s="51">
        <v>1</v>
      </c>
      <c r="M2299" s="54">
        <v>20000</v>
      </c>
      <c r="N2299" s="53">
        <f t="shared" si="70"/>
        <v>-20000</v>
      </c>
      <c r="O2299" s="53">
        <f t="shared" si="71"/>
        <v>20000</v>
      </c>
    </row>
    <row r="2300" spans="1:15" x14ac:dyDescent="0.2">
      <c r="A2300" s="51" t="s">
        <v>3567</v>
      </c>
      <c r="B2300" s="51" t="s">
        <v>3568</v>
      </c>
      <c r="C2300" s="51" t="s">
        <v>72</v>
      </c>
      <c r="D2300" s="51" t="s">
        <v>1370</v>
      </c>
      <c r="E2300" s="51" t="s">
        <v>1369</v>
      </c>
      <c r="F2300" s="52">
        <v>14372.0826</v>
      </c>
      <c r="G2300" s="52">
        <v>1500</v>
      </c>
      <c r="H2300" s="52">
        <v>0</v>
      </c>
      <c r="I2300" s="52">
        <v>1500</v>
      </c>
      <c r="J2300" s="51">
        <v>0</v>
      </c>
      <c r="K2300" s="54">
        <v>0</v>
      </c>
      <c r="L2300" s="51">
        <v>1</v>
      </c>
      <c r="M2300" s="54">
        <v>20000</v>
      </c>
      <c r="N2300" s="53">
        <f t="shared" si="70"/>
        <v>-20000</v>
      </c>
      <c r="O2300" s="53">
        <f t="shared" si="71"/>
        <v>20000</v>
      </c>
    </row>
    <row r="2301" spans="1:15" x14ac:dyDescent="0.2">
      <c r="A2301" s="51" t="s">
        <v>3567</v>
      </c>
      <c r="B2301" s="51" t="s">
        <v>3568</v>
      </c>
      <c r="C2301" s="51" t="s">
        <v>54</v>
      </c>
      <c r="D2301" s="51" t="s">
        <v>3409</v>
      </c>
      <c r="E2301" s="51" t="s">
        <v>3408</v>
      </c>
      <c r="F2301" s="52">
        <v>10702.142750000001</v>
      </c>
      <c r="G2301" s="52">
        <v>3100</v>
      </c>
      <c r="H2301" s="52">
        <v>6305</v>
      </c>
      <c r="I2301" s="52">
        <v>9405</v>
      </c>
      <c r="J2301" s="51">
        <v>0</v>
      </c>
      <c r="K2301" s="54">
        <v>0</v>
      </c>
      <c r="L2301" s="51">
        <v>2</v>
      </c>
      <c r="M2301" s="54">
        <v>25000</v>
      </c>
      <c r="N2301" s="53">
        <f t="shared" si="70"/>
        <v>-25000</v>
      </c>
      <c r="O2301" s="53">
        <f t="shared" si="71"/>
        <v>25000</v>
      </c>
    </row>
    <row r="2302" spans="1:15" x14ac:dyDescent="0.2">
      <c r="A2302" s="51" t="s">
        <v>3567</v>
      </c>
      <c r="B2302" s="51" t="s">
        <v>3568</v>
      </c>
      <c r="C2302" s="51" t="s">
        <v>54</v>
      </c>
      <c r="D2302" s="51" t="s">
        <v>4763</v>
      </c>
      <c r="E2302" s="51" t="s">
        <v>4764</v>
      </c>
      <c r="F2302" s="52">
        <v>6.4814446434236457</v>
      </c>
      <c r="G2302" s="52">
        <v>0</v>
      </c>
      <c r="H2302" s="52">
        <v>0</v>
      </c>
      <c r="I2302" s="52">
        <v>0</v>
      </c>
      <c r="J2302" s="51">
        <v>0</v>
      </c>
      <c r="K2302" s="54">
        <v>0</v>
      </c>
      <c r="L2302" s="51">
        <v>0</v>
      </c>
      <c r="M2302" s="54">
        <v>0</v>
      </c>
      <c r="N2302" s="53">
        <f t="shared" si="70"/>
        <v>0</v>
      </c>
      <c r="O2302" s="53">
        <f t="shared" si="71"/>
        <v>0</v>
      </c>
    </row>
    <row r="2303" spans="1:15" x14ac:dyDescent="0.2">
      <c r="A2303" s="51" t="s">
        <v>3567</v>
      </c>
      <c r="B2303" s="51" t="s">
        <v>3568</v>
      </c>
      <c r="C2303" s="51" t="s">
        <v>84</v>
      </c>
      <c r="D2303" s="51" t="s">
        <v>898</v>
      </c>
      <c r="E2303" s="51" t="s">
        <v>897</v>
      </c>
      <c r="F2303" s="52">
        <v>16.91872475038771</v>
      </c>
      <c r="G2303" s="52">
        <v>240</v>
      </c>
      <c r="H2303" s="52">
        <v>10880</v>
      </c>
      <c r="I2303" s="52">
        <v>11120</v>
      </c>
      <c r="J2303" s="51">
        <v>0</v>
      </c>
      <c r="K2303" s="54">
        <v>0</v>
      </c>
      <c r="L2303" s="51">
        <v>1</v>
      </c>
      <c r="M2303" s="54">
        <v>15000</v>
      </c>
      <c r="N2303" s="53">
        <f t="shared" si="70"/>
        <v>-15000</v>
      </c>
      <c r="O2303" s="53">
        <f t="shared" si="71"/>
        <v>15000</v>
      </c>
    </row>
    <row r="2304" spans="1:15" x14ac:dyDescent="0.2">
      <c r="A2304" s="51" t="s">
        <v>3567</v>
      </c>
      <c r="B2304" s="51" t="s">
        <v>3568</v>
      </c>
      <c r="C2304" s="51" t="s">
        <v>75</v>
      </c>
      <c r="D2304" s="51" t="s">
        <v>1038</v>
      </c>
      <c r="E2304" s="51" t="s">
        <v>1037</v>
      </c>
      <c r="F2304" s="52">
        <v>1077.5226695652</v>
      </c>
      <c r="G2304" s="52">
        <v>166</v>
      </c>
      <c r="H2304" s="52">
        <v>2000</v>
      </c>
      <c r="I2304" s="52">
        <v>2166</v>
      </c>
      <c r="J2304" s="51">
        <v>0</v>
      </c>
      <c r="K2304" s="54">
        <v>0</v>
      </c>
      <c r="L2304" s="51">
        <v>1</v>
      </c>
      <c r="M2304" s="54">
        <v>5000</v>
      </c>
      <c r="N2304" s="53">
        <f t="shared" si="70"/>
        <v>-5000</v>
      </c>
      <c r="O2304" s="53">
        <f t="shared" si="71"/>
        <v>5000</v>
      </c>
    </row>
    <row r="2305" spans="1:15" x14ac:dyDescent="0.2">
      <c r="A2305" s="51" t="s">
        <v>3567</v>
      </c>
      <c r="B2305" s="51" t="s">
        <v>3568</v>
      </c>
      <c r="C2305" s="51" t="s">
        <v>79</v>
      </c>
      <c r="D2305" s="51" t="s">
        <v>4821</v>
      </c>
      <c r="E2305" s="51" t="s">
        <v>4822</v>
      </c>
      <c r="F2305" s="52">
        <v>14.3034</v>
      </c>
      <c r="G2305" s="52">
        <v>3060</v>
      </c>
      <c r="H2305" s="52">
        <v>1000</v>
      </c>
      <c r="I2305" s="52">
        <v>4060</v>
      </c>
      <c r="J2305" s="51">
        <v>0</v>
      </c>
      <c r="K2305" s="54">
        <v>0</v>
      </c>
      <c r="L2305" s="51">
        <v>0</v>
      </c>
      <c r="M2305" s="54">
        <v>0</v>
      </c>
      <c r="N2305" s="53">
        <f t="shared" si="70"/>
        <v>0</v>
      </c>
      <c r="O2305" s="53">
        <f t="shared" si="71"/>
        <v>0</v>
      </c>
    </row>
    <row r="2306" spans="1:15" x14ac:dyDescent="0.2">
      <c r="A2306" s="51" t="s">
        <v>3567</v>
      </c>
      <c r="B2306" s="51" t="s">
        <v>3568</v>
      </c>
      <c r="C2306" s="51" t="s">
        <v>54</v>
      </c>
      <c r="D2306" s="51" t="s">
        <v>4745</v>
      </c>
      <c r="E2306" s="51" t="s">
        <v>4746</v>
      </c>
      <c r="F2306" s="52">
        <v>0.63907250635458901</v>
      </c>
      <c r="G2306" s="52">
        <v>0</v>
      </c>
      <c r="H2306" s="52">
        <v>0</v>
      </c>
      <c r="I2306" s="52">
        <v>0</v>
      </c>
      <c r="J2306" s="51">
        <v>0</v>
      </c>
      <c r="K2306" s="54">
        <v>0</v>
      </c>
      <c r="L2306" s="51">
        <v>0</v>
      </c>
      <c r="M2306" s="54">
        <v>0</v>
      </c>
      <c r="N2306" s="53">
        <f t="shared" si="70"/>
        <v>0</v>
      </c>
      <c r="O2306" s="53">
        <f t="shared" si="71"/>
        <v>0</v>
      </c>
    </row>
    <row r="2307" spans="1:15" x14ac:dyDescent="0.2">
      <c r="A2307" s="51" t="s">
        <v>3567</v>
      </c>
      <c r="B2307" s="51" t="s">
        <v>3568</v>
      </c>
      <c r="C2307" s="51" t="s">
        <v>62</v>
      </c>
      <c r="D2307" s="51" t="s">
        <v>1353</v>
      </c>
      <c r="E2307" s="51" t="s">
        <v>1352</v>
      </c>
      <c r="F2307" s="52">
        <v>532.48878988647846</v>
      </c>
      <c r="G2307" s="52">
        <v>1400</v>
      </c>
      <c r="H2307" s="52">
        <v>980</v>
      </c>
      <c r="I2307" s="52">
        <v>2380</v>
      </c>
      <c r="J2307" s="51">
        <v>0</v>
      </c>
      <c r="K2307" s="54">
        <v>0</v>
      </c>
      <c r="L2307" s="51">
        <v>1</v>
      </c>
      <c r="M2307" s="54">
        <v>6000</v>
      </c>
      <c r="N2307" s="53">
        <f t="shared" ref="N2307:N2370" si="72">K2307-M2307</f>
        <v>-6000</v>
      </c>
      <c r="O2307" s="53">
        <f t="shared" ref="O2307:O2370" si="73">M2307-K2307</f>
        <v>6000</v>
      </c>
    </row>
    <row r="2308" spans="1:15" x14ac:dyDescent="0.2">
      <c r="A2308" s="51" t="s">
        <v>3567</v>
      </c>
      <c r="B2308" s="51" t="s">
        <v>3568</v>
      </c>
      <c r="C2308" s="51" t="s">
        <v>62</v>
      </c>
      <c r="D2308" s="51" t="s">
        <v>2654</v>
      </c>
      <c r="E2308" s="51" t="s">
        <v>2653</v>
      </c>
      <c r="F2308" s="52">
        <v>7829.9633000000003</v>
      </c>
      <c r="G2308" s="52">
        <v>1650</v>
      </c>
      <c r="H2308" s="52">
        <v>200</v>
      </c>
      <c r="I2308" s="52">
        <v>1850</v>
      </c>
      <c r="J2308" s="51">
        <v>0</v>
      </c>
      <c r="K2308" s="54">
        <v>0</v>
      </c>
      <c r="L2308" s="51">
        <v>1</v>
      </c>
      <c r="M2308" s="54">
        <v>10000</v>
      </c>
      <c r="N2308" s="53">
        <f t="shared" si="72"/>
        <v>-10000</v>
      </c>
      <c r="O2308" s="53">
        <f t="shared" si="73"/>
        <v>10000</v>
      </c>
    </row>
    <row r="2309" spans="1:15" x14ac:dyDescent="0.2">
      <c r="A2309" s="51" t="s">
        <v>3567</v>
      </c>
      <c r="B2309" s="51" t="s">
        <v>3568</v>
      </c>
      <c r="C2309" s="51" t="s">
        <v>56</v>
      </c>
      <c r="D2309" s="51" t="s">
        <v>1977</v>
      </c>
      <c r="E2309" s="51" t="s">
        <v>1976</v>
      </c>
      <c r="F2309" s="52">
        <v>202.8218</v>
      </c>
      <c r="G2309" s="52">
        <v>0</v>
      </c>
      <c r="H2309" s="52">
        <v>0</v>
      </c>
      <c r="I2309" s="52">
        <v>0</v>
      </c>
      <c r="J2309" s="51">
        <v>0</v>
      </c>
      <c r="K2309" s="54">
        <v>0</v>
      </c>
      <c r="L2309" s="51">
        <v>0</v>
      </c>
      <c r="M2309" s="54">
        <v>0</v>
      </c>
      <c r="N2309" s="53">
        <f t="shared" si="72"/>
        <v>0</v>
      </c>
      <c r="O2309" s="53">
        <f t="shared" si="73"/>
        <v>0</v>
      </c>
    </row>
    <row r="2310" spans="1:15" x14ac:dyDescent="0.2">
      <c r="A2310" s="51" t="s">
        <v>3567</v>
      </c>
      <c r="B2310" s="51" t="s">
        <v>3568</v>
      </c>
      <c r="C2310" s="51" t="s">
        <v>67</v>
      </c>
      <c r="D2310" s="51" t="s">
        <v>1256</v>
      </c>
      <c r="E2310" s="51" t="s">
        <v>1255</v>
      </c>
      <c r="F2310" s="52">
        <v>2899.2512522002439</v>
      </c>
      <c r="G2310" s="52">
        <v>16600</v>
      </c>
      <c r="H2310" s="52">
        <v>2500</v>
      </c>
      <c r="I2310" s="52">
        <v>19100</v>
      </c>
      <c r="J2310" s="51">
        <v>2</v>
      </c>
      <c r="K2310" s="54">
        <v>15000</v>
      </c>
      <c r="L2310" s="51">
        <v>0</v>
      </c>
      <c r="M2310" s="54">
        <v>0</v>
      </c>
      <c r="N2310" s="53">
        <f t="shared" si="72"/>
        <v>15000</v>
      </c>
      <c r="O2310" s="53">
        <f t="shared" si="73"/>
        <v>-15000</v>
      </c>
    </row>
    <row r="2311" spans="1:15" x14ac:dyDescent="0.2">
      <c r="A2311" s="51" t="s">
        <v>3567</v>
      </c>
      <c r="B2311" s="51" t="s">
        <v>3568</v>
      </c>
      <c r="C2311" s="51" t="s">
        <v>65</v>
      </c>
      <c r="D2311" s="51" t="s">
        <v>2854</v>
      </c>
      <c r="E2311" s="51" t="s">
        <v>2853</v>
      </c>
      <c r="F2311" s="52">
        <v>16251.659620950961</v>
      </c>
      <c r="G2311" s="52">
        <v>400</v>
      </c>
      <c r="H2311" s="52">
        <v>12500</v>
      </c>
      <c r="I2311" s="52">
        <v>12900</v>
      </c>
      <c r="J2311" s="51">
        <v>0</v>
      </c>
      <c r="K2311" s="54">
        <v>0</v>
      </c>
      <c r="L2311" s="51">
        <v>1</v>
      </c>
      <c r="M2311" s="54">
        <v>20000</v>
      </c>
      <c r="N2311" s="53">
        <f t="shared" si="72"/>
        <v>-20000</v>
      </c>
      <c r="O2311" s="53">
        <f t="shared" si="73"/>
        <v>20000</v>
      </c>
    </row>
    <row r="2312" spans="1:15" x14ac:dyDescent="0.2">
      <c r="A2312" s="51" t="s">
        <v>3567</v>
      </c>
      <c r="B2312" s="51" t="s">
        <v>3568</v>
      </c>
      <c r="C2312" s="51" t="s">
        <v>3944</v>
      </c>
      <c r="D2312" s="51" t="s">
        <v>4729</v>
      </c>
      <c r="E2312" s="51" t="s">
        <v>4730</v>
      </c>
      <c r="F2312" s="52">
        <v>28.228361331888479</v>
      </c>
      <c r="G2312" s="52">
        <v>0</v>
      </c>
      <c r="H2312" s="52">
        <v>0</v>
      </c>
      <c r="I2312" s="52">
        <v>0</v>
      </c>
      <c r="J2312" s="51">
        <v>0</v>
      </c>
      <c r="K2312" s="54">
        <v>0</v>
      </c>
      <c r="L2312" s="51">
        <v>0</v>
      </c>
      <c r="M2312" s="54">
        <v>0</v>
      </c>
      <c r="N2312" s="53">
        <f t="shared" si="72"/>
        <v>0</v>
      </c>
      <c r="O2312" s="53">
        <f t="shared" si="73"/>
        <v>0</v>
      </c>
    </row>
    <row r="2313" spans="1:15" x14ac:dyDescent="0.2">
      <c r="A2313" s="51" t="s">
        <v>3567</v>
      </c>
      <c r="B2313" s="51" t="s">
        <v>3568</v>
      </c>
      <c r="C2313" s="51" t="s">
        <v>93</v>
      </c>
      <c r="D2313" s="51" t="s">
        <v>880</v>
      </c>
      <c r="E2313" s="51" t="s">
        <v>879</v>
      </c>
      <c r="F2313" s="52">
        <v>17640.659358695601</v>
      </c>
      <c r="G2313" s="52">
        <v>4200</v>
      </c>
      <c r="H2313" s="52">
        <v>100</v>
      </c>
      <c r="I2313" s="52">
        <v>4300</v>
      </c>
      <c r="J2313" s="51">
        <v>2</v>
      </c>
      <c r="K2313" s="54">
        <v>20000</v>
      </c>
      <c r="L2313" s="51">
        <v>0</v>
      </c>
      <c r="M2313" s="54">
        <v>0</v>
      </c>
      <c r="N2313" s="53">
        <f t="shared" si="72"/>
        <v>20000</v>
      </c>
      <c r="O2313" s="53">
        <f t="shared" si="73"/>
        <v>-20000</v>
      </c>
    </row>
    <row r="2314" spans="1:15" x14ac:dyDescent="0.2">
      <c r="A2314" s="51" t="s">
        <v>3567</v>
      </c>
      <c r="B2314" s="51" t="s">
        <v>3568</v>
      </c>
      <c r="C2314" s="51" t="s">
        <v>66</v>
      </c>
      <c r="D2314" s="51" t="s">
        <v>2998</v>
      </c>
      <c r="E2314" s="51" t="s">
        <v>2997</v>
      </c>
      <c r="F2314" s="52">
        <v>392.08805000000001</v>
      </c>
      <c r="G2314" s="52">
        <v>30000</v>
      </c>
      <c r="H2314" s="52">
        <v>20100</v>
      </c>
      <c r="I2314" s="52">
        <v>50100</v>
      </c>
      <c r="J2314" s="51">
        <v>0</v>
      </c>
      <c r="K2314" s="54">
        <v>0</v>
      </c>
      <c r="L2314" s="51">
        <v>2</v>
      </c>
      <c r="M2314" s="54">
        <v>7500</v>
      </c>
      <c r="N2314" s="53">
        <f t="shared" si="72"/>
        <v>-7500</v>
      </c>
      <c r="O2314" s="53">
        <f t="shared" si="73"/>
        <v>7500</v>
      </c>
    </row>
    <row r="2315" spans="1:15" x14ac:dyDescent="0.2">
      <c r="A2315" s="51" t="s">
        <v>3567</v>
      </c>
      <c r="B2315" s="51" t="s">
        <v>3568</v>
      </c>
      <c r="C2315" s="51" t="s">
        <v>66</v>
      </c>
      <c r="D2315" s="51" t="s">
        <v>1200</v>
      </c>
      <c r="E2315" s="51" t="s">
        <v>1199</v>
      </c>
      <c r="F2315" s="52">
        <v>5023.8522999999996</v>
      </c>
      <c r="G2315" s="52">
        <v>0</v>
      </c>
      <c r="H2315" s="52">
        <v>0</v>
      </c>
      <c r="I2315" s="52">
        <v>0</v>
      </c>
      <c r="J2315" s="51">
        <v>1</v>
      </c>
      <c r="K2315" s="54">
        <v>5000</v>
      </c>
      <c r="L2315" s="51">
        <v>0</v>
      </c>
      <c r="M2315" s="54">
        <v>0</v>
      </c>
      <c r="N2315" s="53">
        <f t="shared" si="72"/>
        <v>5000</v>
      </c>
      <c r="O2315" s="53">
        <f t="shared" si="73"/>
        <v>-5000</v>
      </c>
    </row>
    <row r="2316" spans="1:15" x14ac:dyDescent="0.2">
      <c r="A2316" s="51" t="s">
        <v>3567</v>
      </c>
      <c r="B2316" s="51" t="s">
        <v>3568</v>
      </c>
      <c r="C2316" s="51" t="s">
        <v>53</v>
      </c>
      <c r="D2316" s="51" t="s">
        <v>202</v>
      </c>
      <c r="E2316" s="51" t="s">
        <v>201</v>
      </c>
      <c r="F2316" s="52">
        <v>5442.8198788504487</v>
      </c>
      <c r="G2316" s="52">
        <v>4645</v>
      </c>
      <c r="H2316" s="52">
        <v>7100</v>
      </c>
      <c r="I2316" s="52">
        <v>11745</v>
      </c>
      <c r="J2316" s="51">
        <v>0</v>
      </c>
      <c r="K2316" s="54">
        <v>0</v>
      </c>
      <c r="L2316" s="51">
        <v>0</v>
      </c>
      <c r="M2316" s="54">
        <v>0</v>
      </c>
      <c r="N2316" s="53">
        <f t="shared" si="72"/>
        <v>0</v>
      </c>
      <c r="O2316" s="53">
        <f t="shared" si="73"/>
        <v>0</v>
      </c>
    </row>
    <row r="2317" spans="1:15" x14ac:dyDescent="0.2">
      <c r="A2317" s="51" t="s">
        <v>3567</v>
      </c>
      <c r="B2317" s="51" t="s">
        <v>3568</v>
      </c>
      <c r="C2317" s="51" t="s">
        <v>57</v>
      </c>
      <c r="D2317" s="51" t="s">
        <v>2186</v>
      </c>
      <c r="E2317" s="51" t="s">
        <v>2185</v>
      </c>
      <c r="F2317" s="52">
        <v>9294.0393424020422</v>
      </c>
      <c r="G2317" s="52">
        <v>6715</v>
      </c>
      <c r="H2317" s="52">
        <v>54340</v>
      </c>
      <c r="I2317" s="52">
        <v>61055</v>
      </c>
      <c r="J2317" s="51">
        <v>0</v>
      </c>
      <c r="K2317" s="54">
        <v>0</v>
      </c>
      <c r="L2317" s="51">
        <v>3</v>
      </c>
      <c r="M2317" s="54">
        <v>80000</v>
      </c>
      <c r="N2317" s="53">
        <f t="shared" si="72"/>
        <v>-80000</v>
      </c>
      <c r="O2317" s="53">
        <f t="shared" si="73"/>
        <v>80000</v>
      </c>
    </row>
    <row r="2318" spans="1:15" x14ac:dyDescent="0.2">
      <c r="A2318" s="51" t="s">
        <v>3567</v>
      </c>
      <c r="B2318" s="51" t="s">
        <v>3568</v>
      </c>
      <c r="C2318" s="51" t="s">
        <v>53</v>
      </c>
      <c r="D2318" s="51" t="s">
        <v>291</v>
      </c>
      <c r="E2318" s="51" t="s">
        <v>290</v>
      </c>
      <c r="F2318" s="52">
        <v>4532.1406350002917</v>
      </c>
      <c r="G2318" s="52">
        <v>510</v>
      </c>
      <c r="H2318" s="52">
        <v>0</v>
      </c>
      <c r="I2318" s="52">
        <v>510</v>
      </c>
      <c r="J2318" s="51">
        <v>1</v>
      </c>
      <c r="K2318" s="54">
        <v>5000</v>
      </c>
      <c r="L2318" s="51">
        <v>0</v>
      </c>
      <c r="M2318" s="54">
        <v>0</v>
      </c>
      <c r="N2318" s="53">
        <f t="shared" si="72"/>
        <v>5000</v>
      </c>
      <c r="O2318" s="53">
        <f t="shared" si="73"/>
        <v>-5000</v>
      </c>
    </row>
    <row r="2319" spans="1:15" x14ac:dyDescent="0.2">
      <c r="A2319" s="51" t="s">
        <v>3567</v>
      </c>
      <c r="B2319" s="51" t="s">
        <v>3568</v>
      </c>
      <c r="C2319" s="51" t="s">
        <v>81</v>
      </c>
      <c r="D2319" s="51" t="s">
        <v>1783</v>
      </c>
      <c r="E2319" s="51" t="s">
        <v>1782</v>
      </c>
      <c r="F2319" s="52">
        <v>10857.578400001101</v>
      </c>
      <c r="G2319" s="52">
        <v>4525</v>
      </c>
      <c r="H2319" s="52">
        <v>2955</v>
      </c>
      <c r="I2319" s="52">
        <v>7480</v>
      </c>
      <c r="J2319" s="51">
        <v>0</v>
      </c>
      <c r="K2319" s="54">
        <v>0</v>
      </c>
      <c r="L2319" s="51">
        <v>1</v>
      </c>
      <c r="M2319" s="54">
        <v>5000</v>
      </c>
      <c r="N2319" s="53">
        <f t="shared" si="72"/>
        <v>-5000</v>
      </c>
      <c r="O2319" s="53">
        <f t="shared" si="73"/>
        <v>5000</v>
      </c>
    </row>
    <row r="2320" spans="1:15" x14ac:dyDescent="0.2">
      <c r="A2320" s="51" t="s">
        <v>3567</v>
      </c>
      <c r="B2320" s="51" t="s">
        <v>3568</v>
      </c>
      <c r="C2320" s="51" t="s">
        <v>3583</v>
      </c>
      <c r="D2320" s="51" t="s">
        <v>4721</v>
      </c>
      <c r="E2320" s="51" t="s">
        <v>4722</v>
      </c>
      <c r="F2320" s="52">
        <v>4.5199999999999996</v>
      </c>
      <c r="G2320" s="52">
        <v>0</v>
      </c>
      <c r="H2320" s="52">
        <v>0</v>
      </c>
      <c r="I2320" s="52">
        <v>0</v>
      </c>
      <c r="J2320" s="51">
        <v>0</v>
      </c>
      <c r="K2320" s="54">
        <v>0</v>
      </c>
      <c r="L2320" s="51">
        <v>0</v>
      </c>
      <c r="M2320" s="54">
        <v>0</v>
      </c>
      <c r="N2320" s="53">
        <f t="shared" si="72"/>
        <v>0</v>
      </c>
      <c r="O2320" s="53">
        <f t="shared" si="73"/>
        <v>0</v>
      </c>
    </row>
    <row r="2321" spans="1:15" x14ac:dyDescent="0.2">
      <c r="A2321" s="51" t="s">
        <v>3567</v>
      </c>
      <c r="B2321" s="51" t="s">
        <v>3568</v>
      </c>
      <c r="C2321" s="51" t="s">
        <v>54</v>
      </c>
      <c r="D2321" s="51" t="s">
        <v>3298</v>
      </c>
      <c r="E2321" s="51" t="s">
        <v>3297</v>
      </c>
      <c r="F2321" s="52">
        <v>70405.778313594274</v>
      </c>
      <c r="G2321" s="52">
        <v>9730</v>
      </c>
      <c r="H2321" s="52">
        <v>22807</v>
      </c>
      <c r="I2321" s="52">
        <v>32537</v>
      </c>
      <c r="J2321" s="51">
        <v>1</v>
      </c>
      <c r="K2321" s="54">
        <v>5000</v>
      </c>
      <c r="L2321" s="51">
        <v>0</v>
      </c>
      <c r="M2321" s="54">
        <v>0</v>
      </c>
      <c r="N2321" s="53">
        <f t="shared" si="72"/>
        <v>5000</v>
      </c>
      <c r="O2321" s="53">
        <f t="shared" si="73"/>
        <v>-5000</v>
      </c>
    </row>
    <row r="2322" spans="1:15" x14ac:dyDescent="0.2">
      <c r="A2322" s="51" t="s">
        <v>3567</v>
      </c>
      <c r="B2322" s="51" t="s">
        <v>3568</v>
      </c>
      <c r="C2322" s="51" t="s">
        <v>80</v>
      </c>
      <c r="D2322" s="51" t="s">
        <v>733</v>
      </c>
      <c r="E2322" s="51" t="s">
        <v>732</v>
      </c>
      <c r="F2322" s="52">
        <v>586.12729999999999</v>
      </c>
      <c r="G2322" s="52">
        <v>0</v>
      </c>
      <c r="H2322" s="52">
        <v>0</v>
      </c>
      <c r="I2322" s="52">
        <v>0</v>
      </c>
      <c r="J2322" s="51">
        <v>0</v>
      </c>
      <c r="K2322" s="54">
        <v>0</v>
      </c>
      <c r="L2322" s="51">
        <v>1</v>
      </c>
      <c r="M2322" s="54">
        <v>5000</v>
      </c>
      <c r="N2322" s="53">
        <f t="shared" si="72"/>
        <v>-5000</v>
      </c>
      <c r="O2322" s="53">
        <f t="shared" si="73"/>
        <v>5000</v>
      </c>
    </row>
    <row r="2323" spans="1:15" x14ac:dyDescent="0.2">
      <c r="A2323" s="51" t="s">
        <v>3567</v>
      </c>
      <c r="B2323" s="51" t="s">
        <v>3568</v>
      </c>
      <c r="C2323" s="51" t="s">
        <v>92</v>
      </c>
      <c r="D2323" s="51" t="s">
        <v>672</v>
      </c>
      <c r="E2323" s="51" t="s">
        <v>671</v>
      </c>
      <c r="F2323" s="52">
        <v>19132.341317999999</v>
      </c>
      <c r="G2323" s="52">
        <v>1530</v>
      </c>
      <c r="H2323" s="52">
        <v>2950</v>
      </c>
      <c r="I2323" s="52">
        <v>4480</v>
      </c>
      <c r="J2323" s="51">
        <v>1</v>
      </c>
      <c r="K2323" s="54">
        <v>10000</v>
      </c>
      <c r="L2323" s="51">
        <v>0</v>
      </c>
      <c r="M2323" s="54">
        <v>0</v>
      </c>
      <c r="N2323" s="53">
        <f t="shared" si="72"/>
        <v>10000</v>
      </c>
      <c r="O2323" s="53">
        <f t="shared" si="73"/>
        <v>-10000</v>
      </c>
    </row>
    <row r="2324" spans="1:15" x14ac:dyDescent="0.2">
      <c r="A2324" s="51" t="s">
        <v>3567</v>
      </c>
      <c r="B2324" s="51" t="s">
        <v>3568</v>
      </c>
      <c r="C2324" s="51" t="s">
        <v>3590</v>
      </c>
      <c r="D2324" s="51" t="s">
        <v>4791</v>
      </c>
      <c r="E2324" s="51" t="s">
        <v>4792</v>
      </c>
      <c r="F2324" s="52">
        <v>41.646383923919309</v>
      </c>
      <c r="G2324" s="52">
        <v>0</v>
      </c>
      <c r="H2324" s="52">
        <v>0</v>
      </c>
      <c r="I2324" s="52">
        <v>0</v>
      </c>
      <c r="J2324" s="51">
        <v>0</v>
      </c>
      <c r="K2324" s="54">
        <v>0</v>
      </c>
      <c r="L2324" s="51">
        <v>0</v>
      </c>
      <c r="M2324" s="54">
        <v>0</v>
      </c>
      <c r="N2324" s="53">
        <f t="shared" si="72"/>
        <v>0</v>
      </c>
      <c r="O2324" s="53">
        <f t="shared" si="73"/>
        <v>0</v>
      </c>
    </row>
    <row r="2325" spans="1:15" x14ac:dyDescent="0.2">
      <c r="A2325" s="51" t="s">
        <v>3567</v>
      </c>
      <c r="B2325" s="51" t="s">
        <v>3568</v>
      </c>
      <c r="C2325" s="51" t="s">
        <v>85</v>
      </c>
      <c r="D2325" s="51" t="s">
        <v>3267</v>
      </c>
      <c r="E2325" s="51" t="s">
        <v>3266</v>
      </c>
      <c r="F2325" s="52">
        <v>695.76224230546745</v>
      </c>
      <c r="G2325" s="52">
        <v>2010</v>
      </c>
      <c r="H2325" s="52">
        <v>25700</v>
      </c>
      <c r="I2325" s="52">
        <v>27710</v>
      </c>
      <c r="J2325" s="51">
        <v>0</v>
      </c>
      <c r="K2325" s="54">
        <v>0</v>
      </c>
      <c r="L2325" s="51">
        <v>2</v>
      </c>
      <c r="M2325" s="54">
        <v>30000</v>
      </c>
      <c r="N2325" s="53">
        <f t="shared" si="72"/>
        <v>-30000</v>
      </c>
      <c r="O2325" s="53">
        <f t="shared" si="73"/>
        <v>30000</v>
      </c>
    </row>
    <row r="2326" spans="1:15" x14ac:dyDescent="0.2">
      <c r="A2326" s="51" t="s">
        <v>3567</v>
      </c>
      <c r="B2326" s="51" t="s">
        <v>3568</v>
      </c>
      <c r="C2326" s="51" t="s">
        <v>62</v>
      </c>
      <c r="D2326" s="51" t="s">
        <v>2887</v>
      </c>
      <c r="E2326" s="51" t="s">
        <v>2886</v>
      </c>
      <c r="F2326" s="52">
        <v>25940.234899999999</v>
      </c>
      <c r="G2326" s="52">
        <v>5015</v>
      </c>
      <c r="H2326" s="52">
        <v>13050</v>
      </c>
      <c r="I2326" s="52">
        <v>18065</v>
      </c>
      <c r="J2326" s="51">
        <v>0</v>
      </c>
      <c r="K2326" s="54">
        <v>0</v>
      </c>
      <c r="L2326" s="51">
        <v>1</v>
      </c>
      <c r="M2326" s="54">
        <v>5000</v>
      </c>
      <c r="N2326" s="53">
        <f t="shared" si="72"/>
        <v>-5000</v>
      </c>
      <c r="O2326" s="53">
        <f t="shared" si="73"/>
        <v>5000</v>
      </c>
    </row>
    <row r="2327" spans="1:15" x14ac:dyDescent="0.2">
      <c r="A2327" s="51" t="s">
        <v>3567</v>
      </c>
      <c r="B2327" s="51" t="s">
        <v>3568</v>
      </c>
      <c r="C2327" s="51" t="s">
        <v>72</v>
      </c>
      <c r="D2327" s="51" t="s">
        <v>2287</v>
      </c>
      <c r="E2327" s="51" t="s">
        <v>2286</v>
      </c>
      <c r="F2327" s="52">
        <v>1226.1130000000001</v>
      </c>
      <c r="G2327" s="52">
        <v>0</v>
      </c>
      <c r="H2327" s="52">
        <v>1100</v>
      </c>
      <c r="I2327" s="52">
        <v>1100</v>
      </c>
      <c r="J2327" s="51">
        <v>0</v>
      </c>
      <c r="K2327" s="54">
        <v>0</v>
      </c>
      <c r="L2327" s="51">
        <v>1</v>
      </c>
      <c r="M2327" s="54">
        <v>5000</v>
      </c>
      <c r="N2327" s="53">
        <f t="shared" si="72"/>
        <v>-5000</v>
      </c>
      <c r="O2327" s="53">
        <f t="shared" si="73"/>
        <v>5000</v>
      </c>
    </row>
    <row r="2328" spans="1:15" x14ac:dyDescent="0.2">
      <c r="A2328" s="51" t="s">
        <v>3567</v>
      </c>
      <c r="B2328" s="51" t="s">
        <v>3568</v>
      </c>
      <c r="C2328" s="51" t="s">
        <v>58</v>
      </c>
      <c r="D2328" s="51" t="s">
        <v>315</v>
      </c>
      <c r="E2328" s="51" t="s">
        <v>314</v>
      </c>
      <c r="F2328" s="52">
        <v>672.6037</v>
      </c>
      <c r="G2328" s="52">
        <v>2030</v>
      </c>
      <c r="H2328" s="52">
        <v>0</v>
      </c>
      <c r="I2328" s="52">
        <v>2030</v>
      </c>
      <c r="J2328" s="51">
        <v>0</v>
      </c>
      <c r="K2328" s="54">
        <v>0</v>
      </c>
      <c r="L2328" s="51">
        <v>1</v>
      </c>
      <c r="M2328" s="54">
        <v>4000</v>
      </c>
      <c r="N2328" s="53">
        <f t="shared" si="72"/>
        <v>-4000</v>
      </c>
      <c r="O2328" s="53">
        <f t="shared" si="73"/>
        <v>4000</v>
      </c>
    </row>
    <row r="2329" spans="1:15" x14ac:dyDescent="0.2">
      <c r="A2329" s="51" t="s">
        <v>3567</v>
      </c>
      <c r="B2329" s="51" t="s">
        <v>3568</v>
      </c>
      <c r="C2329" s="51" t="s">
        <v>4149</v>
      </c>
      <c r="D2329" s="51" t="s">
        <v>4776</v>
      </c>
      <c r="E2329" s="51" t="s">
        <v>4777</v>
      </c>
      <c r="F2329" s="52">
        <v>4.3524725602960048</v>
      </c>
      <c r="G2329" s="52">
        <v>0</v>
      </c>
      <c r="H2329" s="52">
        <v>0</v>
      </c>
      <c r="I2329" s="52">
        <v>0</v>
      </c>
      <c r="J2329" s="51">
        <v>0</v>
      </c>
      <c r="K2329" s="54">
        <v>0</v>
      </c>
      <c r="L2329" s="51">
        <v>0</v>
      </c>
      <c r="M2329" s="54">
        <v>0</v>
      </c>
      <c r="N2329" s="53">
        <f t="shared" si="72"/>
        <v>0</v>
      </c>
      <c r="O2329" s="53">
        <f t="shared" si="73"/>
        <v>0</v>
      </c>
    </row>
    <row r="2330" spans="1:15" x14ac:dyDescent="0.2">
      <c r="A2330" s="51" t="s">
        <v>3567</v>
      </c>
      <c r="B2330" s="51" t="s">
        <v>3568</v>
      </c>
      <c r="C2330" s="51" t="s">
        <v>84</v>
      </c>
      <c r="D2330" s="51" t="s">
        <v>1890</v>
      </c>
      <c r="E2330" s="51" t="s">
        <v>1889</v>
      </c>
      <c r="F2330" s="52">
        <v>523.99220598112004</v>
      </c>
      <c r="G2330" s="52">
        <v>3500</v>
      </c>
      <c r="H2330" s="52">
        <v>3690</v>
      </c>
      <c r="I2330" s="52">
        <v>7190</v>
      </c>
      <c r="J2330" s="51">
        <v>1</v>
      </c>
      <c r="K2330" s="54">
        <v>5000</v>
      </c>
      <c r="L2330" s="51">
        <v>2</v>
      </c>
      <c r="M2330" s="54">
        <v>11000</v>
      </c>
      <c r="N2330" s="53">
        <f t="shared" si="72"/>
        <v>-6000</v>
      </c>
      <c r="O2330" s="53">
        <f t="shared" si="73"/>
        <v>6000</v>
      </c>
    </row>
    <row r="2331" spans="1:15" x14ac:dyDescent="0.2">
      <c r="A2331" s="51" t="s">
        <v>3567</v>
      </c>
      <c r="B2331" s="51" t="s">
        <v>3568</v>
      </c>
      <c r="C2331" s="51" t="s">
        <v>59</v>
      </c>
      <c r="D2331" s="51" t="s">
        <v>339</v>
      </c>
      <c r="E2331" s="51" t="s">
        <v>338</v>
      </c>
      <c r="F2331" s="52">
        <v>2934.5291256987521</v>
      </c>
      <c r="G2331" s="52">
        <v>0</v>
      </c>
      <c r="H2331" s="52">
        <v>4500</v>
      </c>
      <c r="I2331" s="52">
        <v>4500</v>
      </c>
      <c r="J2331" s="51">
        <v>1</v>
      </c>
      <c r="K2331" s="54">
        <v>5000</v>
      </c>
      <c r="L2331" s="51">
        <v>1</v>
      </c>
      <c r="M2331" s="54">
        <v>15000</v>
      </c>
      <c r="N2331" s="53">
        <f t="shared" si="72"/>
        <v>-10000</v>
      </c>
      <c r="O2331" s="53">
        <f t="shared" si="73"/>
        <v>10000</v>
      </c>
    </row>
    <row r="2332" spans="1:15" x14ac:dyDescent="0.2">
      <c r="A2332" s="51" t="s">
        <v>3567</v>
      </c>
      <c r="B2332" s="51" t="s">
        <v>3568</v>
      </c>
      <c r="C2332" s="51" t="s">
        <v>62</v>
      </c>
      <c r="D2332" s="51" t="s">
        <v>1553</v>
      </c>
      <c r="E2332" s="51" t="s">
        <v>1552</v>
      </c>
      <c r="F2332" s="52">
        <v>4117.6409000000003</v>
      </c>
      <c r="G2332" s="52">
        <v>2700</v>
      </c>
      <c r="H2332" s="52">
        <v>7935</v>
      </c>
      <c r="I2332" s="52">
        <v>10635</v>
      </c>
      <c r="J2332" s="51">
        <v>1</v>
      </c>
      <c r="K2332" s="54">
        <v>4000</v>
      </c>
      <c r="L2332" s="51">
        <v>1</v>
      </c>
      <c r="M2332" s="54">
        <v>9000</v>
      </c>
      <c r="N2332" s="53">
        <f t="shared" si="72"/>
        <v>-5000</v>
      </c>
      <c r="O2332" s="53">
        <f t="shared" si="73"/>
        <v>5000</v>
      </c>
    </row>
    <row r="2333" spans="1:15" x14ac:dyDescent="0.2">
      <c r="A2333" s="51" t="s">
        <v>3567</v>
      </c>
      <c r="B2333" s="51" t="s">
        <v>3568</v>
      </c>
      <c r="C2333" s="51" t="s">
        <v>61</v>
      </c>
      <c r="D2333" s="51" t="s">
        <v>2267</v>
      </c>
      <c r="E2333" s="51" t="s">
        <v>2266</v>
      </c>
      <c r="F2333" s="52">
        <v>39926.797072864843</v>
      </c>
      <c r="G2333" s="52">
        <v>1320</v>
      </c>
      <c r="H2333" s="52">
        <v>3940</v>
      </c>
      <c r="I2333" s="52">
        <v>5260</v>
      </c>
      <c r="J2333" s="51">
        <v>0</v>
      </c>
      <c r="K2333" s="54">
        <v>0</v>
      </c>
      <c r="L2333" s="51">
        <v>0</v>
      </c>
      <c r="M2333" s="54">
        <v>0</v>
      </c>
      <c r="N2333" s="53">
        <f t="shared" si="72"/>
        <v>0</v>
      </c>
      <c r="O2333" s="53">
        <f t="shared" si="73"/>
        <v>0</v>
      </c>
    </row>
    <row r="2334" spans="1:15" x14ac:dyDescent="0.2">
      <c r="A2334" s="51" t="s">
        <v>3567</v>
      </c>
      <c r="B2334" s="51" t="s">
        <v>3568</v>
      </c>
      <c r="C2334" s="51" t="s">
        <v>65</v>
      </c>
      <c r="D2334" s="51" t="s">
        <v>865</v>
      </c>
      <c r="E2334" s="51" t="s">
        <v>864</v>
      </c>
      <c r="F2334" s="52">
        <v>8588.1319999999996</v>
      </c>
      <c r="G2334" s="52">
        <v>33845</v>
      </c>
      <c r="H2334" s="52">
        <v>26960</v>
      </c>
      <c r="I2334" s="52">
        <v>60805</v>
      </c>
      <c r="J2334" s="51">
        <v>2</v>
      </c>
      <c r="K2334" s="54">
        <v>10000</v>
      </c>
      <c r="L2334" s="51">
        <v>0</v>
      </c>
      <c r="M2334" s="54">
        <v>0</v>
      </c>
      <c r="N2334" s="53">
        <f t="shared" si="72"/>
        <v>10000</v>
      </c>
      <c r="O2334" s="53">
        <f t="shared" si="73"/>
        <v>-10000</v>
      </c>
    </row>
    <row r="2335" spans="1:15" x14ac:dyDescent="0.2">
      <c r="A2335" s="51" t="s">
        <v>3567</v>
      </c>
      <c r="B2335" s="51" t="s">
        <v>3568</v>
      </c>
      <c r="C2335" s="51" t="s">
        <v>72</v>
      </c>
      <c r="D2335" s="51" t="s">
        <v>3282</v>
      </c>
      <c r="E2335" s="51" t="s">
        <v>1601</v>
      </c>
      <c r="F2335" s="52">
        <v>879.29017499999998</v>
      </c>
      <c r="G2335" s="52">
        <v>1300</v>
      </c>
      <c r="H2335" s="52">
        <v>7210</v>
      </c>
      <c r="I2335" s="52">
        <v>8510</v>
      </c>
      <c r="J2335" s="51">
        <v>0</v>
      </c>
      <c r="K2335" s="54">
        <v>0</v>
      </c>
      <c r="L2335" s="51">
        <v>1</v>
      </c>
      <c r="M2335" s="54">
        <v>8000</v>
      </c>
      <c r="N2335" s="53">
        <f t="shared" si="72"/>
        <v>-8000</v>
      </c>
      <c r="O2335" s="53">
        <f t="shared" si="73"/>
        <v>8000</v>
      </c>
    </row>
    <row r="2336" spans="1:15" x14ac:dyDescent="0.2">
      <c r="A2336" s="51" t="s">
        <v>3567</v>
      </c>
      <c r="B2336" s="51" t="s">
        <v>3568</v>
      </c>
      <c r="C2336" s="51" t="s">
        <v>62</v>
      </c>
      <c r="D2336" s="51" t="s">
        <v>4767</v>
      </c>
      <c r="E2336" s="51" t="s">
        <v>4768</v>
      </c>
      <c r="F2336" s="52">
        <v>2.8330552174000001</v>
      </c>
      <c r="G2336" s="52">
        <v>0</v>
      </c>
      <c r="H2336" s="52">
        <v>0</v>
      </c>
      <c r="I2336" s="52">
        <v>0</v>
      </c>
      <c r="J2336" s="51">
        <v>0</v>
      </c>
      <c r="K2336" s="54">
        <v>0</v>
      </c>
      <c r="L2336" s="51">
        <v>0</v>
      </c>
      <c r="M2336" s="54">
        <v>0</v>
      </c>
      <c r="N2336" s="53">
        <f t="shared" si="72"/>
        <v>0</v>
      </c>
      <c r="O2336" s="53">
        <f t="shared" si="73"/>
        <v>0</v>
      </c>
    </row>
    <row r="2337" spans="1:15" x14ac:dyDescent="0.2">
      <c r="A2337" s="51" t="s">
        <v>3567</v>
      </c>
      <c r="B2337" s="51" t="s">
        <v>3568</v>
      </c>
      <c r="C2337" s="51" t="s">
        <v>65</v>
      </c>
      <c r="D2337" s="51" t="s">
        <v>2389</v>
      </c>
      <c r="E2337" s="51" t="s">
        <v>2388</v>
      </c>
      <c r="F2337" s="52">
        <v>6157.1900319977767</v>
      </c>
      <c r="G2337" s="52">
        <v>13581</v>
      </c>
      <c r="H2337" s="52">
        <v>4965</v>
      </c>
      <c r="I2337" s="52">
        <v>18546</v>
      </c>
      <c r="J2337" s="51">
        <v>1</v>
      </c>
      <c r="K2337" s="54">
        <v>2000</v>
      </c>
      <c r="L2337" s="51">
        <v>1</v>
      </c>
      <c r="M2337" s="54">
        <v>17000</v>
      </c>
      <c r="N2337" s="53">
        <f t="shared" si="72"/>
        <v>-15000</v>
      </c>
      <c r="O2337" s="53">
        <f t="shared" si="73"/>
        <v>15000</v>
      </c>
    </row>
    <row r="2338" spans="1:15" x14ac:dyDescent="0.2">
      <c r="A2338" s="51" t="s">
        <v>3567</v>
      </c>
      <c r="B2338" s="51" t="s">
        <v>3568</v>
      </c>
      <c r="C2338" s="51" t="s">
        <v>56</v>
      </c>
      <c r="D2338" s="51" t="s">
        <v>501</v>
      </c>
      <c r="E2338" s="51" t="s">
        <v>500</v>
      </c>
      <c r="F2338" s="52">
        <v>19995.56467592554</v>
      </c>
      <c r="G2338" s="52">
        <v>6000</v>
      </c>
      <c r="H2338" s="52">
        <v>2800</v>
      </c>
      <c r="I2338" s="52">
        <v>8800</v>
      </c>
      <c r="J2338" s="51">
        <v>1</v>
      </c>
      <c r="K2338" s="54">
        <v>10000</v>
      </c>
      <c r="L2338" s="51">
        <v>0</v>
      </c>
      <c r="M2338" s="54">
        <v>0</v>
      </c>
      <c r="N2338" s="53">
        <f t="shared" si="72"/>
        <v>10000</v>
      </c>
      <c r="O2338" s="53">
        <f t="shared" si="73"/>
        <v>-10000</v>
      </c>
    </row>
    <row r="2339" spans="1:15" x14ac:dyDescent="0.2">
      <c r="A2339" s="51" t="s">
        <v>3567</v>
      </c>
      <c r="B2339" s="51" t="s">
        <v>3568</v>
      </c>
      <c r="C2339" s="51" t="s">
        <v>72</v>
      </c>
      <c r="D2339" s="51" t="s">
        <v>3493</v>
      </c>
      <c r="E2339" s="51" t="s">
        <v>3492</v>
      </c>
      <c r="F2339" s="52">
        <v>7.5083000000000002</v>
      </c>
      <c r="G2339" s="52">
        <v>0</v>
      </c>
      <c r="H2339" s="52">
        <v>0</v>
      </c>
      <c r="I2339" s="52">
        <v>0</v>
      </c>
      <c r="J2339" s="51">
        <v>0</v>
      </c>
      <c r="K2339" s="54">
        <v>0</v>
      </c>
      <c r="L2339" s="51">
        <v>0</v>
      </c>
      <c r="M2339" s="54">
        <v>0</v>
      </c>
      <c r="N2339" s="53">
        <f t="shared" si="72"/>
        <v>0</v>
      </c>
      <c r="O2339" s="53">
        <f t="shared" si="73"/>
        <v>0</v>
      </c>
    </row>
    <row r="2340" spans="1:15" x14ac:dyDescent="0.2">
      <c r="A2340" s="51" t="s">
        <v>3567</v>
      </c>
      <c r="B2340" s="51" t="s">
        <v>3568</v>
      </c>
      <c r="C2340" s="51" t="s">
        <v>66</v>
      </c>
      <c r="D2340" s="51" t="s">
        <v>928</v>
      </c>
      <c r="E2340" s="51" t="s">
        <v>927</v>
      </c>
      <c r="F2340" s="52">
        <v>9211.0436051547258</v>
      </c>
      <c r="G2340" s="52">
        <v>11850</v>
      </c>
      <c r="H2340" s="52">
        <v>2660</v>
      </c>
      <c r="I2340" s="52">
        <v>14510</v>
      </c>
      <c r="J2340" s="51">
        <v>1</v>
      </c>
      <c r="K2340" s="54">
        <v>6000</v>
      </c>
      <c r="L2340" s="51">
        <v>0</v>
      </c>
      <c r="M2340" s="54">
        <v>0</v>
      </c>
      <c r="N2340" s="53">
        <f t="shared" si="72"/>
        <v>6000</v>
      </c>
      <c r="O2340" s="53">
        <f t="shared" si="73"/>
        <v>-6000</v>
      </c>
    </row>
    <row r="2341" spans="1:15" x14ac:dyDescent="0.2">
      <c r="A2341" s="51" t="s">
        <v>3567</v>
      </c>
      <c r="B2341" s="51" t="s">
        <v>3568</v>
      </c>
      <c r="C2341" s="51" t="s">
        <v>82</v>
      </c>
      <c r="D2341" s="51" t="s">
        <v>4778</v>
      </c>
      <c r="E2341" s="51" t="s">
        <v>4779</v>
      </c>
      <c r="F2341" s="52">
        <v>18.862781839480071</v>
      </c>
      <c r="G2341" s="52">
        <v>0</v>
      </c>
      <c r="H2341" s="52">
        <v>0</v>
      </c>
      <c r="I2341" s="52">
        <v>0</v>
      </c>
      <c r="J2341" s="51">
        <v>0</v>
      </c>
      <c r="K2341" s="54">
        <v>0</v>
      </c>
      <c r="L2341" s="51">
        <v>0</v>
      </c>
      <c r="M2341" s="54">
        <v>0</v>
      </c>
      <c r="N2341" s="53">
        <f t="shared" si="72"/>
        <v>0</v>
      </c>
      <c r="O2341" s="53">
        <f t="shared" si="73"/>
        <v>0</v>
      </c>
    </row>
    <row r="2342" spans="1:15" x14ac:dyDescent="0.2">
      <c r="A2342" s="51" t="s">
        <v>3567</v>
      </c>
      <c r="B2342" s="51" t="s">
        <v>3568</v>
      </c>
      <c r="C2342" s="51" t="s">
        <v>3786</v>
      </c>
      <c r="D2342" s="51" t="s">
        <v>4755</v>
      </c>
      <c r="E2342" s="51" t="s">
        <v>4756</v>
      </c>
      <c r="F2342" s="52">
        <v>4.5031654331057567</v>
      </c>
      <c r="G2342" s="52">
        <v>0</v>
      </c>
      <c r="H2342" s="52">
        <v>0</v>
      </c>
      <c r="I2342" s="52">
        <v>0</v>
      </c>
      <c r="J2342" s="51">
        <v>0</v>
      </c>
      <c r="K2342" s="54">
        <v>0</v>
      </c>
      <c r="L2342" s="51">
        <v>0</v>
      </c>
      <c r="M2342" s="54">
        <v>0</v>
      </c>
      <c r="N2342" s="53">
        <f t="shared" si="72"/>
        <v>0</v>
      </c>
      <c r="O2342" s="53">
        <f t="shared" si="73"/>
        <v>0</v>
      </c>
    </row>
    <row r="2343" spans="1:15" x14ac:dyDescent="0.2">
      <c r="A2343" s="51" t="s">
        <v>3567</v>
      </c>
      <c r="B2343" s="51" t="s">
        <v>3568</v>
      </c>
      <c r="C2343" s="51" t="s">
        <v>60</v>
      </c>
      <c r="D2343" s="51" t="s">
        <v>837</v>
      </c>
      <c r="E2343" s="51" t="s">
        <v>836</v>
      </c>
      <c r="F2343" s="52">
        <v>1424.4191000000001</v>
      </c>
      <c r="G2343" s="52">
        <v>900</v>
      </c>
      <c r="H2343" s="52">
        <v>1620</v>
      </c>
      <c r="I2343" s="52">
        <v>2520</v>
      </c>
      <c r="J2343" s="51">
        <v>0</v>
      </c>
      <c r="K2343" s="54">
        <v>0</v>
      </c>
      <c r="L2343" s="51">
        <v>1</v>
      </c>
      <c r="M2343" s="54">
        <v>5000</v>
      </c>
      <c r="N2343" s="53">
        <f t="shared" si="72"/>
        <v>-5000</v>
      </c>
      <c r="O2343" s="53">
        <f t="shared" si="73"/>
        <v>5000</v>
      </c>
    </row>
    <row r="2344" spans="1:15" x14ac:dyDescent="0.2">
      <c r="A2344" s="51" t="s">
        <v>3567</v>
      </c>
      <c r="B2344" s="51" t="s">
        <v>3568</v>
      </c>
      <c r="C2344" s="51" t="s">
        <v>87</v>
      </c>
      <c r="D2344" s="51" t="s">
        <v>2844</v>
      </c>
      <c r="E2344" s="51" t="s">
        <v>2843</v>
      </c>
      <c r="F2344" s="52">
        <v>11948.639905895699</v>
      </c>
      <c r="G2344" s="52">
        <v>1000</v>
      </c>
      <c r="H2344" s="52">
        <v>1430</v>
      </c>
      <c r="I2344" s="52">
        <v>2430</v>
      </c>
      <c r="J2344" s="51">
        <v>1</v>
      </c>
      <c r="K2344" s="54">
        <v>5000</v>
      </c>
      <c r="L2344" s="51">
        <v>0</v>
      </c>
      <c r="M2344" s="54">
        <v>0</v>
      </c>
      <c r="N2344" s="53">
        <f t="shared" si="72"/>
        <v>5000</v>
      </c>
      <c r="O2344" s="53">
        <f t="shared" si="73"/>
        <v>-5000</v>
      </c>
    </row>
    <row r="2345" spans="1:15" x14ac:dyDescent="0.2">
      <c r="A2345" s="51" t="s">
        <v>3567</v>
      </c>
      <c r="B2345" s="51" t="s">
        <v>3568</v>
      </c>
      <c r="C2345" s="51" t="s">
        <v>56</v>
      </c>
      <c r="D2345" s="51" t="s">
        <v>442</v>
      </c>
      <c r="E2345" s="51" t="s">
        <v>441</v>
      </c>
      <c r="F2345" s="52">
        <v>98641.216535837142</v>
      </c>
      <c r="G2345" s="52">
        <v>38200</v>
      </c>
      <c r="H2345" s="52">
        <v>21710</v>
      </c>
      <c r="I2345" s="52">
        <v>59910</v>
      </c>
      <c r="J2345" s="51">
        <v>1</v>
      </c>
      <c r="K2345" s="54">
        <v>5000</v>
      </c>
      <c r="L2345" s="51">
        <v>0</v>
      </c>
      <c r="M2345" s="54">
        <v>0</v>
      </c>
      <c r="N2345" s="53">
        <f t="shared" si="72"/>
        <v>5000</v>
      </c>
      <c r="O2345" s="53">
        <f t="shared" si="73"/>
        <v>-5000</v>
      </c>
    </row>
    <row r="2346" spans="1:15" x14ac:dyDescent="0.2">
      <c r="A2346" s="51" t="s">
        <v>3567</v>
      </c>
      <c r="B2346" s="51" t="s">
        <v>3568</v>
      </c>
      <c r="C2346" s="51" t="s">
        <v>69</v>
      </c>
      <c r="D2346" s="51" t="s">
        <v>2230</v>
      </c>
      <c r="E2346" s="51" t="s">
        <v>2229</v>
      </c>
      <c r="F2346" s="52">
        <v>30845.057199999999</v>
      </c>
      <c r="G2346" s="52">
        <v>3060</v>
      </c>
      <c r="H2346" s="52">
        <v>6000</v>
      </c>
      <c r="I2346" s="52">
        <v>9060</v>
      </c>
      <c r="J2346" s="51">
        <v>2</v>
      </c>
      <c r="K2346" s="54">
        <v>25000</v>
      </c>
      <c r="L2346" s="51">
        <v>0</v>
      </c>
      <c r="M2346" s="54">
        <v>0</v>
      </c>
      <c r="N2346" s="53">
        <f t="shared" si="72"/>
        <v>25000</v>
      </c>
      <c r="O2346" s="53">
        <f t="shared" si="73"/>
        <v>-25000</v>
      </c>
    </row>
    <row r="2347" spans="1:15" x14ac:dyDescent="0.2">
      <c r="A2347" s="51" t="s">
        <v>3567</v>
      </c>
      <c r="B2347" s="51" t="s">
        <v>3568</v>
      </c>
      <c r="C2347" s="51" t="s">
        <v>84</v>
      </c>
      <c r="D2347" s="51" t="s">
        <v>1709</v>
      </c>
      <c r="E2347" s="51" t="s">
        <v>1708</v>
      </c>
      <c r="F2347" s="52">
        <v>8.1326000000000001</v>
      </c>
      <c r="G2347" s="52">
        <v>5790</v>
      </c>
      <c r="H2347" s="52">
        <v>5425</v>
      </c>
      <c r="I2347" s="52">
        <v>11215</v>
      </c>
      <c r="J2347" s="51">
        <v>1</v>
      </c>
      <c r="K2347" s="54">
        <v>5000</v>
      </c>
      <c r="L2347" s="51">
        <v>2</v>
      </c>
      <c r="M2347" s="54">
        <v>10000</v>
      </c>
      <c r="N2347" s="53">
        <f t="shared" si="72"/>
        <v>-5000</v>
      </c>
      <c r="O2347" s="53">
        <f t="shared" si="73"/>
        <v>5000</v>
      </c>
    </row>
    <row r="2348" spans="1:15" x14ac:dyDescent="0.2">
      <c r="A2348" s="51" t="s">
        <v>3567</v>
      </c>
      <c r="B2348" s="51" t="s">
        <v>3568</v>
      </c>
      <c r="C2348" s="51" t="s">
        <v>64</v>
      </c>
      <c r="D2348" s="51" t="s">
        <v>1612</v>
      </c>
      <c r="E2348" s="51" t="s">
        <v>1611</v>
      </c>
      <c r="F2348" s="52">
        <v>13616.5581</v>
      </c>
      <c r="G2348" s="52">
        <v>9778</v>
      </c>
      <c r="H2348" s="52">
        <v>4810</v>
      </c>
      <c r="I2348" s="52">
        <v>14588</v>
      </c>
      <c r="J2348" s="51">
        <v>1</v>
      </c>
      <c r="K2348" s="54">
        <v>5000</v>
      </c>
      <c r="L2348" s="51">
        <v>0</v>
      </c>
      <c r="M2348" s="54">
        <v>0</v>
      </c>
      <c r="N2348" s="53">
        <f t="shared" si="72"/>
        <v>5000</v>
      </c>
      <c r="O2348" s="53">
        <f t="shared" si="73"/>
        <v>-5000</v>
      </c>
    </row>
    <row r="2349" spans="1:15" x14ac:dyDescent="0.2">
      <c r="A2349" s="51" t="s">
        <v>3567</v>
      </c>
      <c r="B2349" s="51" t="s">
        <v>3568</v>
      </c>
      <c r="C2349" s="51" t="s">
        <v>52</v>
      </c>
      <c r="D2349" s="51" t="s">
        <v>2755</v>
      </c>
      <c r="E2349" s="51" t="s">
        <v>2754</v>
      </c>
      <c r="F2349" s="52">
        <v>15679.999</v>
      </c>
      <c r="G2349" s="52">
        <v>0</v>
      </c>
      <c r="H2349" s="52">
        <v>0</v>
      </c>
      <c r="I2349" s="52">
        <v>0</v>
      </c>
      <c r="J2349" s="51">
        <v>0</v>
      </c>
      <c r="K2349" s="54">
        <v>0</v>
      </c>
      <c r="L2349" s="51">
        <v>0</v>
      </c>
      <c r="M2349" s="54">
        <v>0</v>
      </c>
      <c r="N2349" s="53">
        <f t="shared" si="72"/>
        <v>0</v>
      </c>
      <c r="O2349" s="53">
        <f t="shared" si="73"/>
        <v>0</v>
      </c>
    </row>
    <row r="2350" spans="1:15" x14ac:dyDescent="0.2">
      <c r="A2350" s="51" t="s">
        <v>3567</v>
      </c>
      <c r="B2350" s="51" t="s">
        <v>3568</v>
      </c>
      <c r="C2350" s="51" t="s">
        <v>4799</v>
      </c>
      <c r="D2350" s="51" t="s">
        <v>4800</v>
      </c>
      <c r="E2350" s="51" t="s">
        <v>4801</v>
      </c>
      <c r="F2350" s="52">
        <v>2.5</v>
      </c>
      <c r="G2350" s="52">
        <v>0</v>
      </c>
      <c r="H2350" s="52">
        <v>0</v>
      </c>
      <c r="I2350" s="52">
        <v>0</v>
      </c>
      <c r="J2350" s="51">
        <v>0</v>
      </c>
      <c r="K2350" s="54">
        <v>0</v>
      </c>
      <c r="L2350" s="51">
        <v>0</v>
      </c>
      <c r="M2350" s="54">
        <v>0</v>
      </c>
      <c r="N2350" s="53">
        <f t="shared" si="72"/>
        <v>0</v>
      </c>
      <c r="O2350" s="53">
        <f t="shared" si="73"/>
        <v>0</v>
      </c>
    </row>
    <row r="2351" spans="1:15" x14ac:dyDescent="0.2">
      <c r="A2351" s="51" t="s">
        <v>3567</v>
      </c>
      <c r="B2351" s="51" t="s">
        <v>3568</v>
      </c>
      <c r="C2351" s="51" t="s">
        <v>78</v>
      </c>
      <c r="D2351" s="51" t="s">
        <v>4772</v>
      </c>
      <c r="E2351" s="51" t="s">
        <v>4773</v>
      </c>
      <c r="F2351" s="52">
        <v>8.5146999999999995</v>
      </c>
      <c r="G2351" s="52">
        <v>0</v>
      </c>
      <c r="H2351" s="52">
        <v>0</v>
      </c>
      <c r="I2351" s="52">
        <v>0</v>
      </c>
      <c r="J2351" s="51">
        <v>0</v>
      </c>
      <c r="K2351" s="54">
        <v>0</v>
      </c>
      <c r="L2351" s="51">
        <v>0</v>
      </c>
      <c r="M2351" s="54">
        <v>0</v>
      </c>
      <c r="N2351" s="53">
        <f t="shared" si="72"/>
        <v>0</v>
      </c>
      <c r="O2351" s="53">
        <f t="shared" si="73"/>
        <v>0</v>
      </c>
    </row>
    <row r="2352" spans="1:15" x14ac:dyDescent="0.2">
      <c r="A2352" s="51" t="s">
        <v>3567</v>
      </c>
      <c r="B2352" s="51" t="s">
        <v>3568</v>
      </c>
      <c r="C2352" s="51" t="s">
        <v>58</v>
      </c>
      <c r="D2352" s="51" t="s">
        <v>4774</v>
      </c>
      <c r="E2352" s="51" t="s">
        <v>4775</v>
      </c>
      <c r="F2352" s="52">
        <v>2.4047000000000001</v>
      </c>
      <c r="G2352" s="52">
        <v>0</v>
      </c>
      <c r="H2352" s="52">
        <v>0</v>
      </c>
      <c r="I2352" s="52">
        <v>0</v>
      </c>
      <c r="J2352" s="51">
        <v>0</v>
      </c>
      <c r="K2352" s="54">
        <v>0</v>
      </c>
      <c r="L2352" s="51">
        <v>0</v>
      </c>
      <c r="M2352" s="54">
        <v>0</v>
      </c>
      <c r="N2352" s="53">
        <f t="shared" si="72"/>
        <v>0</v>
      </c>
      <c r="O2352" s="53">
        <f t="shared" si="73"/>
        <v>0</v>
      </c>
    </row>
    <row r="2353" spans="1:15" x14ac:dyDescent="0.2">
      <c r="A2353" s="51" t="s">
        <v>3567</v>
      </c>
      <c r="B2353" s="51" t="s">
        <v>3568</v>
      </c>
      <c r="C2353" s="51" t="s">
        <v>72</v>
      </c>
      <c r="D2353" s="51" t="s">
        <v>2946</v>
      </c>
      <c r="E2353" s="51" t="s">
        <v>2945</v>
      </c>
      <c r="F2353" s="52">
        <v>99.185394940798972</v>
      </c>
      <c r="G2353" s="52">
        <v>15950</v>
      </c>
      <c r="H2353" s="52">
        <v>36660</v>
      </c>
      <c r="I2353" s="52">
        <v>52610</v>
      </c>
      <c r="J2353" s="51">
        <v>1</v>
      </c>
      <c r="K2353" s="54">
        <v>5000</v>
      </c>
      <c r="L2353" s="51">
        <v>2</v>
      </c>
      <c r="M2353" s="54">
        <v>30000</v>
      </c>
      <c r="N2353" s="53">
        <f t="shared" si="72"/>
        <v>-25000</v>
      </c>
      <c r="O2353" s="53">
        <f t="shared" si="73"/>
        <v>25000</v>
      </c>
    </row>
    <row r="2354" spans="1:15" x14ac:dyDescent="0.2">
      <c r="A2354" s="51" t="s">
        <v>3567</v>
      </c>
      <c r="B2354" s="51" t="s">
        <v>3568</v>
      </c>
      <c r="C2354" s="51" t="s">
        <v>85</v>
      </c>
      <c r="D2354" s="51" t="s">
        <v>267</v>
      </c>
      <c r="E2354" s="51" t="s">
        <v>266</v>
      </c>
      <c r="F2354" s="52">
        <v>3.088388285824657</v>
      </c>
      <c r="G2354" s="52">
        <v>0</v>
      </c>
      <c r="H2354" s="52">
        <v>0</v>
      </c>
      <c r="I2354" s="52">
        <v>0</v>
      </c>
      <c r="J2354" s="51">
        <v>0</v>
      </c>
      <c r="K2354" s="54">
        <v>0</v>
      </c>
      <c r="L2354" s="51">
        <v>0</v>
      </c>
      <c r="M2354" s="54">
        <v>0</v>
      </c>
      <c r="N2354" s="53">
        <f t="shared" si="72"/>
        <v>0</v>
      </c>
      <c r="O2354" s="53">
        <f t="shared" si="73"/>
        <v>0</v>
      </c>
    </row>
    <row r="2355" spans="1:15" x14ac:dyDescent="0.2">
      <c r="A2355" s="51" t="s">
        <v>3567</v>
      </c>
      <c r="B2355" s="51" t="s">
        <v>3568</v>
      </c>
      <c r="C2355" s="51" t="s">
        <v>66</v>
      </c>
      <c r="D2355" s="51" t="s">
        <v>3495</v>
      </c>
      <c r="E2355" s="51" t="s">
        <v>3494</v>
      </c>
      <c r="F2355" s="52">
        <v>15758.9545</v>
      </c>
      <c r="G2355" s="52">
        <v>400</v>
      </c>
      <c r="H2355" s="52">
        <v>200</v>
      </c>
      <c r="I2355" s="52">
        <v>600</v>
      </c>
      <c r="J2355" s="51">
        <v>1</v>
      </c>
      <c r="K2355" s="54">
        <v>5000</v>
      </c>
      <c r="L2355" s="51">
        <v>1</v>
      </c>
      <c r="M2355" s="54">
        <v>18000</v>
      </c>
      <c r="N2355" s="53">
        <f t="shared" si="72"/>
        <v>-13000</v>
      </c>
      <c r="O2355" s="53">
        <f t="shared" si="73"/>
        <v>13000</v>
      </c>
    </row>
    <row r="2356" spans="1:15" x14ac:dyDescent="0.2">
      <c r="A2356" s="51" t="s">
        <v>3567</v>
      </c>
      <c r="B2356" s="51" t="s">
        <v>3568</v>
      </c>
      <c r="C2356" s="51" t="s">
        <v>76</v>
      </c>
      <c r="D2356" s="51" t="s">
        <v>2078</v>
      </c>
      <c r="E2356" s="51" t="s">
        <v>2077</v>
      </c>
      <c r="F2356" s="52">
        <v>2223.3268000042999</v>
      </c>
      <c r="G2356" s="52">
        <v>7805</v>
      </c>
      <c r="H2356" s="52">
        <v>3280</v>
      </c>
      <c r="I2356" s="52">
        <v>11085</v>
      </c>
      <c r="J2356" s="51">
        <v>1</v>
      </c>
      <c r="K2356" s="54">
        <v>5000</v>
      </c>
      <c r="L2356" s="51">
        <v>0</v>
      </c>
      <c r="M2356" s="54">
        <v>0</v>
      </c>
      <c r="N2356" s="53">
        <f t="shared" si="72"/>
        <v>5000</v>
      </c>
      <c r="O2356" s="53">
        <f t="shared" si="73"/>
        <v>-5000</v>
      </c>
    </row>
    <row r="2357" spans="1:15" x14ac:dyDescent="0.2">
      <c r="A2357" s="51" t="s">
        <v>3567</v>
      </c>
      <c r="B2357" s="51" t="s">
        <v>3568</v>
      </c>
      <c r="C2357" s="51" t="s">
        <v>75</v>
      </c>
      <c r="D2357" s="51" t="s">
        <v>702</v>
      </c>
      <c r="E2357" s="51" t="s">
        <v>701</v>
      </c>
      <c r="F2357" s="52">
        <v>3460.893556047658</v>
      </c>
      <c r="G2357" s="52">
        <v>3805</v>
      </c>
      <c r="H2357" s="52">
        <v>27460</v>
      </c>
      <c r="I2357" s="52">
        <v>31265</v>
      </c>
      <c r="J2357" s="51">
        <v>0</v>
      </c>
      <c r="K2357" s="54">
        <v>0</v>
      </c>
      <c r="L2357" s="51">
        <v>3</v>
      </c>
      <c r="M2357" s="54">
        <v>30000</v>
      </c>
      <c r="N2357" s="53">
        <f t="shared" si="72"/>
        <v>-30000</v>
      </c>
      <c r="O2357" s="53">
        <f t="shared" si="73"/>
        <v>30000</v>
      </c>
    </row>
    <row r="2358" spans="1:15" x14ac:dyDescent="0.2">
      <c r="A2358" s="51" t="s">
        <v>3567</v>
      </c>
      <c r="B2358" s="51" t="s">
        <v>3568</v>
      </c>
      <c r="C2358" s="51" t="s">
        <v>59</v>
      </c>
      <c r="D2358" s="51" t="s">
        <v>1600</v>
      </c>
      <c r="E2358" s="51" t="s">
        <v>1599</v>
      </c>
      <c r="F2358" s="52">
        <v>118.53420049349999</v>
      </c>
      <c r="G2358" s="52">
        <v>1110</v>
      </c>
      <c r="H2358" s="52">
        <v>51417</v>
      </c>
      <c r="I2358" s="52">
        <v>52527</v>
      </c>
      <c r="J2358" s="51">
        <v>0</v>
      </c>
      <c r="K2358" s="54">
        <v>0</v>
      </c>
      <c r="L2358" s="51">
        <v>4</v>
      </c>
      <c r="M2358" s="54">
        <v>51000</v>
      </c>
      <c r="N2358" s="53">
        <f t="shared" si="72"/>
        <v>-51000</v>
      </c>
      <c r="O2358" s="53">
        <f t="shared" si="73"/>
        <v>51000</v>
      </c>
    </row>
    <row r="2359" spans="1:15" x14ac:dyDescent="0.2">
      <c r="A2359" s="51" t="s">
        <v>3567</v>
      </c>
      <c r="B2359" s="51" t="s">
        <v>3568</v>
      </c>
      <c r="C2359" s="51" t="s">
        <v>3650</v>
      </c>
      <c r="D2359" s="51" t="s">
        <v>4808</v>
      </c>
      <c r="E2359" s="51" t="s">
        <v>4809</v>
      </c>
      <c r="F2359" s="52">
        <v>3.7110662290121601</v>
      </c>
      <c r="G2359" s="52">
        <v>0</v>
      </c>
      <c r="H2359" s="52">
        <v>0</v>
      </c>
      <c r="I2359" s="52">
        <v>0</v>
      </c>
      <c r="J2359" s="51">
        <v>0</v>
      </c>
      <c r="K2359" s="54">
        <v>0</v>
      </c>
      <c r="L2359" s="51">
        <v>0</v>
      </c>
      <c r="M2359" s="54">
        <v>0</v>
      </c>
      <c r="N2359" s="53">
        <f t="shared" si="72"/>
        <v>0</v>
      </c>
      <c r="O2359" s="53">
        <f t="shared" si="73"/>
        <v>0</v>
      </c>
    </row>
    <row r="2360" spans="1:15" x14ac:dyDescent="0.2">
      <c r="A2360" s="51" t="s">
        <v>3567</v>
      </c>
      <c r="B2360" s="51" t="s">
        <v>3568</v>
      </c>
      <c r="C2360" s="51" t="s">
        <v>76</v>
      </c>
      <c r="D2360" s="51" t="s">
        <v>2391</v>
      </c>
      <c r="E2360" s="51" t="s">
        <v>2390</v>
      </c>
      <c r="F2360" s="52">
        <v>33492.001235173077</v>
      </c>
      <c r="G2360" s="52">
        <v>80465</v>
      </c>
      <c r="H2360" s="52">
        <v>60915</v>
      </c>
      <c r="I2360" s="52">
        <v>141380</v>
      </c>
      <c r="J2360" s="51">
        <v>1</v>
      </c>
      <c r="K2360" s="54">
        <v>50000</v>
      </c>
      <c r="L2360" s="51">
        <v>1</v>
      </c>
      <c r="M2360" s="54">
        <v>40000</v>
      </c>
      <c r="N2360" s="53">
        <f t="shared" si="72"/>
        <v>10000</v>
      </c>
      <c r="O2360" s="53">
        <f t="shared" si="73"/>
        <v>-10000</v>
      </c>
    </row>
    <row r="2361" spans="1:15" x14ac:dyDescent="0.2">
      <c r="A2361" s="51" t="s">
        <v>3567</v>
      </c>
      <c r="B2361" s="51" t="s">
        <v>3568</v>
      </c>
      <c r="C2361" s="51" t="s">
        <v>62</v>
      </c>
      <c r="D2361" s="51" t="s">
        <v>2795</v>
      </c>
      <c r="E2361" s="51" t="s">
        <v>2794</v>
      </c>
      <c r="F2361" s="52">
        <v>4303.6819618262916</v>
      </c>
      <c r="G2361" s="52">
        <v>5167</v>
      </c>
      <c r="H2361" s="52">
        <v>1950</v>
      </c>
      <c r="I2361" s="52">
        <v>7117</v>
      </c>
      <c r="J2361" s="51">
        <v>1</v>
      </c>
      <c r="K2361" s="54">
        <v>5000</v>
      </c>
      <c r="L2361" s="51">
        <v>0</v>
      </c>
      <c r="M2361" s="54">
        <v>0</v>
      </c>
      <c r="N2361" s="53">
        <f t="shared" si="72"/>
        <v>5000</v>
      </c>
      <c r="O2361" s="53">
        <f t="shared" si="73"/>
        <v>-5000</v>
      </c>
    </row>
    <row r="2362" spans="1:15" x14ac:dyDescent="0.2">
      <c r="A2362" s="51" t="s">
        <v>3567</v>
      </c>
      <c r="B2362" s="51" t="s">
        <v>3568</v>
      </c>
      <c r="C2362" s="51" t="s">
        <v>3725</v>
      </c>
      <c r="D2362" s="51" t="s">
        <v>4786</v>
      </c>
      <c r="E2362" s="51" t="s">
        <v>4787</v>
      </c>
      <c r="F2362" s="52">
        <v>0</v>
      </c>
      <c r="G2362" s="52">
        <v>0</v>
      </c>
      <c r="H2362" s="52">
        <v>0</v>
      </c>
      <c r="I2362" s="52">
        <v>0</v>
      </c>
      <c r="J2362" s="51">
        <v>0</v>
      </c>
      <c r="K2362" s="54">
        <v>0</v>
      </c>
      <c r="L2362" s="51">
        <v>0</v>
      </c>
      <c r="M2362" s="54">
        <v>0</v>
      </c>
      <c r="N2362" s="53">
        <f t="shared" si="72"/>
        <v>0</v>
      </c>
      <c r="O2362" s="53">
        <f t="shared" si="73"/>
        <v>0</v>
      </c>
    </row>
    <row r="2363" spans="1:15" x14ac:dyDescent="0.2">
      <c r="A2363" s="51" t="s">
        <v>3567</v>
      </c>
      <c r="B2363" s="51" t="s">
        <v>3568</v>
      </c>
      <c r="C2363" s="51" t="s">
        <v>78</v>
      </c>
      <c r="D2363" s="51" t="s">
        <v>301</v>
      </c>
      <c r="E2363" s="51" t="s">
        <v>300</v>
      </c>
      <c r="F2363" s="52">
        <v>1705.311533338127</v>
      </c>
      <c r="G2363" s="52">
        <v>0</v>
      </c>
      <c r="H2363" s="52">
        <v>0</v>
      </c>
      <c r="I2363" s="52">
        <v>0</v>
      </c>
      <c r="J2363" s="51">
        <v>0</v>
      </c>
      <c r="K2363" s="54">
        <v>0</v>
      </c>
      <c r="L2363" s="51">
        <v>0</v>
      </c>
      <c r="M2363" s="54">
        <v>0</v>
      </c>
      <c r="N2363" s="53">
        <f t="shared" si="72"/>
        <v>0</v>
      </c>
      <c r="O2363" s="53">
        <f t="shared" si="73"/>
        <v>0</v>
      </c>
    </row>
    <row r="2364" spans="1:15" x14ac:dyDescent="0.2">
      <c r="A2364" s="51" t="s">
        <v>3567</v>
      </c>
      <c r="B2364" s="51" t="s">
        <v>3568</v>
      </c>
      <c r="C2364" s="51" t="s">
        <v>58</v>
      </c>
      <c r="D2364" s="51" t="s">
        <v>3005</v>
      </c>
      <c r="E2364" s="51" t="s">
        <v>3004</v>
      </c>
      <c r="F2364" s="52">
        <v>482.4160959514</v>
      </c>
      <c r="G2364" s="52">
        <v>6650</v>
      </c>
      <c r="H2364" s="52">
        <v>25400</v>
      </c>
      <c r="I2364" s="52">
        <v>32050</v>
      </c>
      <c r="J2364" s="51">
        <v>1</v>
      </c>
      <c r="K2364" s="54">
        <v>10000</v>
      </c>
      <c r="L2364" s="51">
        <v>1</v>
      </c>
      <c r="M2364" s="54">
        <v>28000</v>
      </c>
      <c r="N2364" s="53">
        <f t="shared" si="72"/>
        <v>-18000</v>
      </c>
      <c r="O2364" s="53">
        <f t="shared" si="73"/>
        <v>18000</v>
      </c>
    </row>
    <row r="2365" spans="1:15" x14ac:dyDescent="0.2">
      <c r="A2365" s="51" t="s">
        <v>3567</v>
      </c>
      <c r="B2365" s="51" t="s">
        <v>3568</v>
      </c>
      <c r="C2365" s="51" t="s">
        <v>70</v>
      </c>
      <c r="D2365" s="51" t="s">
        <v>2921</v>
      </c>
      <c r="E2365" s="51" t="s">
        <v>2920</v>
      </c>
      <c r="F2365" s="52">
        <v>18449.4768</v>
      </c>
      <c r="G2365" s="52">
        <v>1950</v>
      </c>
      <c r="H2365" s="52">
        <v>16400</v>
      </c>
      <c r="I2365" s="52">
        <v>18350</v>
      </c>
      <c r="J2365" s="51">
        <v>0</v>
      </c>
      <c r="K2365" s="54">
        <v>0</v>
      </c>
      <c r="L2365" s="51">
        <v>1</v>
      </c>
      <c r="M2365" s="54">
        <v>20000</v>
      </c>
      <c r="N2365" s="53">
        <f t="shared" si="72"/>
        <v>-20000</v>
      </c>
      <c r="O2365" s="53">
        <f t="shared" si="73"/>
        <v>20000</v>
      </c>
    </row>
    <row r="2366" spans="1:15" x14ac:dyDescent="0.2">
      <c r="A2366" s="51" t="s">
        <v>3567</v>
      </c>
      <c r="B2366" s="51" t="s">
        <v>3568</v>
      </c>
      <c r="C2366" s="51" t="s">
        <v>72</v>
      </c>
      <c r="D2366" s="51" t="s">
        <v>1012</v>
      </c>
      <c r="E2366" s="51" t="s">
        <v>1011</v>
      </c>
      <c r="F2366" s="52">
        <v>5929.1580103905644</v>
      </c>
      <c r="G2366" s="52">
        <v>1810</v>
      </c>
      <c r="H2366" s="52">
        <v>16840</v>
      </c>
      <c r="I2366" s="52">
        <v>18650</v>
      </c>
      <c r="J2366" s="51">
        <v>1</v>
      </c>
      <c r="K2366" s="54">
        <v>5000</v>
      </c>
      <c r="L2366" s="51">
        <v>1</v>
      </c>
      <c r="M2366" s="54">
        <v>25000</v>
      </c>
      <c r="N2366" s="53">
        <f t="shared" si="72"/>
        <v>-20000</v>
      </c>
      <c r="O2366" s="53">
        <f t="shared" si="73"/>
        <v>20000</v>
      </c>
    </row>
    <row r="2367" spans="1:15" x14ac:dyDescent="0.2">
      <c r="A2367" s="51" t="s">
        <v>3567</v>
      </c>
      <c r="B2367" s="51" t="s">
        <v>3568</v>
      </c>
      <c r="C2367" s="51" t="s">
        <v>67</v>
      </c>
      <c r="D2367" s="51" t="s">
        <v>400</v>
      </c>
      <c r="E2367" s="51" t="s">
        <v>399</v>
      </c>
      <c r="F2367" s="52">
        <v>17046.028748793618</v>
      </c>
      <c r="G2367" s="52">
        <v>9395</v>
      </c>
      <c r="H2367" s="52">
        <v>10360</v>
      </c>
      <c r="I2367" s="52">
        <v>19755</v>
      </c>
      <c r="J2367" s="51">
        <v>0</v>
      </c>
      <c r="K2367" s="54">
        <v>0</v>
      </c>
      <c r="L2367" s="51">
        <v>1</v>
      </c>
      <c r="M2367" s="54">
        <v>30000</v>
      </c>
      <c r="N2367" s="53">
        <f t="shared" si="72"/>
        <v>-30000</v>
      </c>
      <c r="O2367" s="53">
        <f t="shared" si="73"/>
        <v>30000</v>
      </c>
    </row>
    <row r="2368" spans="1:15" x14ac:dyDescent="0.2">
      <c r="A2368" s="51" t="s">
        <v>3567</v>
      </c>
      <c r="B2368" s="51" t="s">
        <v>3568</v>
      </c>
      <c r="C2368" s="51" t="s">
        <v>86</v>
      </c>
      <c r="D2368" s="51" t="s">
        <v>2706</v>
      </c>
      <c r="E2368" s="51" t="s">
        <v>2705</v>
      </c>
      <c r="F2368" s="52">
        <v>18.36437538292434</v>
      </c>
      <c r="G2368" s="52">
        <v>0</v>
      </c>
      <c r="H2368" s="52">
        <v>0</v>
      </c>
      <c r="I2368" s="52">
        <v>0</v>
      </c>
      <c r="J2368" s="51">
        <v>0</v>
      </c>
      <c r="K2368" s="54">
        <v>0</v>
      </c>
      <c r="L2368" s="51">
        <v>0</v>
      </c>
      <c r="M2368" s="54">
        <v>0</v>
      </c>
      <c r="N2368" s="53">
        <f t="shared" si="72"/>
        <v>0</v>
      </c>
      <c r="O2368" s="53">
        <f t="shared" si="73"/>
        <v>0</v>
      </c>
    </row>
    <row r="2369" spans="1:15" x14ac:dyDescent="0.2">
      <c r="A2369" s="51" t="s">
        <v>3567</v>
      </c>
      <c r="B2369" s="51" t="s">
        <v>3568</v>
      </c>
      <c r="C2369" s="51" t="s">
        <v>84</v>
      </c>
      <c r="D2369" s="51" t="s">
        <v>4780</v>
      </c>
      <c r="E2369" s="51" t="s">
        <v>4781</v>
      </c>
      <c r="F2369" s="52">
        <v>12.207599999999999</v>
      </c>
      <c r="G2369" s="52">
        <v>0</v>
      </c>
      <c r="H2369" s="52">
        <v>0</v>
      </c>
      <c r="I2369" s="52">
        <v>0</v>
      </c>
      <c r="J2369" s="51">
        <v>0</v>
      </c>
      <c r="K2369" s="54">
        <v>0</v>
      </c>
      <c r="L2369" s="51">
        <v>0</v>
      </c>
      <c r="M2369" s="54">
        <v>0</v>
      </c>
      <c r="N2369" s="53">
        <f t="shared" si="72"/>
        <v>0</v>
      </c>
      <c r="O2369" s="53">
        <f t="shared" si="73"/>
        <v>0</v>
      </c>
    </row>
    <row r="2370" spans="1:15" x14ac:dyDescent="0.2">
      <c r="A2370" s="51" t="s">
        <v>3567</v>
      </c>
      <c r="B2370" s="51" t="s">
        <v>3568</v>
      </c>
      <c r="C2370" s="51" t="s">
        <v>62</v>
      </c>
      <c r="D2370" s="51" t="s">
        <v>2551</v>
      </c>
      <c r="E2370" s="51" t="s">
        <v>2550</v>
      </c>
      <c r="F2370" s="52">
        <v>14319.239769972821</v>
      </c>
      <c r="G2370" s="52">
        <v>5955</v>
      </c>
      <c r="H2370" s="52">
        <v>17890</v>
      </c>
      <c r="I2370" s="52">
        <v>23845</v>
      </c>
      <c r="J2370" s="51">
        <v>0</v>
      </c>
      <c r="K2370" s="54">
        <v>0</v>
      </c>
      <c r="L2370" s="51">
        <v>1</v>
      </c>
      <c r="M2370" s="54">
        <v>10000</v>
      </c>
      <c r="N2370" s="53">
        <f t="shared" si="72"/>
        <v>-10000</v>
      </c>
      <c r="O2370" s="53">
        <f t="shared" si="73"/>
        <v>10000</v>
      </c>
    </row>
    <row r="2371" spans="1:15" x14ac:dyDescent="0.2">
      <c r="A2371" s="51" t="s">
        <v>3567</v>
      </c>
      <c r="B2371" s="51" t="s">
        <v>3568</v>
      </c>
      <c r="C2371" s="51" t="s">
        <v>62</v>
      </c>
      <c r="D2371" s="51" t="s">
        <v>972</v>
      </c>
      <c r="E2371" s="51" t="s">
        <v>971</v>
      </c>
      <c r="F2371" s="52">
        <v>3004.3482497206001</v>
      </c>
      <c r="G2371" s="52">
        <v>0</v>
      </c>
      <c r="H2371" s="52">
        <v>11850</v>
      </c>
      <c r="I2371" s="52">
        <v>11850</v>
      </c>
      <c r="J2371" s="51">
        <v>0</v>
      </c>
      <c r="K2371" s="54">
        <v>0</v>
      </c>
      <c r="L2371" s="51">
        <v>2</v>
      </c>
      <c r="M2371" s="54">
        <v>19000</v>
      </c>
      <c r="N2371" s="53">
        <f t="shared" ref="N2371:N2410" si="74">K2371-M2371</f>
        <v>-19000</v>
      </c>
      <c r="O2371" s="53">
        <f t="shared" ref="O2371:O2410" si="75">M2371-K2371</f>
        <v>19000</v>
      </c>
    </row>
    <row r="2372" spans="1:15" x14ac:dyDescent="0.2">
      <c r="A2372" s="51" t="s">
        <v>3567</v>
      </c>
      <c r="B2372" s="51" t="s">
        <v>3568</v>
      </c>
      <c r="C2372" s="51" t="s">
        <v>92</v>
      </c>
      <c r="D2372" s="51" t="s">
        <v>567</v>
      </c>
      <c r="E2372" s="51" t="s">
        <v>566</v>
      </c>
      <c r="F2372" s="52">
        <v>2.4369970120508042</v>
      </c>
      <c r="G2372" s="52">
        <v>0</v>
      </c>
      <c r="H2372" s="52">
        <v>0</v>
      </c>
      <c r="I2372" s="52">
        <v>0</v>
      </c>
      <c r="J2372" s="51">
        <v>0</v>
      </c>
      <c r="K2372" s="54">
        <v>0</v>
      </c>
      <c r="L2372" s="51">
        <v>0</v>
      </c>
      <c r="M2372" s="54">
        <v>0</v>
      </c>
      <c r="N2372" s="53">
        <f t="shared" si="74"/>
        <v>0</v>
      </c>
      <c r="O2372" s="53">
        <f t="shared" si="75"/>
        <v>0</v>
      </c>
    </row>
    <row r="2373" spans="1:15" x14ac:dyDescent="0.2">
      <c r="A2373" s="51" t="s">
        <v>3567</v>
      </c>
      <c r="B2373" s="51" t="s">
        <v>3568</v>
      </c>
      <c r="C2373" s="51" t="s">
        <v>3876</v>
      </c>
      <c r="D2373" s="51" t="s">
        <v>4806</v>
      </c>
      <c r="E2373" s="51" t="s">
        <v>4807</v>
      </c>
      <c r="F2373" s="52">
        <v>0.50332833400477184</v>
      </c>
      <c r="G2373" s="52">
        <v>0</v>
      </c>
      <c r="H2373" s="52">
        <v>0</v>
      </c>
      <c r="I2373" s="52">
        <v>0</v>
      </c>
      <c r="J2373" s="51">
        <v>0</v>
      </c>
      <c r="K2373" s="54">
        <v>0</v>
      </c>
      <c r="L2373" s="51">
        <v>0</v>
      </c>
      <c r="M2373" s="54">
        <v>0</v>
      </c>
      <c r="N2373" s="53">
        <f t="shared" si="74"/>
        <v>0</v>
      </c>
      <c r="O2373" s="53">
        <f t="shared" si="75"/>
        <v>0</v>
      </c>
    </row>
    <row r="2374" spans="1:15" x14ac:dyDescent="0.2">
      <c r="A2374" s="51" t="s">
        <v>3567</v>
      </c>
      <c r="B2374" s="51" t="s">
        <v>3568</v>
      </c>
      <c r="C2374" s="51" t="s">
        <v>3607</v>
      </c>
      <c r="D2374" s="51" t="s">
        <v>4784</v>
      </c>
      <c r="E2374" s="51" t="s">
        <v>4785</v>
      </c>
      <c r="F2374" s="52">
        <v>43.5726868689</v>
      </c>
      <c r="G2374" s="52">
        <v>0</v>
      </c>
      <c r="H2374" s="52">
        <v>0</v>
      </c>
      <c r="I2374" s="52">
        <v>0</v>
      </c>
      <c r="J2374" s="51">
        <v>0</v>
      </c>
      <c r="K2374" s="54">
        <v>0</v>
      </c>
      <c r="L2374" s="51">
        <v>0</v>
      </c>
      <c r="M2374" s="54">
        <v>0</v>
      </c>
      <c r="N2374" s="53">
        <f t="shared" si="74"/>
        <v>0</v>
      </c>
      <c r="O2374" s="53">
        <f t="shared" si="75"/>
        <v>0</v>
      </c>
    </row>
    <row r="2375" spans="1:15" x14ac:dyDescent="0.2">
      <c r="A2375" s="51" t="s">
        <v>3567</v>
      </c>
      <c r="B2375" s="51" t="s">
        <v>3568</v>
      </c>
      <c r="C2375" s="51" t="s">
        <v>60</v>
      </c>
      <c r="D2375" s="51" t="s">
        <v>2994</v>
      </c>
      <c r="E2375" s="51" t="s">
        <v>2993</v>
      </c>
      <c r="F2375" s="52">
        <v>4867.3901381686646</v>
      </c>
      <c r="G2375" s="52">
        <v>16875</v>
      </c>
      <c r="H2375" s="52">
        <v>21990</v>
      </c>
      <c r="I2375" s="52">
        <v>38865</v>
      </c>
      <c r="J2375" s="51">
        <v>1</v>
      </c>
      <c r="K2375" s="54">
        <v>7000</v>
      </c>
      <c r="L2375" s="51">
        <v>2</v>
      </c>
      <c r="M2375" s="54">
        <v>32000</v>
      </c>
      <c r="N2375" s="53">
        <f t="shared" si="74"/>
        <v>-25000</v>
      </c>
      <c r="O2375" s="53">
        <f t="shared" si="75"/>
        <v>25000</v>
      </c>
    </row>
    <row r="2376" spans="1:15" x14ac:dyDescent="0.2">
      <c r="A2376" s="51" t="s">
        <v>3567</v>
      </c>
      <c r="B2376" s="51" t="s">
        <v>3568</v>
      </c>
      <c r="C2376" s="51" t="s">
        <v>85</v>
      </c>
      <c r="D2376" s="51" t="s">
        <v>3413</v>
      </c>
      <c r="E2376" s="51" t="s">
        <v>3412</v>
      </c>
      <c r="F2376" s="52">
        <v>24277.90805103612</v>
      </c>
      <c r="G2376" s="52">
        <v>9100</v>
      </c>
      <c r="H2376" s="52">
        <v>23860</v>
      </c>
      <c r="I2376" s="52">
        <v>32960</v>
      </c>
      <c r="J2376" s="51">
        <v>0</v>
      </c>
      <c r="K2376" s="54">
        <v>0</v>
      </c>
      <c r="L2376" s="51">
        <v>1</v>
      </c>
      <c r="M2376" s="54">
        <v>60000</v>
      </c>
      <c r="N2376" s="53">
        <f t="shared" si="74"/>
        <v>-60000</v>
      </c>
      <c r="O2376" s="53">
        <f t="shared" si="75"/>
        <v>60000</v>
      </c>
    </row>
    <row r="2377" spans="1:15" x14ac:dyDescent="0.2">
      <c r="A2377" s="51" t="s">
        <v>3567</v>
      </c>
      <c r="B2377" s="51" t="s">
        <v>3568</v>
      </c>
      <c r="C2377" s="51" t="s">
        <v>85</v>
      </c>
      <c r="D2377" s="51" t="s">
        <v>1743</v>
      </c>
      <c r="E2377" s="51" t="s">
        <v>1742</v>
      </c>
      <c r="F2377" s="52">
        <v>7.5202999999999998</v>
      </c>
      <c r="G2377" s="52">
        <v>2598</v>
      </c>
      <c r="H2377" s="52">
        <v>0</v>
      </c>
      <c r="I2377" s="52">
        <v>2598</v>
      </c>
      <c r="J2377" s="51">
        <v>0</v>
      </c>
      <c r="K2377" s="54">
        <v>0</v>
      </c>
      <c r="L2377" s="51">
        <v>1</v>
      </c>
      <c r="M2377" s="54">
        <v>5000</v>
      </c>
      <c r="N2377" s="53">
        <f t="shared" si="74"/>
        <v>-5000</v>
      </c>
      <c r="O2377" s="53">
        <f t="shared" si="75"/>
        <v>5000</v>
      </c>
    </row>
    <row r="2378" spans="1:15" x14ac:dyDescent="0.2">
      <c r="A2378" s="51" t="s">
        <v>3567</v>
      </c>
      <c r="B2378" s="51" t="s">
        <v>3568</v>
      </c>
      <c r="C2378" s="51" t="s">
        <v>3571</v>
      </c>
      <c r="D2378" s="51" t="s">
        <v>4761</v>
      </c>
      <c r="E2378" s="51" t="s">
        <v>4762</v>
      </c>
      <c r="F2378" s="52">
        <v>0.25903046815626868</v>
      </c>
      <c r="G2378" s="52">
        <v>0</v>
      </c>
      <c r="H2378" s="52">
        <v>0</v>
      </c>
      <c r="I2378" s="52">
        <v>0</v>
      </c>
      <c r="J2378" s="51">
        <v>0</v>
      </c>
      <c r="K2378" s="54">
        <v>0</v>
      </c>
      <c r="L2378" s="51">
        <v>0</v>
      </c>
      <c r="M2378" s="54">
        <v>0</v>
      </c>
      <c r="N2378" s="53">
        <f t="shared" si="74"/>
        <v>0</v>
      </c>
      <c r="O2378" s="53">
        <f t="shared" si="75"/>
        <v>0</v>
      </c>
    </row>
    <row r="2379" spans="1:15" x14ac:dyDescent="0.2">
      <c r="A2379" s="51" t="s">
        <v>3567</v>
      </c>
      <c r="B2379" s="51" t="s">
        <v>3568</v>
      </c>
      <c r="C2379" s="51" t="s">
        <v>73</v>
      </c>
      <c r="D2379" s="51" t="s">
        <v>2652</v>
      </c>
      <c r="E2379" s="51" t="s">
        <v>881</v>
      </c>
      <c r="F2379" s="52">
        <v>29.984100000000002</v>
      </c>
      <c r="G2379" s="52">
        <v>5100</v>
      </c>
      <c r="H2379" s="52">
        <v>0</v>
      </c>
      <c r="I2379" s="52">
        <v>5100</v>
      </c>
      <c r="J2379" s="51">
        <v>1</v>
      </c>
      <c r="K2379" s="54">
        <v>5000</v>
      </c>
      <c r="L2379" s="51">
        <v>0</v>
      </c>
      <c r="M2379" s="54">
        <v>0</v>
      </c>
      <c r="N2379" s="53">
        <f t="shared" si="74"/>
        <v>5000</v>
      </c>
      <c r="O2379" s="53">
        <f t="shared" si="75"/>
        <v>-5000</v>
      </c>
    </row>
    <row r="2380" spans="1:15" x14ac:dyDescent="0.2">
      <c r="A2380" s="51" t="s">
        <v>3567</v>
      </c>
      <c r="B2380" s="51" t="s">
        <v>3568</v>
      </c>
      <c r="C2380" s="51" t="s">
        <v>3653</v>
      </c>
      <c r="D2380" s="51" t="s">
        <v>4749</v>
      </c>
      <c r="E2380" s="51" t="s">
        <v>4750</v>
      </c>
      <c r="F2380" s="52">
        <v>28.6863049641284</v>
      </c>
      <c r="G2380" s="52">
        <v>0</v>
      </c>
      <c r="H2380" s="52">
        <v>0</v>
      </c>
      <c r="I2380" s="52">
        <v>0</v>
      </c>
      <c r="J2380" s="51">
        <v>0</v>
      </c>
      <c r="K2380" s="54">
        <v>0</v>
      </c>
      <c r="L2380" s="51">
        <v>0</v>
      </c>
      <c r="M2380" s="54">
        <v>0</v>
      </c>
      <c r="N2380" s="53">
        <f t="shared" si="74"/>
        <v>0</v>
      </c>
      <c r="O2380" s="53">
        <f t="shared" si="75"/>
        <v>0</v>
      </c>
    </row>
    <row r="2381" spans="1:15" x14ac:dyDescent="0.2">
      <c r="A2381" s="51" t="s">
        <v>3567</v>
      </c>
      <c r="B2381" s="51" t="s">
        <v>3568</v>
      </c>
      <c r="C2381" s="51" t="s">
        <v>77</v>
      </c>
      <c r="D2381" s="51" t="s">
        <v>1214</v>
      </c>
      <c r="E2381" s="51" t="s">
        <v>1213</v>
      </c>
      <c r="F2381" s="52">
        <v>9835.8598864148225</v>
      </c>
      <c r="G2381" s="52">
        <v>1000</v>
      </c>
      <c r="H2381" s="52">
        <v>2950</v>
      </c>
      <c r="I2381" s="52">
        <v>3950</v>
      </c>
      <c r="J2381" s="51">
        <v>1</v>
      </c>
      <c r="K2381" s="54">
        <v>5000</v>
      </c>
      <c r="L2381" s="51">
        <v>0</v>
      </c>
      <c r="M2381" s="54">
        <v>0</v>
      </c>
      <c r="N2381" s="53">
        <f t="shared" si="74"/>
        <v>5000</v>
      </c>
      <c r="O2381" s="53">
        <f t="shared" si="75"/>
        <v>-5000</v>
      </c>
    </row>
    <row r="2382" spans="1:15" x14ac:dyDescent="0.2">
      <c r="A2382" s="51" t="s">
        <v>3567</v>
      </c>
      <c r="B2382" s="51" t="s">
        <v>3568</v>
      </c>
      <c r="C2382" s="51" t="s">
        <v>74</v>
      </c>
      <c r="D2382" s="51" t="s">
        <v>1963</v>
      </c>
      <c r="E2382" s="51" t="s">
        <v>1962</v>
      </c>
      <c r="F2382" s="52">
        <v>1070.633391741062</v>
      </c>
      <c r="G2382" s="52">
        <v>313</v>
      </c>
      <c r="H2382" s="52">
        <v>6162</v>
      </c>
      <c r="I2382" s="52">
        <v>6475</v>
      </c>
      <c r="J2382" s="51">
        <v>0</v>
      </c>
      <c r="K2382" s="54">
        <v>0</v>
      </c>
      <c r="L2382" s="51">
        <v>1</v>
      </c>
      <c r="M2382" s="54">
        <v>5000</v>
      </c>
      <c r="N2382" s="53">
        <f t="shared" si="74"/>
        <v>-5000</v>
      </c>
      <c r="O2382" s="53">
        <f t="shared" si="75"/>
        <v>5000</v>
      </c>
    </row>
    <row r="2383" spans="1:15" x14ac:dyDescent="0.2">
      <c r="A2383" s="51" t="s">
        <v>3567</v>
      </c>
      <c r="B2383" s="51" t="s">
        <v>3568</v>
      </c>
      <c r="C2383" s="51" t="s">
        <v>62</v>
      </c>
      <c r="D2383" s="51" t="s">
        <v>1304</v>
      </c>
      <c r="E2383" s="51" t="s">
        <v>1303</v>
      </c>
      <c r="F2383" s="52">
        <v>2730.572673369425</v>
      </c>
      <c r="G2383" s="52">
        <v>0</v>
      </c>
      <c r="H2383" s="52">
        <v>0</v>
      </c>
      <c r="I2383" s="52">
        <v>0</v>
      </c>
      <c r="J2383" s="51">
        <v>0</v>
      </c>
      <c r="K2383" s="54">
        <v>0</v>
      </c>
      <c r="L2383" s="51">
        <v>1</v>
      </c>
      <c r="M2383" s="54">
        <v>5000</v>
      </c>
      <c r="N2383" s="53">
        <f t="shared" si="74"/>
        <v>-5000</v>
      </c>
      <c r="O2383" s="53">
        <f t="shared" si="75"/>
        <v>5000</v>
      </c>
    </row>
    <row r="2384" spans="1:15" x14ac:dyDescent="0.2">
      <c r="A2384" s="51" t="s">
        <v>3567</v>
      </c>
      <c r="B2384" s="51" t="s">
        <v>3568</v>
      </c>
      <c r="C2384" s="51" t="s">
        <v>3876</v>
      </c>
      <c r="D2384" s="51" t="s">
        <v>4802</v>
      </c>
      <c r="E2384" s="51" t="s">
        <v>4803</v>
      </c>
      <c r="F2384" s="52">
        <v>16.409134023823921</v>
      </c>
      <c r="G2384" s="52">
        <v>0</v>
      </c>
      <c r="H2384" s="52">
        <v>0</v>
      </c>
      <c r="I2384" s="52">
        <v>0</v>
      </c>
      <c r="J2384" s="51">
        <v>0</v>
      </c>
      <c r="K2384" s="54">
        <v>0</v>
      </c>
      <c r="L2384" s="51">
        <v>0</v>
      </c>
      <c r="M2384" s="54">
        <v>0</v>
      </c>
      <c r="N2384" s="53">
        <f t="shared" si="74"/>
        <v>0</v>
      </c>
      <c r="O2384" s="53">
        <f t="shared" si="75"/>
        <v>0</v>
      </c>
    </row>
    <row r="2385" spans="1:15" x14ac:dyDescent="0.2">
      <c r="A2385" s="51" t="s">
        <v>3567</v>
      </c>
      <c r="B2385" s="51" t="s">
        <v>3568</v>
      </c>
      <c r="C2385" s="51" t="s">
        <v>60</v>
      </c>
      <c r="D2385" s="51" t="s">
        <v>3071</v>
      </c>
      <c r="E2385" s="51" t="s">
        <v>3070</v>
      </c>
      <c r="F2385" s="52">
        <v>21608.322922865998</v>
      </c>
      <c r="G2385" s="52">
        <v>12250</v>
      </c>
      <c r="H2385" s="52">
        <v>44805</v>
      </c>
      <c r="I2385" s="52">
        <v>57055</v>
      </c>
      <c r="J2385" s="51">
        <v>0</v>
      </c>
      <c r="K2385" s="54">
        <v>0</v>
      </c>
      <c r="L2385" s="51">
        <v>1</v>
      </c>
      <c r="M2385" s="54">
        <v>45000</v>
      </c>
      <c r="N2385" s="53">
        <f t="shared" si="74"/>
        <v>-45000</v>
      </c>
      <c r="O2385" s="53">
        <f t="shared" si="75"/>
        <v>45000</v>
      </c>
    </row>
    <row r="2386" spans="1:15" x14ac:dyDescent="0.2">
      <c r="A2386" s="51" t="s">
        <v>3567</v>
      </c>
      <c r="B2386" s="51" t="s">
        <v>3568</v>
      </c>
      <c r="C2386" s="51" t="s">
        <v>53</v>
      </c>
      <c r="D2386" s="51" t="s">
        <v>307</v>
      </c>
      <c r="E2386" s="51" t="s">
        <v>306</v>
      </c>
      <c r="F2386" s="52">
        <v>47.23111536195956</v>
      </c>
      <c r="G2386" s="52">
        <v>3500</v>
      </c>
      <c r="H2386" s="52">
        <v>5400</v>
      </c>
      <c r="I2386" s="52">
        <v>8900</v>
      </c>
      <c r="J2386" s="51">
        <v>0</v>
      </c>
      <c r="K2386" s="54">
        <v>0</v>
      </c>
      <c r="L2386" s="51">
        <v>1</v>
      </c>
      <c r="M2386" s="54">
        <v>8000</v>
      </c>
      <c r="N2386" s="53">
        <f t="shared" si="74"/>
        <v>-8000</v>
      </c>
      <c r="O2386" s="53">
        <f t="shared" si="75"/>
        <v>8000</v>
      </c>
    </row>
    <row r="2387" spans="1:15" x14ac:dyDescent="0.2">
      <c r="A2387" s="51" t="s">
        <v>3567</v>
      </c>
      <c r="B2387" s="51" t="s">
        <v>3568</v>
      </c>
      <c r="C2387" s="51" t="s">
        <v>71</v>
      </c>
      <c r="D2387" s="51" t="s">
        <v>1123</v>
      </c>
      <c r="E2387" s="51" t="s">
        <v>1122</v>
      </c>
      <c r="F2387" s="52">
        <v>6953.5216367133717</v>
      </c>
      <c r="G2387" s="52">
        <v>0</v>
      </c>
      <c r="H2387" s="52">
        <v>0</v>
      </c>
      <c r="I2387" s="52">
        <v>0</v>
      </c>
      <c r="J2387" s="51">
        <v>1</v>
      </c>
      <c r="K2387" s="54">
        <v>5000</v>
      </c>
      <c r="L2387" s="51">
        <v>0</v>
      </c>
      <c r="M2387" s="54">
        <v>0</v>
      </c>
      <c r="N2387" s="53">
        <f t="shared" si="74"/>
        <v>5000</v>
      </c>
      <c r="O2387" s="53">
        <f t="shared" si="75"/>
        <v>-5000</v>
      </c>
    </row>
    <row r="2388" spans="1:15" x14ac:dyDescent="0.2">
      <c r="A2388" s="51" t="s">
        <v>3567</v>
      </c>
      <c r="B2388" s="51" t="s">
        <v>3568</v>
      </c>
      <c r="C2388" s="51" t="s">
        <v>72</v>
      </c>
      <c r="D2388" s="51" t="s">
        <v>735</v>
      </c>
      <c r="E2388" s="51" t="s">
        <v>734</v>
      </c>
      <c r="F2388" s="52">
        <v>5897.1226640000004</v>
      </c>
      <c r="G2388" s="52">
        <v>200</v>
      </c>
      <c r="H2388" s="52">
        <v>100</v>
      </c>
      <c r="I2388" s="52">
        <v>300</v>
      </c>
      <c r="J2388" s="51">
        <v>1</v>
      </c>
      <c r="K2388" s="54">
        <v>5000</v>
      </c>
      <c r="L2388" s="51">
        <v>0</v>
      </c>
      <c r="M2388" s="54">
        <v>0</v>
      </c>
      <c r="N2388" s="53">
        <f t="shared" si="74"/>
        <v>5000</v>
      </c>
      <c r="O2388" s="53">
        <f t="shared" si="75"/>
        <v>-5000</v>
      </c>
    </row>
    <row r="2389" spans="1:15" x14ac:dyDescent="0.2">
      <c r="A2389" s="51" t="s">
        <v>3567</v>
      </c>
      <c r="B2389" s="51" t="s">
        <v>3568</v>
      </c>
      <c r="C2389" s="51" t="s">
        <v>87</v>
      </c>
      <c r="D2389" s="51" t="s">
        <v>1826</v>
      </c>
      <c r="E2389" s="51" t="s">
        <v>1825</v>
      </c>
      <c r="F2389" s="52">
        <v>32.113976671680767</v>
      </c>
      <c r="G2389" s="52">
        <v>300</v>
      </c>
      <c r="H2389" s="52">
        <v>0</v>
      </c>
      <c r="I2389" s="52">
        <v>300</v>
      </c>
      <c r="J2389" s="51">
        <v>0</v>
      </c>
      <c r="K2389" s="54">
        <v>0</v>
      </c>
      <c r="L2389" s="51">
        <v>1</v>
      </c>
      <c r="M2389" s="54">
        <v>6000</v>
      </c>
      <c r="N2389" s="53">
        <f t="shared" si="74"/>
        <v>-6000</v>
      </c>
      <c r="O2389" s="53">
        <f t="shared" si="75"/>
        <v>6000</v>
      </c>
    </row>
    <row r="2390" spans="1:15" x14ac:dyDescent="0.2">
      <c r="A2390" s="51" t="s">
        <v>3567</v>
      </c>
      <c r="B2390" s="51" t="s">
        <v>3568</v>
      </c>
      <c r="C2390" s="51" t="s">
        <v>66</v>
      </c>
      <c r="D2390" s="51" t="s">
        <v>694</v>
      </c>
      <c r="E2390" s="51" t="s">
        <v>693</v>
      </c>
      <c r="F2390" s="52">
        <v>34206.999160876498</v>
      </c>
      <c r="G2390" s="52">
        <v>1750</v>
      </c>
      <c r="H2390" s="52">
        <v>7550</v>
      </c>
      <c r="I2390" s="52">
        <v>9300</v>
      </c>
      <c r="J2390" s="51">
        <v>1</v>
      </c>
      <c r="K2390" s="54">
        <v>20000</v>
      </c>
      <c r="L2390" s="51">
        <v>0</v>
      </c>
      <c r="M2390" s="54">
        <v>0</v>
      </c>
      <c r="N2390" s="53">
        <f t="shared" si="74"/>
        <v>20000</v>
      </c>
      <c r="O2390" s="53">
        <f t="shared" si="75"/>
        <v>-20000</v>
      </c>
    </row>
    <row r="2391" spans="1:15" x14ac:dyDescent="0.2">
      <c r="A2391" s="51" t="s">
        <v>3567</v>
      </c>
      <c r="B2391" s="51" t="s">
        <v>3568</v>
      </c>
      <c r="C2391" s="51" t="s">
        <v>65</v>
      </c>
      <c r="D2391" s="51" t="s">
        <v>1100</v>
      </c>
      <c r="E2391" s="51" t="s">
        <v>1099</v>
      </c>
      <c r="F2391" s="52">
        <v>6724.0099725075024</v>
      </c>
      <c r="G2391" s="52">
        <v>20930</v>
      </c>
      <c r="H2391" s="52">
        <v>35235</v>
      </c>
      <c r="I2391" s="52">
        <v>56165</v>
      </c>
      <c r="J2391" s="51">
        <v>0</v>
      </c>
      <c r="K2391" s="54">
        <v>0</v>
      </c>
      <c r="L2391" s="51">
        <v>1</v>
      </c>
      <c r="M2391" s="54">
        <v>15000</v>
      </c>
      <c r="N2391" s="53">
        <f t="shared" si="74"/>
        <v>-15000</v>
      </c>
      <c r="O2391" s="53">
        <f t="shared" si="75"/>
        <v>15000</v>
      </c>
    </row>
    <row r="2392" spans="1:15" x14ac:dyDescent="0.2">
      <c r="A2392" s="51" t="s">
        <v>3567</v>
      </c>
      <c r="B2392" s="51" t="s">
        <v>3568</v>
      </c>
      <c r="C2392" s="51" t="s">
        <v>64</v>
      </c>
      <c r="D2392" s="51" t="s">
        <v>1078</v>
      </c>
      <c r="E2392" s="51" t="s">
        <v>1077</v>
      </c>
      <c r="F2392" s="52">
        <v>22995.23481419955</v>
      </c>
      <c r="G2392" s="52">
        <v>0</v>
      </c>
      <c r="H2392" s="52">
        <v>0</v>
      </c>
      <c r="I2392" s="52">
        <v>0</v>
      </c>
      <c r="J2392" s="51">
        <v>2</v>
      </c>
      <c r="K2392" s="54">
        <v>6000</v>
      </c>
      <c r="L2392" s="51">
        <v>0</v>
      </c>
      <c r="M2392" s="54">
        <v>0</v>
      </c>
      <c r="N2392" s="53">
        <f t="shared" si="74"/>
        <v>6000</v>
      </c>
      <c r="O2392" s="53">
        <f t="shared" si="75"/>
        <v>-6000</v>
      </c>
    </row>
    <row r="2393" spans="1:15" x14ac:dyDescent="0.2">
      <c r="A2393" s="51" t="s">
        <v>3567</v>
      </c>
      <c r="B2393" s="51" t="s">
        <v>3568</v>
      </c>
      <c r="C2393" s="51" t="s">
        <v>85</v>
      </c>
      <c r="D2393" s="51" t="s">
        <v>3194</v>
      </c>
      <c r="E2393" s="51" t="s">
        <v>3193</v>
      </c>
      <c r="F2393" s="52">
        <v>12754.476114234911</v>
      </c>
      <c r="G2393" s="52">
        <v>0</v>
      </c>
      <c r="H2393" s="52">
        <v>0</v>
      </c>
      <c r="I2393" s="52">
        <v>0</v>
      </c>
      <c r="J2393" s="51">
        <v>1</v>
      </c>
      <c r="K2393" s="54">
        <v>5000</v>
      </c>
      <c r="L2393" s="51">
        <v>0</v>
      </c>
      <c r="M2393" s="54">
        <v>0</v>
      </c>
      <c r="N2393" s="53">
        <f t="shared" si="74"/>
        <v>5000</v>
      </c>
      <c r="O2393" s="53">
        <f t="shared" si="75"/>
        <v>-5000</v>
      </c>
    </row>
    <row r="2394" spans="1:15" x14ac:dyDescent="0.2">
      <c r="A2394" s="51" t="s">
        <v>3567</v>
      </c>
      <c r="B2394" s="51" t="s">
        <v>3568</v>
      </c>
      <c r="C2394" s="51" t="s">
        <v>79</v>
      </c>
      <c r="D2394" s="51" t="s">
        <v>2019</v>
      </c>
      <c r="E2394" s="51" t="s">
        <v>2018</v>
      </c>
      <c r="F2394" s="52">
        <v>15402.9145043478</v>
      </c>
      <c r="G2394" s="52">
        <v>7885</v>
      </c>
      <c r="H2394" s="52">
        <v>2450</v>
      </c>
      <c r="I2394" s="52">
        <v>10335</v>
      </c>
      <c r="J2394" s="51">
        <v>1</v>
      </c>
      <c r="K2394" s="54">
        <v>15000</v>
      </c>
      <c r="L2394" s="51">
        <v>0</v>
      </c>
      <c r="M2394" s="54">
        <v>0</v>
      </c>
      <c r="N2394" s="53">
        <f t="shared" si="74"/>
        <v>15000</v>
      </c>
      <c r="O2394" s="53">
        <f t="shared" si="75"/>
        <v>-15000</v>
      </c>
    </row>
    <row r="2395" spans="1:15" x14ac:dyDescent="0.2">
      <c r="A2395" s="51" t="s">
        <v>3567</v>
      </c>
      <c r="B2395" s="51" t="s">
        <v>3568</v>
      </c>
      <c r="C2395" s="51" t="s">
        <v>3607</v>
      </c>
      <c r="D2395" s="51" t="s">
        <v>4782</v>
      </c>
      <c r="E2395" s="51" t="s">
        <v>4783</v>
      </c>
      <c r="F2395" s="52">
        <v>3.2290999999999999</v>
      </c>
      <c r="G2395" s="52">
        <v>0</v>
      </c>
      <c r="H2395" s="52">
        <v>0</v>
      </c>
      <c r="I2395" s="52">
        <v>0</v>
      </c>
      <c r="J2395" s="51">
        <v>0</v>
      </c>
      <c r="K2395" s="54">
        <v>0</v>
      </c>
      <c r="L2395" s="51">
        <v>0</v>
      </c>
      <c r="M2395" s="54">
        <v>0</v>
      </c>
      <c r="N2395" s="53">
        <f t="shared" si="74"/>
        <v>0</v>
      </c>
      <c r="O2395" s="53">
        <f t="shared" si="75"/>
        <v>0</v>
      </c>
    </row>
    <row r="2396" spans="1:15" x14ac:dyDescent="0.2">
      <c r="A2396" s="51" t="s">
        <v>3567</v>
      </c>
      <c r="B2396" s="51" t="s">
        <v>3568</v>
      </c>
      <c r="C2396" s="51" t="s">
        <v>67</v>
      </c>
      <c r="D2396" s="51" t="s">
        <v>3104</v>
      </c>
      <c r="E2396" s="51" t="s">
        <v>3103</v>
      </c>
      <c r="F2396" s="52">
        <v>12661.59336137235</v>
      </c>
      <c r="G2396" s="52">
        <v>27145</v>
      </c>
      <c r="H2396" s="52">
        <v>9320</v>
      </c>
      <c r="I2396" s="52">
        <v>36465</v>
      </c>
      <c r="J2396" s="51">
        <v>3</v>
      </c>
      <c r="K2396" s="54">
        <v>30000</v>
      </c>
      <c r="L2396" s="51">
        <v>0</v>
      </c>
      <c r="M2396" s="54">
        <v>0</v>
      </c>
      <c r="N2396" s="53">
        <f t="shared" si="74"/>
        <v>30000</v>
      </c>
      <c r="O2396" s="53">
        <f t="shared" si="75"/>
        <v>-30000</v>
      </c>
    </row>
    <row r="2397" spans="1:15" x14ac:dyDescent="0.2">
      <c r="A2397" s="51" t="s">
        <v>3567</v>
      </c>
      <c r="B2397" s="51" t="s">
        <v>3568</v>
      </c>
      <c r="C2397" s="51" t="s">
        <v>55</v>
      </c>
      <c r="D2397" s="51" t="s">
        <v>3172</v>
      </c>
      <c r="E2397" s="51" t="s">
        <v>3171</v>
      </c>
      <c r="F2397" s="52">
        <v>2.6304177779580198</v>
      </c>
      <c r="G2397" s="52">
        <v>12594</v>
      </c>
      <c r="H2397" s="52">
        <v>5464</v>
      </c>
      <c r="I2397" s="52">
        <v>18058</v>
      </c>
      <c r="J2397" s="51">
        <v>1</v>
      </c>
      <c r="K2397" s="54">
        <v>5000</v>
      </c>
      <c r="L2397" s="51">
        <v>0</v>
      </c>
      <c r="M2397" s="54">
        <v>0</v>
      </c>
      <c r="N2397" s="53">
        <f t="shared" si="74"/>
        <v>5000</v>
      </c>
      <c r="O2397" s="53">
        <f t="shared" si="75"/>
        <v>-5000</v>
      </c>
    </row>
    <row r="2398" spans="1:15" x14ac:dyDescent="0.2">
      <c r="A2398" s="51" t="s">
        <v>3567</v>
      </c>
      <c r="B2398" s="51" t="s">
        <v>3568</v>
      </c>
      <c r="C2398" s="51" t="s">
        <v>3653</v>
      </c>
      <c r="D2398" s="51" t="s">
        <v>4788</v>
      </c>
      <c r="E2398" s="51" t="s">
        <v>4042</v>
      </c>
      <c r="F2398" s="52">
        <v>5.5107022140247998E-3</v>
      </c>
      <c r="G2398" s="52">
        <v>0</v>
      </c>
      <c r="H2398" s="52">
        <v>0</v>
      </c>
      <c r="I2398" s="52">
        <v>0</v>
      </c>
      <c r="J2398" s="51">
        <v>0</v>
      </c>
      <c r="K2398" s="54">
        <v>0</v>
      </c>
      <c r="L2398" s="51">
        <v>0</v>
      </c>
      <c r="M2398" s="54">
        <v>0</v>
      </c>
      <c r="N2398" s="53">
        <f t="shared" si="74"/>
        <v>0</v>
      </c>
      <c r="O2398" s="53">
        <f t="shared" si="75"/>
        <v>0</v>
      </c>
    </row>
    <row r="2399" spans="1:15" x14ac:dyDescent="0.2">
      <c r="A2399" s="51" t="s">
        <v>3567</v>
      </c>
      <c r="B2399" s="51" t="s">
        <v>3568</v>
      </c>
      <c r="C2399" s="51" t="s">
        <v>69</v>
      </c>
      <c r="D2399" s="51" t="s">
        <v>2700</v>
      </c>
      <c r="E2399" s="51" t="s">
        <v>2341</v>
      </c>
      <c r="F2399" s="52">
        <v>12154.4342</v>
      </c>
      <c r="G2399" s="52">
        <v>23480</v>
      </c>
      <c r="H2399" s="52">
        <v>15330</v>
      </c>
      <c r="I2399" s="52">
        <v>38810</v>
      </c>
      <c r="J2399" s="51">
        <v>1</v>
      </c>
      <c r="K2399" s="54">
        <v>5000</v>
      </c>
      <c r="L2399" s="51">
        <v>0</v>
      </c>
      <c r="M2399" s="54">
        <v>0</v>
      </c>
      <c r="N2399" s="53">
        <f t="shared" si="74"/>
        <v>5000</v>
      </c>
      <c r="O2399" s="53">
        <f t="shared" si="75"/>
        <v>-5000</v>
      </c>
    </row>
    <row r="2400" spans="1:15" x14ac:dyDescent="0.2">
      <c r="A2400" s="51" t="s">
        <v>3567</v>
      </c>
      <c r="B2400" s="51" t="s">
        <v>3568</v>
      </c>
      <c r="C2400" s="51" t="s">
        <v>72</v>
      </c>
      <c r="D2400" s="51" t="s">
        <v>2578</v>
      </c>
      <c r="E2400" s="51" t="s">
        <v>2577</v>
      </c>
      <c r="F2400" s="52">
        <v>4112.9969955867118</v>
      </c>
      <c r="G2400" s="52">
        <v>0</v>
      </c>
      <c r="H2400" s="52">
        <v>16000</v>
      </c>
      <c r="I2400" s="52">
        <v>16000</v>
      </c>
      <c r="J2400" s="51">
        <v>0</v>
      </c>
      <c r="K2400" s="54">
        <v>0</v>
      </c>
      <c r="L2400" s="51">
        <v>1</v>
      </c>
      <c r="M2400" s="54">
        <v>18000</v>
      </c>
      <c r="N2400" s="53">
        <f t="shared" si="74"/>
        <v>-18000</v>
      </c>
      <c r="O2400" s="53">
        <f t="shared" si="75"/>
        <v>18000</v>
      </c>
    </row>
    <row r="2401" spans="1:15" x14ac:dyDescent="0.2">
      <c r="A2401" s="51" t="s">
        <v>3567</v>
      </c>
      <c r="B2401" s="51" t="s">
        <v>3568</v>
      </c>
      <c r="C2401" s="51" t="s">
        <v>85</v>
      </c>
      <c r="D2401" s="51" t="s">
        <v>2759</v>
      </c>
      <c r="E2401" s="51" t="s">
        <v>2758</v>
      </c>
      <c r="F2401" s="52">
        <v>7746.9279867664673</v>
      </c>
      <c r="G2401" s="52">
        <v>350</v>
      </c>
      <c r="H2401" s="52">
        <v>10600</v>
      </c>
      <c r="I2401" s="52">
        <v>10950</v>
      </c>
      <c r="J2401" s="51">
        <v>0</v>
      </c>
      <c r="K2401" s="54">
        <v>0</v>
      </c>
      <c r="L2401" s="51">
        <v>1</v>
      </c>
      <c r="M2401" s="54">
        <v>10000</v>
      </c>
      <c r="N2401" s="53">
        <f t="shared" si="74"/>
        <v>-10000</v>
      </c>
      <c r="O2401" s="53">
        <f t="shared" si="75"/>
        <v>10000</v>
      </c>
    </row>
    <row r="2402" spans="1:15" x14ac:dyDescent="0.2">
      <c r="A2402" s="51" t="s">
        <v>3567</v>
      </c>
      <c r="B2402" s="51" t="s">
        <v>3568</v>
      </c>
      <c r="C2402" s="51" t="s">
        <v>55</v>
      </c>
      <c r="D2402" s="51" t="s">
        <v>309</v>
      </c>
      <c r="E2402" s="51" t="s">
        <v>308</v>
      </c>
      <c r="F2402" s="52">
        <v>25001.960152173899</v>
      </c>
      <c r="G2402" s="52">
        <v>12400</v>
      </c>
      <c r="H2402" s="52">
        <v>20160</v>
      </c>
      <c r="I2402" s="52">
        <v>32560</v>
      </c>
      <c r="J2402" s="51">
        <v>2</v>
      </c>
      <c r="K2402" s="54">
        <v>10000</v>
      </c>
      <c r="L2402" s="51">
        <v>0</v>
      </c>
      <c r="M2402" s="54">
        <v>0</v>
      </c>
      <c r="N2402" s="53">
        <f t="shared" si="74"/>
        <v>10000</v>
      </c>
      <c r="O2402" s="53">
        <f t="shared" si="75"/>
        <v>-10000</v>
      </c>
    </row>
    <row r="2403" spans="1:15" x14ac:dyDescent="0.2">
      <c r="A2403" s="51" t="s">
        <v>3567</v>
      </c>
      <c r="B2403" s="51" t="s">
        <v>3568</v>
      </c>
      <c r="C2403" s="51" t="s">
        <v>72</v>
      </c>
      <c r="D2403" s="51" t="s">
        <v>1142</v>
      </c>
      <c r="E2403" s="51" t="s">
        <v>1141</v>
      </c>
      <c r="F2403" s="52">
        <v>281.94967027219673</v>
      </c>
      <c r="G2403" s="52">
        <v>500</v>
      </c>
      <c r="H2403" s="52">
        <v>10000</v>
      </c>
      <c r="I2403" s="52">
        <v>10500</v>
      </c>
      <c r="J2403" s="51">
        <v>0</v>
      </c>
      <c r="K2403" s="54">
        <v>0</v>
      </c>
      <c r="L2403" s="51">
        <v>1</v>
      </c>
      <c r="M2403" s="54">
        <v>10000</v>
      </c>
      <c r="N2403" s="53">
        <f t="shared" si="74"/>
        <v>-10000</v>
      </c>
      <c r="O2403" s="53">
        <f t="shared" si="75"/>
        <v>10000</v>
      </c>
    </row>
    <row r="2404" spans="1:15" x14ac:dyDescent="0.2">
      <c r="A2404" s="51" t="s">
        <v>3567</v>
      </c>
      <c r="B2404" s="51" t="s">
        <v>3568</v>
      </c>
      <c r="C2404" s="51" t="s">
        <v>83</v>
      </c>
      <c r="D2404" s="51" t="s">
        <v>1397</v>
      </c>
      <c r="E2404" s="51" t="s">
        <v>1396</v>
      </c>
      <c r="F2404" s="52">
        <v>1239.2055</v>
      </c>
      <c r="G2404" s="52">
        <v>4300</v>
      </c>
      <c r="H2404" s="52">
        <v>20230</v>
      </c>
      <c r="I2404" s="52">
        <v>24530</v>
      </c>
      <c r="J2404" s="51">
        <v>1</v>
      </c>
      <c r="K2404" s="54">
        <v>5000</v>
      </c>
      <c r="L2404" s="51">
        <v>1</v>
      </c>
      <c r="M2404" s="54">
        <v>35000</v>
      </c>
      <c r="N2404" s="53">
        <f t="shared" si="74"/>
        <v>-30000</v>
      </c>
      <c r="O2404" s="53">
        <f t="shared" si="75"/>
        <v>30000</v>
      </c>
    </row>
    <row r="2405" spans="1:15" x14ac:dyDescent="0.2">
      <c r="A2405" s="51" t="s">
        <v>3567</v>
      </c>
      <c r="B2405" s="51" t="s">
        <v>3568</v>
      </c>
      <c r="C2405" s="51" t="s">
        <v>3666</v>
      </c>
      <c r="D2405" s="51" t="s">
        <v>4804</v>
      </c>
      <c r="E2405" s="51" t="s">
        <v>4805</v>
      </c>
      <c r="F2405" s="52">
        <v>14.963111963894979</v>
      </c>
      <c r="G2405" s="52">
        <v>0</v>
      </c>
      <c r="H2405" s="52">
        <v>0</v>
      </c>
      <c r="I2405" s="52">
        <v>0</v>
      </c>
      <c r="J2405" s="51">
        <v>0</v>
      </c>
      <c r="K2405" s="54">
        <v>0</v>
      </c>
      <c r="L2405" s="51">
        <v>0</v>
      </c>
      <c r="M2405" s="54">
        <v>0</v>
      </c>
      <c r="N2405" s="53">
        <f t="shared" si="74"/>
        <v>0</v>
      </c>
      <c r="O2405" s="53">
        <f t="shared" si="75"/>
        <v>0</v>
      </c>
    </row>
    <row r="2406" spans="1:15" x14ac:dyDescent="0.2">
      <c r="A2406" s="51" t="s">
        <v>3567</v>
      </c>
      <c r="B2406" s="51" t="s">
        <v>3568</v>
      </c>
      <c r="C2406" s="51" t="s">
        <v>69</v>
      </c>
      <c r="D2406" s="51" t="s">
        <v>4810</v>
      </c>
      <c r="E2406" s="51" t="s">
        <v>4811</v>
      </c>
      <c r="F2406" s="52">
        <v>403.25603224999998</v>
      </c>
      <c r="G2406" s="52">
        <v>0</v>
      </c>
      <c r="H2406" s="52">
        <v>0</v>
      </c>
      <c r="I2406" s="52">
        <v>0</v>
      </c>
      <c r="J2406" s="51">
        <v>0</v>
      </c>
      <c r="K2406" s="54">
        <v>0</v>
      </c>
      <c r="L2406" s="51">
        <v>0</v>
      </c>
      <c r="M2406" s="54">
        <v>0</v>
      </c>
      <c r="N2406" s="53">
        <f t="shared" si="74"/>
        <v>0</v>
      </c>
      <c r="O2406" s="53">
        <f t="shared" si="75"/>
        <v>0</v>
      </c>
    </row>
    <row r="2407" spans="1:15" x14ac:dyDescent="0.2">
      <c r="A2407" s="51" t="s">
        <v>3567</v>
      </c>
      <c r="B2407" s="51" t="s">
        <v>3568</v>
      </c>
      <c r="C2407" s="51" t="s">
        <v>52</v>
      </c>
      <c r="D2407" s="51" t="s">
        <v>845</v>
      </c>
      <c r="E2407" s="51" t="s">
        <v>844</v>
      </c>
      <c r="F2407" s="52">
        <v>22.28585</v>
      </c>
      <c r="G2407" s="52">
        <v>0</v>
      </c>
      <c r="H2407" s="52">
        <v>0</v>
      </c>
      <c r="I2407" s="52">
        <v>0</v>
      </c>
      <c r="J2407" s="51">
        <v>0</v>
      </c>
      <c r="K2407" s="54">
        <v>0</v>
      </c>
      <c r="L2407" s="51">
        <v>0</v>
      </c>
      <c r="M2407" s="54">
        <v>0</v>
      </c>
      <c r="N2407" s="53">
        <f t="shared" si="74"/>
        <v>0</v>
      </c>
      <c r="O2407" s="53">
        <f t="shared" si="75"/>
        <v>0</v>
      </c>
    </row>
    <row r="2408" spans="1:15" x14ac:dyDescent="0.2">
      <c r="A2408" s="51" t="s">
        <v>3567</v>
      </c>
      <c r="B2408" s="51" t="s">
        <v>3568</v>
      </c>
      <c r="C2408" s="51" t="s">
        <v>73</v>
      </c>
      <c r="D2408" s="51" t="s">
        <v>1192</v>
      </c>
      <c r="E2408" s="51" t="s">
        <v>1191</v>
      </c>
      <c r="F2408" s="52">
        <v>249.5626818412324</v>
      </c>
      <c r="G2408" s="52">
        <v>2030</v>
      </c>
      <c r="H2408" s="52">
        <v>6890</v>
      </c>
      <c r="I2408" s="52">
        <v>8920</v>
      </c>
      <c r="J2408" s="51">
        <v>1</v>
      </c>
      <c r="K2408" s="54">
        <v>5000</v>
      </c>
      <c r="L2408" s="51">
        <v>1</v>
      </c>
      <c r="M2408" s="54">
        <v>10000</v>
      </c>
      <c r="N2408" s="53">
        <f t="shared" si="74"/>
        <v>-5000</v>
      </c>
      <c r="O2408" s="53">
        <f t="shared" si="75"/>
        <v>5000</v>
      </c>
    </row>
    <row r="2409" spans="1:15" x14ac:dyDescent="0.2">
      <c r="A2409" s="51" t="s">
        <v>3567</v>
      </c>
      <c r="B2409" s="51" t="s">
        <v>3568</v>
      </c>
      <c r="C2409" s="51" t="s">
        <v>92</v>
      </c>
      <c r="D2409" s="51" t="s">
        <v>1944</v>
      </c>
      <c r="E2409" s="51" t="s">
        <v>1943</v>
      </c>
      <c r="F2409" s="52">
        <v>7902.8456999999999</v>
      </c>
      <c r="G2409" s="52">
        <v>26600</v>
      </c>
      <c r="H2409" s="52">
        <v>21280</v>
      </c>
      <c r="I2409" s="52">
        <v>47880</v>
      </c>
      <c r="J2409" s="51">
        <v>1</v>
      </c>
      <c r="K2409" s="54">
        <v>5000</v>
      </c>
      <c r="L2409" s="51">
        <v>0</v>
      </c>
      <c r="M2409" s="54">
        <v>0</v>
      </c>
      <c r="N2409" s="53">
        <f t="shared" si="74"/>
        <v>5000</v>
      </c>
      <c r="O2409" s="53">
        <f t="shared" si="75"/>
        <v>-5000</v>
      </c>
    </row>
    <row r="2410" spans="1:15" x14ac:dyDescent="0.2">
      <c r="A2410" s="51" t="s">
        <v>3567</v>
      </c>
      <c r="B2410" s="51" t="s">
        <v>3568</v>
      </c>
      <c r="C2410" s="51" t="s">
        <v>60</v>
      </c>
      <c r="D2410" s="51" t="s">
        <v>2348</v>
      </c>
      <c r="E2410" s="51" t="s">
        <v>2347</v>
      </c>
      <c r="F2410" s="52">
        <v>29.239100000000001</v>
      </c>
      <c r="G2410" s="52">
        <v>0</v>
      </c>
      <c r="H2410" s="52">
        <v>0</v>
      </c>
      <c r="I2410" s="52">
        <v>0</v>
      </c>
      <c r="J2410" s="51">
        <v>0</v>
      </c>
      <c r="K2410" s="54">
        <v>0</v>
      </c>
      <c r="L2410" s="51">
        <v>0</v>
      </c>
      <c r="M2410" s="54">
        <v>0</v>
      </c>
      <c r="N2410" s="53">
        <f t="shared" si="74"/>
        <v>0</v>
      </c>
      <c r="O2410" s="53">
        <f t="shared" si="75"/>
        <v>0</v>
      </c>
    </row>
    <row r="2411" spans="1:15" x14ac:dyDescent="0.2">
      <c r="A2411" s="51" t="s">
        <v>3567</v>
      </c>
      <c r="B2411" s="51" t="s">
        <v>3568</v>
      </c>
      <c r="C2411" s="51" t="s">
        <v>77</v>
      </c>
      <c r="D2411" s="51" t="s">
        <v>3043</v>
      </c>
      <c r="E2411" s="51" t="s">
        <v>3042</v>
      </c>
      <c r="F2411" s="52">
        <v>958.08274978732902</v>
      </c>
      <c r="G2411" s="52">
        <v>2300</v>
      </c>
      <c r="H2411" s="52">
        <v>6412</v>
      </c>
      <c r="I2411" s="52">
        <v>8712</v>
      </c>
      <c r="J2411" s="51">
        <v>0</v>
      </c>
      <c r="K2411" s="54">
        <v>0</v>
      </c>
      <c r="L2411" s="51">
        <v>1</v>
      </c>
      <c r="M2411" s="54">
        <v>4000</v>
      </c>
    </row>
    <row r="2412" spans="1:15" x14ac:dyDescent="0.2">
      <c r="A2412" s="51" t="s">
        <v>3567</v>
      </c>
      <c r="B2412" s="51" t="s">
        <v>3568</v>
      </c>
      <c r="C2412" s="51" t="s">
        <v>63</v>
      </c>
      <c r="D2412" s="51" t="s">
        <v>3049</v>
      </c>
      <c r="E2412" s="51" t="s">
        <v>3048</v>
      </c>
      <c r="F2412" s="52">
        <v>147028.91628428971</v>
      </c>
      <c r="G2412" s="52">
        <v>12680</v>
      </c>
      <c r="H2412" s="52">
        <v>45830</v>
      </c>
      <c r="I2412" s="52">
        <v>58510</v>
      </c>
      <c r="J2412" s="51">
        <v>0</v>
      </c>
      <c r="K2412" s="54">
        <v>0</v>
      </c>
      <c r="L2412" s="51">
        <v>1</v>
      </c>
      <c r="M2412" s="54">
        <v>50000</v>
      </c>
    </row>
    <row r="2413" spans="1:15" x14ac:dyDescent="0.2">
      <c r="A2413" s="51" t="s">
        <v>3567</v>
      </c>
      <c r="B2413" s="51" t="s">
        <v>3568</v>
      </c>
      <c r="C2413" s="51" t="s">
        <v>53</v>
      </c>
      <c r="D2413" s="51" t="s">
        <v>3335</v>
      </c>
      <c r="E2413" s="51" t="s">
        <v>3334</v>
      </c>
      <c r="F2413" s="52">
        <v>51.44455</v>
      </c>
      <c r="G2413" s="52">
        <v>9830</v>
      </c>
      <c r="H2413" s="52">
        <v>500</v>
      </c>
      <c r="I2413" s="52">
        <v>10330</v>
      </c>
      <c r="J2413" s="51">
        <v>1</v>
      </c>
      <c r="K2413" s="54">
        <v>10000</v>
      </c>
      <c r="L2413" s="51">
        <v>0</v>
      </c>
      <c r="M2413" s="54">
        <v>0</v>
      </c>
    </row>
    <row r="2414" spans="1:15" x14ac:dyDescent="0.2">
      <c r="A2414" s="51" t="s">
        <v>3567</v>
      </c>
      <c r="B2414" s="51" t="s">
        <v>3568</v>
      </c>
      <c r="C2414" s="51" t="s">
        <v>56</v>
      </c>
      <c r="D2414" s="51" t="s">
        <v>226</v>
      </c>
      <c r="E2414" s="51" t="s">
        <v>225</v>
      </c>
      <c r="F2414" s="52">
        <v>3.9764014051306389</v>
      </c>
      <c r="G2414" s="52">
        <v>0</v>
      </c>
      <c r="H2414" s="52">
        <v>0</v>
      </c>
      <c r="I2414" s="52">
        <v>0</v>
      </c>
      <c r="J2414" s="51">
        <v>0</v>
      </c>
      <c r="K2414" s="54">
        <v>0</v>
      </c>
      <c r="L2414" s="51">
        <v>0</v>
      </c>
      <c r="M2414" s="54">
        <v>0</v>
      </c>
    </row>
    <row r="2415" spans="1:15" x14ac:dyDescent="0.2">
      <c r="A2415" s="51" t="s">
        <v>3567</v>
      </c>
      <c r="B2415" s="51" t="s">
        <v>3568</v>
      </c>
      <c r="C2415" s="51" t="s">
        <v>3944</v>
      </c>
      <c r="D2415" s="51" t="s">
        <v>4793</v>
      </c>
      <c r="E2415" s="51" t="s">
        <v>4794</v>
      </c>
      <c r="F2415" s="52">
        <v>4.7153999999999998</v>
      </c>
      <c r="G2415" s="52">
        <v>0</v>
      </c>
      <c r="H2415" s="52">
        <v>0</v>
      </c>
      <c r="I2415" s="52">
        <v>0</v>
      </c>
      <c r="J2415" s="51">
        <v>0</v>
      </c>
      <c r="K2415" s="54">
        <v>0</v>
      </c>
      <c r="L2415" s="51">
        <v>0</v>
      </c>
      <c r="M2415" s="54">
        <v>0</v>
      </c>
    </row>
    <row r="2416" spans="1:15" x14ac:dyDescent="0.2">
      <c r="A2416" s="51" t="s">
        <v>3567</v>
      </c>
      <c r="B2416" s="51" t="s">
        <v>3568</v>
      </c>
      <c r="C2416" s="51" t="s">
        <v>85</v>
      </c>
      <c r="D2416" s="51" t="s">
        <v>1565</v>
      </c>
      <c r="E2416" s="51" t="s">
        <v>1564</v>
      </c>
      <c r="G2416" s="52">
        <v>0</v>
      </c>
      <c r="H2416" s="52">
        <v>0</v>
      </c>
      <c r="I2416" s="52">
        <v>0</v>
      </c>
      <c r="J2416" s="51">
        <v>0</v>
      </c>
      <c r="K2416" s="54">
        <v>0</v>
      </c>
      <c r="L2416" s="51">
        <v>0</v>
      </c>
      <c r="M2416" s="54">
        <v>0</v>
      </c>
    </row>
    <row r="2417" spans="1:13" x14ac:dyDescent="0.2">
      <c r="A2417" s="51" t="s">
        <v>3567</v>
      </c>
      <c r="B2417" s="51" t="s">
        <v>3568</v>
      </c>
      <c r="C2417" s="51" t="s">
        <v>60</v>
      </c>
      <c r="D2417" s="51" t="s">
        <v>4812</v>
      </c>
      <c r="E2417" s="51" t="s">
        <v>4813</v>
      </c>
      <c r="G2417" s="52">
        <v>0</v>
      </c>
      <c r="H2417" s="52">
        <v>0</v>
      </c>
      <c r="I2417" s="52">
        <v>0</v>
      </c>
      <c r="J2417" s="51">
        <v>0</v>
      </c>
      <c r="K2417" s="54">
        <v>0</v>
      </c>
      <c r="L2417" s="51">
        <v>0</v>
      </c>
      <c r="M2417" s="54">
        <v>0</v>
      </c>
    </row>
    <row r="2418" spans="1:13" x14ac:dyDescent="0.2">
      <c r="A2418" s="51" t="s">
        <v>3567</v>
      </c>
      <c r="B2418" s="51" t="s">
        <v>3568</v>
      </c>
      <c r="C2418" s="51" t="s">
        <v>60</v>
      </c>
      <c r="D2418" s="51" t="s">
        <v>4814</v>
      </c>
      <c r="E2418" s="51" t="s">
        <v>4815</v>
      </c>
      <c r="G2418" s="52">
        <v>0</v>
      </c>
      <c r="H2418" s="52">
        <v>0</v>
      </c>
      <c r="I2418" s="52">
        <v>0</v>
      </c>
      <c r="J2418" s="51">
        <v>0</v>
      </c>
      <c r="K2418" s="54">
        <v>0</v>
      </c>
      <c r="L2418" s="51">
        <v>0</v>
      </c>
      <c r="M2418" s="54">
        <v>0</v>
      </c>
    </row>
    <row r="2419" spans="1:13" x14ac:dyDescent="0.2">
      <c r="A2419" s="51" t="s">
        <v>3567</v>
      </c>
      <c r="C2419" s="51" t="s">
        <v>59</v>
      </c>
      <c r="G2419" s="52">
        <v>0</v>
      </c>
      <c r="H2419" s="52">
        <v>0</v>
      </c>
      <c r="I2419" s="52">
        <v>0</v>
      </c>
      <c r="J2419" s="51">
        <v>0</v>
      </c>
      <c r="K2419" s="54">
        <v>0</v>
      </c>
      <c r="L2419" s="51">
        <v>0</v>
      </c>
      <c r="M2419" s="54">
        <v>0</v>
      </c>
    </row>
    <row r="2420" spans="1:13" x14ac:dyDescent="0.2">
      <c r="A2420" s="51" t="s">
        <v>3567</v>
      </c>
      <c r="C2420" s="51" t="s">
        <v>68</v>
      </c>
      <c r="G2420" s="52">
        <v>0</v>
      </c>
      <c r="H2420" s="52">
        <v>0</v>
      </c>
      <c r="I2420" s="52">
        <v>0</v>
      </c>
      <c r="J2420" s="51">
        <v>0</v>
      </c>
      <c r="K2420" s="54">
        <v>0</v>
      </c>
      <c r="L2420" s="51">
        <v>0</v>
      </c>
      <c r="M2420" s="54">
        <v>0</v>
      </c>
    </row>
    <row r="2421" spans="1:13" x14ac:dyDescent="0.2">
      <c r="A2421" s="51" t="s">
        <v>3567</v>
      </c>
      <c r="C2421" s="51" t="s">
        <v>85</v>
      </c>
      <c r="G2421" s="52">
        <v>0</v>
      </c>
      <c r="H2421" s="52">
        <v>0</v>
      </c>
      <c r="I2421" s="52">
        <v>0</v>
      </c>
      <c r="J2421" s="51">
        <v>0</v>
      </c>
      <c r="K2421" s="54">
        <v>0</v>
      </c>
      <c r="L2421" s="51">
        <v>0</v>
      </c>
      <c r="M2421" s="5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DSO</vt:lpstr>
      <vt:lpstr>Summary</vt:lpstr>
      <vt:lpstr>DSS Summary</vt:lpstr>
      <vt:lpstr>RAW_File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2026-01-19T12:47:29Z</dcterms:modified>
</cp:coreProperties>
</file>