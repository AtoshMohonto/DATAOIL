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DH\"/>
    </mc:Choice>
  </mc:AlternateContent>
  <xr:revisionPtr revIDLastSave="0" documentId="13_ncr:1_{C93A8E34-612D-46EC-8A43-AC9F33504B86}" xr6:coauthVersionLast="47" xr6:coauthVersionMax="47" xr10:uidLastSave="{00000000-0000-0000-0000-000000000000}"/>
  <bookViews>
    <workbookView xWindow="-120" yWindow="-120" windowWidth="20730" windowHeight="11160" tabRatio="603" xr2:uid="{00000000-000D-0000-FFFF-FFFF00000000}"/>
  </bookViews>
  <sheets>
    <sheet name="TA-DA-Daily" sheetId="27" r:id="rId1"/>
    <sheet name="TA-Monthly" sheetId="28" r:id="rId2"/>
    <sheet name="DA-Monthly" sheetId="29" r:id="rId3"/>
    <sheet name="Attend" sheetId="3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27" l="1"/>
  <c r="J20" i="27"/>
  <c r="J33" i="27"/>
  <c r="AI47" i="29" l="1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AJ47" i="29" s="1"/>
  <c r="AJ46" i="29"/>
  <c r="AJ45" i="29"/>
  <c r="AJ44" i="29"/>
  <c r="AJ43" i="29"/>
  <c r="AJ42" i="29"/>
  <c r="AJ41" i="29"/>
  <c r="AJ40" i="29"/>
  <c r="AJ39" i="29"/>
  <c r="AJ38" i="29"/>
  <c r="AJ37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/>
  <c r="AJ7" i="29"/>
  <c r="AJ6" i="29"/>
  <c r="AD47" i="28"/>
  <c r="W47" i="28"/>
  <c r="P47" i="28"/>
  <c r="I47" i="28"/>
  <c r="H47" i="28"/>
  <c r="G47" i="28"/>
  <c r="F47" i="28"/>
  <c r="AJ46" i="28"/>
  <c r="AJ45" i="28"/>
  <c r="AJ44" i="28"/>
  <c r="AJ43" i="28"/>
  <c r="AJ42" i="28"/>
  <c r="AJ41" i="28"/>
  <c r="AJ40" i="28"/>
  <c r="AJ39" i="28"/>
  <c r="AJ38" i="28"/>
  <c r="AJ37" i="28"/>
  <c r="AJ36" i="28"/>
  <c r="AJ35" i="28"/>
  <c r="AJ34" i="28"/>
  <c r="AJ33" i="28"/>
  <c r="AJ32" i="28"/>
  <c r="AJ31" i="28"/>
  <c r="AJ30" i="28"/>
  <c r="AJ29" i="28"/>
  <c r="AJ28" i="28"/>
  <c r="AJ27" i="28"/>
  <c r="AJ26" i="28"/>
  <c r="AJ25" i="28"/>
  <c r="AJ24" i="28"/>
  <c r="AJ23" i="28"/>
  <c r="AJ22" i="28"/>
  <c r="AJ21" i="28"/>
  <c r="AJ20" i="28"/>
  <c r="AJ19" i="28"/>
  <c r="AJ18" i="28"/>
  <c r="AJ17" i="28"/>
  <c r="AJ16" i="28"/>
  <c r="AJ15" i="28"/>
  <c r="AJ14" i="28"/>
  <c r="AJ13" i="28"/>
  <c r="AJ12" i="28"/>
  <c r="AJ11" i="28"/>
  <c r="AJ10" i="28"/>
  <c r="AJ9" i="28"/>
  <c r="AJ8" i="28"/>
  <c r="AJ7" i="28"/>
  <c r="AJ6" i="28"/>
  <c r="H46" i="27"/>
  <c r="H45" i="27"/>
  <c r="J45" i="27" s="1"/>
  <c r="H44" i="27"/>
  <c r="H43" i="27"/>
  <c r="H42" i="27"/>
  <c r="H41" i="27"/>
  <c r="J41" i="27" s="1"/>
  <c r="H40" i="27"/>
  <c r="H39" i="27"/>
  <c r="H38" i="27"/>
  <c r="J38" i="27" s="1"/>
  <c r="H37" i="27"/>
  <c r="J37" i="27" s="1"/>
  <c r="H36" i="27"/>
  <c r="H35" i="27"/>
  <c r="J35" i="27" s="1"/>
  <c r="H34" i="27"/>
  <c r="J34" i="27" s="1"/>
  <c r="I33" i="27"/>
  <c r="H32" i="27"/>
  <c r="J32" i="27" s="1"/>
  <c r="H31" i="27"/>
  <c r="J31" i="27" s="1"/>
  <c r="H30" i="27"/>
  <c r="J30" i="27" s="1"/>
  <c r="H29" i="27"/>
  <c r="H28" i="27"/>
  <c r="H27" i="27"/>
  <c r="H26" i="27"/>
  <c r="J26" i="27" s="1"/>
  <c r="H25" i="27"/>
  <c r="H24" i="27"/>
  <c r="J24" i="27" s="1"/>
  <c r="H23" i="27"/>
  <c r="H22" i="27"/>
  <c r="J22" i="27" s="1"/>
  <c r="H21" i="27"/>
  <c r="I20" i="27"/>
  <c r="H19" i="27"/>
  <c r="J19" i="27" s="1"/>
  <c r="H18" i="27"/>
  <c r="H17" i="27"/>
  <c r="J17" i="27" s="1"/>
  <c r="H16" i="27"/>
  <c r="H15" i="27"/>
  <c r="J15" i="27" s="1"/>
  <c r="I14" i="27"/>
  <c r="H13" i="27"/>
  <c r="H12" i="27"/>
  <c r="J12" i="27" s="1"/>
  <c r="H11" i="27"/>
  <c r="H10" i="27"/>
  <c r="H9" i="27"/>
  <c r="H8" i="27"/>
  <c r="J8" i="27" s="1"/>
  <c r="P7" i="27"/>
  <c r="H7" i="27"/>
  <c r="J7" i="27" s="1"/>
  <c r="P6" i="27"/>
  <c r="H6" i="27"/>
  <c r="J6" i="27" s="1"/>
  <c r="P5" i="27"/>
  <c r="H5" i="27"/>
  <c r="J5" i="27" s="1"/>
  <c r="I29" i="27" l="1"/>
  <c r="J29" i="27"/>
  <c r="I10" i="27"/>
  <c r="J10" i="27"/>
  <c r="I18" i="27"/>
  <c r="J18" i="27"/>
  <c r="I42" i="27"/>
  <c r="J42" i="27"/>
  <c r="I13" i="27"/>
  <c r="J13" i="27"/>
  <c r="I25" i="27"/>
  <c r="J25" i="27"/>
  <c r="I11" i="27"/>
  <c r="J11" i="27"/>
  <c r="I23" i="27"/>
  <c r="J23" i="27"/>
  <c r="I27" i="27"/>
  <c r="J27" i="27"/>
  <c r="I39" i="27"/>
  <c r="J39" i="27"/>
  <c r="I43" i="27"/>
  <c r="J43" i="27"/>
  <c r="I9" i="27"/>
  <c r="J9" i="27"/>
  <c r="I21" i="27"/>
  <c r="J21" i="27"/>
  <c r="I16" i="27"/>
  <c r="J16" i="27"/>
  <c r="I28" i="27"/>
  <c r="J28" i="27"/>
  <c r="I36" i="27"/>
  <c r="J36" i="27"/>
  <c r="I40" i="27"/>
  <c r="J40" i="27"/>
  <c r="I44" i="27"/>
  <c r="J44" i="27"/>
  <c r="AJ47" i="28"/>
  <c r="I45" i="27"/>
  <c r="I35" i="27"/>
  <c r="I32" i="27"/>
  <c r="I24" i="27"/>
  <c r="I17" i="27"/>
  <c r="I31" i="27"/>
  <c r="I34" i="27"/>
  <c r="I38" i="27"/>
  <c r="I5" i="27"/>
  <c r="I6" i="27"/>
  <c r="I7" i="27"/>
  <c r="I8" i="27"/>
  <c r="I12" i="27"/>
  <c r="I15" i="27"/>
  <c r="I19" i="27"/>
  <c r="I22" i="27"/>
  <c r="I26" i="27"/>
  <c r="I30" i="27"/>
  <c r="I37" i="27"/>
  <c r="I41" i="27"/>
  <c r="J46" i="27" l="1"/>
  <c r="I46" i="27"/>
  <c r="K46" i="27" l="1"/>
</calcChain>
</file>

<file path=xl/sharedStrings.xml><?xml version="1.0" encoding="utf-8"?>
<sst xmlns="http://schemas.openxmlformats.org/spreadsheetml/2006/main" count="671" uniqueCount="169">
  <si>
    <t>Month of  April</t>
  </si>
  <si>
    <t>M/S. Sourav Traders</t>
  </si>
  <si>
    <t>SL</t>
  </si>
  <si>
    <t>Employee Name</t>
  </si>
  <si>
    <t>Designation</t>
  </si>
  <si>
    <t>Thana</t>
  </si>
  <si>
    <t>DSO No</t>
  </si>
  <si>
    <t>Start-KM</t>
  </si>
  <si>
    <t>End-KM</t>
  </si>
  <si>
    <t>Total-KM</t>
  </si>
  <si>
    <t>TA-Amount</t>
  </si>
  <si>
    <t>Total Pay</t>
  </si>
  <si>
    <t>Signature</t>
  </si>
  <si>
    <t>Name</t>
  </si>
  <si>
    <t>Oil Price</t>
  </si>
  <si>
    <t>Ave. KM</t>
  </si>
  <si>
    <t>Per KM-H</t>
  </si>
  <si>
    <t>SUJAN SARKER</t>
  </si>
  <si>
    <t>DSO</t>
  </si>
  <si>
    <t>DIMLA</t>
  </si>
  <si>
    <t>01334764529</t>
  </si>
  <si>
    <t>Octen</t>
  </si>
  <si>
    <t>MD. ALAMIN ISLAM</t>
  </si>
  <si>
    <t>01334764530</t>
  </si>
  <si>
    <t>Petrol</t>
  </si>
  <si>
    <t>ABDUR RAHIM</t>
  </si>
  <si>
    <t>01334764531</t>
  </si>
  <si>
    <t>MD. ANZARUL ISLAM</t>
  </si>
  <si>
    <t>01334764532</t>
  </si>
  <si>
    <t>MONI BHUSION ROY</t>
  </si>
  <si>
    <t>01334764533</t>
  </si>
  <si>
    <t>MIRAZUL ISLAM</t>
  </si>
  <si>
    <t>01722005204</t>
  </si>
  <si>
    <t>MD. SAZZADUL ISLAM SOHAG</t>
  </si>
  <si>
    <t>01334764535</t>
  </si>
  <si>
    <t>SELIM SAZZAD</t>
  </si>
  <si>
    <t>01334764538</t>
  </si>
  <si>
    <t>MD. EAMAN ALI</t>
  </si>
  <si>
    <t>01334764527</t>
  </si>
  <si>
    <t>RIMON ROY</t>
  </si>
  <si>
    <t>01334764536</t>
  </si>
  <si>
    <t>SAZZAD ISLAM</t>
  </si>
  <si>
    <t>01334764537</t>
  </si>
  <si>
    <t>SONTOS ROY</t>
  </si>
  <si>
    <t>DOMAR</t>
  </si>
  <si>
    <t>01334764520</t>
  </si>
  <si>
    <t>NAHID</t>
  </si>
  <si>
    <t>01334764519</t>
  </si>
  <si>
    <t>SUMON ISLAM</t>
  </si>
  <si>
    <t>01334764521</t>
  </si>
  <si>
    <t>MD. RUHUL AMIN</t>
  </si>
  <si>
    <t>01334764526</t>
  </si>
  <si>
    <t xml:space="preserve"> MD JAMAL ISLAM</t>
  </si>
  <si>
    <t>01334764522</t>
  </si>
  <si>
    <t>SREE BINDABON CHANDRA</t>
  </si>
  <si>
    <t>01334764523</t>
  </si>
  <si>
    <t>SREE JOTISH CHANDRO ROY</t>
  </si>
  <si>
    <t>01334764524</t>
  </si>
  <si>
    <t>MD. SUMON RAHMAN</t>
  </si>
  <si>
    <t>01334764525</t>
  </si>
  <si>
    <t>PITUS ROY</t>
  </si>
  <si>
    <t>NILPHAMARI SADAR</t>
  </si>
  <si>
    <t>01334764501</t>
  </si>
  <si>
    <t>MD NABAB HOSSAIN</t>
  </si>
  <si>
    <t>01334764509</t>
  </si>
  <si>
    <t>MD. RAKIBUL ISLAM</t>
  </si>
  <si>
    <t>01334764502</t>
  </si>
  <si>
    <t>ASBI KARIM</t>
  </si>
  <si>
    <t>01334764503</t>
  </si>
  <si>
    <t>ABDUS SALAM</t>
  </si>
  <si>
    <t>01334764504</t>
  </si>
  <si>
    <t>NINTANONDO ROY</t>
  </si>
  <si>
    <t>01334764511</t>
  </si>
  <si>
    <t>ABU MUSA</t>
  </si>
  <si>
    <t>01334764505</t>
  </si>
  <si>
    <t>AJHARUL</t>
  </si>
  <si>
    <t>01334764506</t>
  </si>
  <si>
    <t>MD. MASUD RANA CHOWDHURY</t>
  </si>
  <si>
    <t>01334764512</t>
  </si>
  <si>
    <t>MD. SUJAN ISLAM</t>
  </si>
  <si>
    <t>01334764510</t>
  </si>
  <si>
    <t>TANOY SINGHA ROY</t>
  </si>
  <si>
    <t>01334764513</t>
  </si>
  <si>
    <t>MD. GOLAM KIBRIA</t>
  </si>
  <si>
    <t>01334764514</t>
  </si>
  <si>
    <t>BABUL CHANDRO ROY</t>
  </si>
  <si>
    <t>01334764507</t>
  </si>
  <si>
    <t>MD. ABDUL MANNAN</t>
  </si>
  <si>
    <t>01334764515</t>
  </si>
  <si>
    <t>ARUN ROY</t>
  </si>
  <si>
    <t>01334764516</t>
  </si>
  <si>
    <t>GOPEN CHANRO RAY</t>
  </si>
  <si>
    <t>01334764517</t>
  </si>
  <si>
    <t>MD. AZAD ALI</t>
  </si>
  <si>
    <t>01334764508</t>
  </si>
  <si>
    <t>MD. REJAUL ISLAM</t>
  </si>
  <si>
    <t>DSS</t>
  </si>
  <si>
    <t>01710205011</t>
  </si>
  <si>
    <t>SATYENDRONATH ROY</t>
  </si>
  <si>
    <t>01885920789</t>
  </si>
  <si>
    <t>SUMON RAY</t>
  </si>
  <si>
    <t>01737391796</t>
  </si>
  <si>
    <t>MD. AZAM ISLAM</t>
  </si>
  <si>
    <t>01717005888</t>
  </si>
  <si>
    <t>SHUBHASREE ROY</t>
  </si>
  <si>
    <t>DM</t>
  </si>
  <si>
    <t>01748421279</t>
  </si>
  <si>
    <t>Month of  March - 2025</t>
  </si>
  <si>
    <t>Day</t>
  </si>
  <si>
    <t>Tue</t>
  </si>
  <si>
    <t>Wed</t>
  </si>
  <si>
    <t>Thu</t>
  </si>
  <si>
    <t>Fri</t>
  </si>
  <si>
    <t>Sat</t>
  </si>
  <si>
    <t>Sun</t>
  </si>
  <si>
    <t>Mon</t>
  </si>
  <si>
    <t>TOTAL</t>
  </si>
  <si>
    <t>MIRAZUL  ISLAM</t>
  </si>
  <si>
    <t>DA Sheet</t>
  </si>
  <si>
    <t>Month of  April - 2025</t>
  </si>
  <si>
    <t>APON ROY</t>
  </si>
  <si>
    <t>01334764534</t>
  </si>
  <si>
    <t>Month of APRIL - 2025</t>
  </si>
  <si>
    <t>M/S SOURAV TREDARS</t>
  </si>
  <si>
    <t>IN Status</t>
  </si>
  <si>
    <t>OUT Status</t>
  </si>
  <si>
    <t>S/L</t>
  </si>
  <si>
    <t>NAME</t>
  </si>
  <si>
    <t>Time</t>
  </si>
  <si>
    <t>Singnature</t>
  </si>
  <si>
    <t>Md Sazzad Islam</t>
  </si>
  <si>
    <t>Alamin Islam Mohon</t>
  </si>
  <si>
    <t xml:space="preserve">Md Ajaharul </t>
  </si>
  <si>
    <t>Nittanondo Roy</t>
  </si>
  <si>
    <t>Ruhul Amin</t>
  </si>
  <si>
    <t>Golam Kibria</t>
  </si>
  <si>
    <t>Sontos Roy</t>
  </si>
  <si>
    <t>Mannan Islam</t>
  </si>
  <si>
    <t>Bindabon Roy</t>
  </si>
  <si>
    <t>Pitus Roy</t>
  </si>
  <si>
    <t>Abdur Rahim Rabbi</t>
  </si>
  <si>
    <t>Rakibul Islam</t>
  </si>
  <si>
    <t>Mashud Rana</t>
  </si>
  <si>
    <t>Asbi Karim</t>
  </si>
  <si>
    <t>Nobab</t>
  </si>
  <si>
    <t>Babul Chandro Roy</t>
  </si>
  <si>
    <t>Sumon Islam</t>
  </si>
  <si>
    <t>Abdus Salam</t>
  </si>
  <si>
    <t>Arun Roy</t>
  </si>
  <si>
    <t>Sujon Islam</t>
  </si>
  <si>
    <t>Rimon Roy</t>
  </si>
  <si>
    <t>Abu Musha</t>
  </si>
  <si>
    <t>Jotish Chandro Roy</t>
  </si>
  <si>
    <t>Tonoy Shingh Roy</t>
  </si>
  <si>
    <t xml:space="preserve">Alamin Islam </t>
  </si>
  <si>
    <t>Gopen Roy</t>
  </si>
  <si>
    <t xml:space="preserve">MD. SAZZADUL ISLAM </t>
  </si>
  <si>
    <t>Nahid</t>
  </si>
  <si>
    <t>SATTYENDRA NATH ROY</t>
  </si>
  <si>
    <t>SUMON ROY</t>
  </si>
  <si>
    <t>MD AZAM ISLAM</t>
  </si>
  <si>
    <t>MD REJAUL ISLAM</t>
  </si>
  <si>
    <t>KALLYAN KUNDU</t>
  </si>
  <si>
    <t>ACCOUNTS</t>
  </si>
  <si>
    <t>MD MUNNAB ALI</t>
  </si>
  <si>
    <t>TMR</t>
  </si>
  <si>
    <t>AJOY ROY</t>
  </si>
  <si>
    <t>MD RAJU AHMED</t>
  </si>
  <si>
    <t>TA Meter Sheet -30/04/2025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</si>
</sst>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3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7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3" fillId="7" borderId="7" xfId="0" applyFont="1" applyFill="1" applyBorder="1" applyAlignment="1">
      <alignment horizontal="center" vertical="top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0" fontId="0" fillId="0" borderId="7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16" fontId="8" fillId="9" borderId="1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49" fontId="0" fillId="10" borderId="7" xfId="0" applyNumberFormat="1" applyFill="1" applyBorder="1" applyAlignment="1" applyProtection="1">
      <alignment horizontal="center" vertical="center"/>
      <protection locked="0"/>
    </xf>
    <xf numFmtId="0" fontId="0" fillId="9" borderId="7" xfId="0" applyFill="1" applyBorder="1" applyAlignment="1">
      <alignment horizontal="center" vertical="center" wrapText="1"/>
    </xf>
    <xf numFmtId="0" fontId="0" fillId="10" borderId="7" xfId="0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8" fillId="9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49" fontId="0" fillId="0" borderId="7" xfId="0" applyNumberForma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64" fontId="0" fillId="10" borderId="7" xfId="1" applyNumberFormat="1" applyFont="1" applyFill="1" applyBorder="1" applyAlignment="1">
      <alignment horizontal="center" vertical="center"/>
    </xf>
    <xf numFmtId="164" fontId="4" fillId="12" borderId="7" xfId="1" applyNumberFormat="1" applyFon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13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 wrapText="1"/>
    </xf>
    <xf numFmtId="49" fontId="0" fillId="13" borderId="7" xfId="0" applyNumberFormat="1" applyFill="1" applyBorder="1" applyAlignment="1" applyProtection="1">
      <alignment horizontal="center" vertical="center"/>
      <protection locked="0"/>
    </xf>
    <xf numFmtId="164" fontId="0" fillId="13" borderId="7" xfId="1" applyNumberFormat="1" applyFont="1" applyFill="1" applyBorder="1" applyAlignment="1">
      <alignment horizontal="center" vertical="center"/>
    </xf>
    <xf numFmtId="164" fontId="4" fillId="13" borderId="7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164" fontId="3" fillId="9" borderId="7" xfId="1" applyNumberFormat="1" applyFont="1" applyFill="1" applyBorder="1" applyAlignment="1">
      <alignment horizontal="center" vertical="center"/>
    </xf>
    <xf numFmtId="164" fontId="4" fillId="9" borderId="7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164" fontId="4" fillId="14" borderId="7" xfId="0" applyNumberFormat="1" applyFont="1" applyFill="1" applyBorder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4" fillId="13" borderId="7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4" fontId="4" fillId="10" borderId="0" xfId="0" applyNumberFormat="1" applyFont="1" applyFill="1" applyAlignment="1">
      <alignment horizontal="center" vertical="center"/>
    </xf>
    <xf numFmtId="16" fontId="10" fillId="10" borderId="0" xfId="0" applyNumberFormat="1" applyFont="1" applyFill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5 2" xfId="3" xr:uid="{00000000-0005-0000-0000-000002000000}"/>
    <cellStyle name="Normal" xfId="0" builtinId="0"/>
    <cellStyle name="Normal 5 2" xfId="4" xr:uid="{00000000-0005-0000-0000-000004000000}"/>
  </cellStyles>
  <dxfs count="1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66CC"/>
      <color rgb="FF00FFCC"/>
      <color rgb="FF66FF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P46"/>
  <sheetViews>
    <sheetView tabSelected="1" zoomScaleNormal="100" workbookViewId="0">
      <pane ySplit="4" topLeftCell="A12" activePane="bottomLeft" state="frozen"/>
      <selection pane="bottomLeft" activeCell="J5" sqref="J5:J46"/>
    </sheetView>
  </sheetViews>
  <sheetFormatPr defaultColWidth="9.140625" defaultRowHeight="15"/>
  <cols>
    <col min="1" max="1" width="4" style="1" customWidth="1"/>
    <col min="2" max="2" width="29.28515625" style="1" customWidth="1"/>
    <col min="3" max="3" width="12.5703125" style="1" customWidth="1"/>
    <col min="4" max="4" width="19" style="1" customWidth="1"/>
    <col min="5" max="5" width="13.7109375" style="1" customWidth="1"/>
    <col min="6" max="6" width="10" style="1" customWidth="1"/>
    <col min="7" max="7" width="9.42578125" style="1" customWidth="1"/>
    <col min="8" max="8" width="10.28515625" style="1" customWidth="1"/>
    <col min="9" max="9" width="12.42578125" style="1" customWidth="1"/>
    <col min="10" max="10" width="10.28515625" style="1" customWidth="1"/>
    <col min="11" max="11" width="12.85546875" style="1" customWidth="1"/>
    <col min="12" max="12" width="13.85546875" style="1" customWidth="1"/>
    <col min="13" max="13" width="6.7109375" style="1" customWidth="1"/>
    <col min="14" max="14" width="7.85546875" style="1" customWidth="1"/>
    <col min="15" max="15" width="8.28515625" style="1" customWidth="1"/>
    <col min="16" max="16" width="9.140625" style="1" customWidth="1"/>
    <col min="17" max="16384" width="9.140625" style="1"/>
  </cols>
  <sheetData>
    <row r="1" spans="1:16" ht="18.75">
      <c r="A1" s="78" t="s">
        <v>168</v>
      </c>
      <c r="B1" s="79"/>
      <c r="C1" s="79"/>
      <c r="D1" s="79"/>
      <c r="E1" s="79"/>
      <c r="F1" s="79"/>
      <c r="G1" s="79"/>
      <c r="H1" s="79"/>
      <c r="I1" s="79"/>
      <c r="J1" s="79"/>
      <c r="K1" s="80"/>
    </row>
    <row r="2" spans="1:16" ht="15.75">
      <c r="A2" s="81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3"/>
    </row>
    <row r="3" spans="1:16" ht="15.75">
      <c r="A3" s="84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6"/>
      <c r="M3" s="21"/>
      <c r="N3" s="21"/>
      <c r="O3" s="21"/>
      <c r="P3" s="21"/>
    </row>
    <row r="4" spans="1:16" s="50" customFormat="1" ht="18" customHeight="1">
      <c r="A4" s="51" t="s">
        <v>2</v>
      </c>
      <c r="B4" s="51" t="s">
        <v>3</v>
      </c>
      <c r="C4" s="51" t="s">
        <v>4</v>
      </c>
      <c r="D4" s="51" t="s">
        <v>5</v>
      </c>
      <c r="E4" s="51" t="s">
        <v>6</v>
      </c>
      <c r="F4" s="51" t="s">
        <v>7</v>
      </c>
      <c r="G4" s="51" t="s">
        <v>8</v>
      </c>
      <c r="H4" s="51" t="s">
        <v>9</v>
      </c>
      <c r="I4" s="51" t="s">
        <v>10</v>
      </c>
      <c r="J4" s="51" t="s">
        <v>11</v>
      </c>
      <c r="K4" s="51" t="s">
        <v>12</v>
      </c>
      <c r="L4" s="64"/>
      <c r="M4" s="65" t="s">
        <v>13</v>
      </c>
      <c r="N4" s="65" t="s">
        <v>14</v>
      </c>
      <c r="O4" s="65" t="s">
        <v>15</v>
      </c>
      <c r="P4" s="65" t="s">
        <v>16</v>
      </c>
    </row>
    <row r="5" spans="1:16" ht="18.95" customHeight="1">
      <c r="A5" s="28">
        <v>1</v>
      </c>
      <c r="B5" s="45" t="s">
        <v>17</v>
      </c>
      <c r="C5" s="28" t="s">
        <v>18</v>
      </c>
      <c r="D5" s="28" t="s">
        <v>19</v>
      </c>
      <c r="E5" s="47" t="s">
        <v>20</v>
      </c>
      <c r="F5" s="52">
        <v>63172</v>
      </c>
      <c r="G5" s="52">
        <v>63251</v>
      </c>
      <c r="H5" s="53">
        <f t="shared" ref="H5:H19" si="0">SUM(G5-F5)</f>
        <v>79</v>
      </c>
      <c r="I5" s="66">
        <f t="shared" ref="I5:I20" si="1">SUM(H5*2.4)</f>
        <v>189.6</v>
      </c>
      <c r="J5" s="66">
        <f>SUM(H5*2.4)</f>
        <v>189.6</v>
      </c>
      <c r="K5" s="30"/>
      <c r="L5" s="67"/>
      <c r="M5" s="21" t="s">
        <v>21</v>
      </c>
      <c r="N5" s="21">
        <v>130</v>
      </c>
      <c r="O5" s="21">
        <v>52</v>
      </c>
      <c r="P5" s="68">
        <f>N5/O5</f>
        <v>2.5</v>
      </c>
    </row>
    <row r="6" spans="1:16" ht="18.95" customHeight="1">
      <c r="A6" s="28">
        <v>2</v>
      </c>
      <c r="B6" s="45" t="s">
        <v>22</v>
      </c>
      <c r="C6" s="28" t="s">
        <v>18</v>
      </c>
      <c r="D6" s="28" t="s">
        <v>19</v>
      </c>
      <c r="E6" s="47" t="s">
        <v>23</v>
      </c>
      <c r="F6" s="52">
        <v>58176</v>
      </c>
      <c r="G6" s="52">
        <v>58268</v>
      </c>
      <c r="H6" s="53">
        <f t="shared" si="0"/>
        <v>92</v>
      </c>
      <c r="I6" s="66">
        <f t="shared" si="1"/>
        <v>220.79999999999998</v>
      </c>
      <c r="J6" s="66">
        <f t="shared" ref="J6:J20" si="2">SUM(H6*2.4)</f>
        <v>220.79999999999998</v>
      </c>
      <c r="K6" s="30"/>
      <c r="L6" s="64"/>
      <c r="M6" s="69" t="s">
        <v>24</v>
      </c>
      <c r="N6" s="21">
        <v>125</v>
      </c>
      <c r="O6" s="21">
        <v>52</v>
      </c>
      <c r="P6" s="68">
        <f>N6/O6</f>
        <v>2.4038461538461537</v>
      </c>
    </row>
    <row r="7" spans="1:16" ht="18.95" customHeight="1">
      <c r="A7" s="28">
        <v>3</v>
      </c>
      <c r="B7" s="45" t="s">
        <v>25</v>
      </c>
      <c r="C7" s="28" t="s">
        <v>18</v>
      </c>
      <c r="D7" s="28" t="s">
        <v>19</v>
      </c>
      <c r="E7" s="47" t="s">
        <v>26</v>
      </c>
      <c r="F7" s="52">
        <v>23210</v>
      </c>
      <c r="G7" s="52">
        <v>23297</v>
      </c>
      <c r="H7" s="53">
        <f t="shared" si="0"/>
        <v>87</v>
      </c>
      <c r="I7" s="66">
        <f t="shared" si="1"/>
        <v>208.79999999999998</v>
      </c>
      <c r="J7" s="66">
        <f t="shared" si="2"/>
        <v>208.79999999999998</v>
      </c>
      <c r="K7" s="30"/>
      <c r="L7" s="64"/>
      <c r="M7" s="21"/>
      <c r="N7" s="21"/>
      <c r="O7" s="21"/>
      <c r="P7" s="70" t="e">
        <f>N7/O7</f>
        <v>#DIV/0!</v>
      </c>
    </row>
    <row r="8" spans="1:16" ht="18.95" customHeight="1">
      <c r="A8" s="28">
        <v>4</v>
      </c>
      <c r="B8" s="45" t="s">
        <v>27</v>
      </c>
      <c r="C8" s="28" t="s">
        <v>18</v>
      </c>
      <c r="D8" s="28" t="s">
        <v>19</v>
      </c>
      <c r="E8" s="31" t="s">
        <v>28</v>
      </c>
      <c r="F8" s="52">
        <v>33922</v>
      </c>
      <c r="G8" s="52">
        <v>34013</v>
      </c>
      <c r="H8" s="53">
        <f t="shared" si="0"/>
        <v>91</v>
      </c>
      <c r="I8" s="66">
        <f t="shared" si="1"/>
        <v>218.4</v>
      </c>
      <c r="J8" s="66">
        <f t="shared" si="2"/>
        <v>218.4</v>
      </c>
      <c r="K8" s="30"/>
      <c r="L8" s="34"/>
      <c r="M8" s="21"/>
      <c r="N8" s="21"/>
      <c r="O8" s="21"/>
      <c r="P8" s="70"/>
    </row>
    <row r="9" spans="1:16" ht="18.95" customHeight="1">
      <c r="A9" s="28">
        <v>5</v>
      </c>
      <c r="B9" s="34" t="s">
        <v>29</v>
      </c>
      <c r="C9" s="30" t="s">
        <v>18</v>
      </c>
      <c r="D9" s="30" t="s">
        <v>19</v>
      </c>
      <c r="E9" s="47" t="s">
        <v>30</v>
      </c>
      <c r="F9" s="52">
        <v>59913</v>
      </c>
      <c r="G9" s="52">
        <v>59969</v>
      </c>
      <c r="H9" s="53">
        <f t="shared" si="0"/>
        <v>56</v>
      </c>
      <c r="I9" s="66">
        <f t="shared" si="1"/>
        <v>134.4</v>
      </c>
      <c r="J9" s="66">
        <f t="shared" si="2"/>
        <v>134.4</v>
      </c>
      <c r="K9" s="30"/>
      <c r="P9" s="71"/>
    </row>
    <row r="10" spans="1:16" ht="18.95" customHeight="1">
      <c r="A10" s="28">
        <v>6</v>
      </c>
      <c r="B10" s="45" t="s">
        <v>31</v>
      </c>
      <c r="C10" s="28" t="s">
        <v>18</v>
      </c>
      <c r="D10" s="28" t="s">
        <v>19</v>
      </c>
      <c r="E10" s="47" t="s">
        <v>32</v>
      </c>
      <c r="F10" s="52">
        <v>8470</v>
      </c>
      <c r="G10" s="52">
        <v>8557</v>
      </c>
      <c r="H10" s="53">
        <f t="shared" si="0"/>
        <v>87</v>
      </c>
      <c r="I10" s="66">
        <f t="shared" si="1"/>
        <v>208.79999999999998</v>
      </c>
      <c r="J10" s="66">
        <f t="shared" si="2"/>
        <v>208.79999999999998</v>
      </c>
      <c r="K10" s="28"/>
      <c r="P10" s="71"/>
    </row>
    <row r="11" spans="1:16" ht="18.95" customHeight="1">
      <c r="A11" s="28">
        <v>7</v>
      </c>
      <c r="B11" s="54" t="s">
        <v>33</v>
      </c>
      <c r="C11" s="28" t="s">
        <v>18</v>
      </c>
      <c r="D11" s="28" t="s">
        <v>19</v>
      </c>
      <c r="E11" s="47" t="s">
        <v>34</v>
      </c>
      <c r="F11" s="52">
        <v>12234</v>
      </c>
      <c r="G11" s="52">
        <v>12319</v>
      </c>
      <c r="H11" s="53">
        <f t="shared" si="0"/>
        <v>85</v>
      </c>
      <c r="I11" s="66">
        <f t="shared" si="1"/>
        <v>204</v>
      </c>
      <c r="J11" s="66">
        <f t="shared" si="2"/>
        <v>204</v>
      </c>
      <c r="K11" s="28"/>
      <c r="O11" s="50"/>
      <c r="P11" s="71"/>
    </row>
    <row r="12" spans="1:16" ht="18.95" customHeight="1">
      <c r="A12" s="28">
        <v>8</v>
      </c>
      <c r="B12" s="45" t="s">
        <v>35</v>
      </c>
      <c r="C12" s="28" t="s">
        <v>18</v>
      </c>
      <c r="D12" s="28" t="s">
        <v>19</v>
      </c>
      <c r="E12" s="47" t="s">
        <v>36</v>
      </c>
      <c r="F12" s="52">
        <v>67145</v>
      </c>
      <c r="G12" s="52">
        <v>67248</v>
      </c>
      <c r="H12" s="53">
        <f t="shared" si="0"/>
        <v>103</v>
      </c>
      <c r="I12" s="66">
        <f t="shared" si="1"/>
        <v>247.2</v>
      </c>
      <c r="J12" s="66">
        <f t="shared" si="2"/>
        <v>247.2</v>
      </c>
      <c r="K12" s="30"/>
      <c r="P12" s="71"/>
    </row>
    <row r="13" spans="1:16" ht="18.95" customHeight="1">
      <c r="A13" s="28">
        <v>9</v>
      </c>
      <c r="B13" s="45" t="s">
        <v>37</v>
      </c>
      <c r="C13" s="28" t="s">
        <v>18</v>
      </c>
      <c r="D13" s="28" t="s">
        <v>19</v>
      </c>
      <c r="E13" s="47" t="s">
        <v>38</v>
      </c>
      <c r="F13" s="52">
        <v>74</v>
      </c>
      <c r="G13" s="52">
        <v>176</v>
      </c>
      <c r="H13" s="53">
        <f t="shared" si="0"/>
        <v>102</v>
      </c>
      <c r="I13" s="66">
        <f t="shared" si="1"/>
        <v>244.79999999999998</v>
      </c>
      <c r="J13" s="66">
        <f t="shared" si="2"/>
        <v>244.79999999999998</v>
      </c>
      <c r="K13" s="28"/>
      <c r="P13" s="71"/>
    </row>
    <row r="14" spans="1:16" ht="18.95" customHeight="1">
      <c r="A14" s="55">
        <v>10</v>
      </c>
      <c r="B14" s="56" t="s">
        <v>39</v>
      </c>
      <c r="C14" s="55" t="s">
        <v>18</v>
      </c>
      <c r="D14" s="55" t="s">
        <v>19</v>
      </c>
      <c r="E14" s="57" t="s">
        <v>40</v>
      </c>
      <c r="F14" s="58"/>
      <c r="G14" s="58"/>
      <c r="H14" s="59">
        <v>9</v>
      </c>
      <c r="I14" s="72">
        <f t="shared" si="1"/>
        <v>21.599999999999998</v>
      </c>
      <c r="J14" s="72">
        <f t="shared" si="2"/>
        <v>21.599999999999998</v>
      </c>
      <c r="K14" s="55"/>
    </row>
    <row r="15" spans="1:16" ht="18.95" customHeight="1">
      <c r="A15" s="28">
        <v>11</v>
      </c>
      <c r="B15" s="45" t="s">
        <v>41</v>
      </c>
      <c r="C15" s="28" t="s">
        <v>18</v>
      </c>
      <c r="D15" s="28" t="s">
        <v>19</v>
      </c>
      <c r="E15" s="47" t="s">
        <v>42</v>
      </c>
      <c r="F15" s="52">
        <v>4744</v>
      </c>
      <c r="G15" s="52">
        <v>4828</v>
      </c>
      <c r="H15" s="53">
        <f t="shared" si="0"/>
        <v>84</v>
      </c>
      <c r="I15" s="66">
        <f t="shared" si="1"/>
        <v>201.6</v>
      </c>
      <c r="J15" s="66">
        <f t="shared" si="2"/>
        <v>201.6</v>
      </c>
      <c r="K15" s="30"/>
    </row>
    <row r="16" spans="1:16" ht="18.95" customHeight="1">
      <c r="A16" s="28">
        <v>12</v>
      </c>
      <c r="B16" s="45" t="s">
        <v>43</v>
      </c>
      <c r="C16" s="28" t="s">
        <v>18</v>
      </c>
      <c r="D16" s="28" t="s">
        <v>44</v>
      </c>
      <c r="E16" s="47" t="s">
        <v>45</v>
      </c>
      <c r="F16" s="52">
        <v>67773</v>
      </c>
      <c r="G16" s="52">
        <v>67848</v>
      </c>
      <c r="H16" s="53">
        <f t="shared" si="0"/>
        <v>75</v>
      </c>
      <c r="I16" s="66">
        <f t="shared" si="1"/>
        <v>180</v>
      </c>
      <c r="J16" s="66">
        <f t="shared" si="2"/>
        <v>180</v>
      </c>
      <c r="K16" s="30"/>
      <c r="L16" s="73"/>
    </row>
    <row r="17" spans="1:14" ht="18.95" customHeight="1">
      <c r="A17" s="28">
        <v>13</v>
      </c>
      <c r="B17" s="29" t="s">
        <v>46</v>
      </c>
      <c r="C17" s="28" t="s">
        <v>18</v>
      </c>
      <c r="D17" s="28" t="s">
        <v>44</v>
      </c>
      <c r="E17" s="47" t="s">
        <v>47</v>
      </c>
      <c r="F17" s="52">
        <v>163</v>
      </c>
      <c r="G17" s="52">
        <v>255</v>
      </c>
      <c r="H17" s="53">
        <f t="shared" si="0"/>
        <v>92</v>
      </c>
      <c r="I17" s="66">
        <f t="shared" si="1"/>
        <v>220.79999999999998</v>
      </c>
      <c r="J17" s="66">
        <f t="shared" si="2"/>
        <v>220.79999999999998</v>
      </c>
      <c r="K17" s="30"/>
    </row>
    <row r="18" spans="1:14" ht="18.95" customHeight="1">
      <c r="A18" s="28">
        <v>14</v>
      </c>
      <c r="B18" s="45" t="s">
        <v>48</v>
      </c>
      <c r="C18" s="28" t="s">
        <v>18</v>
      </c>
      <c r="D18" s="28" t="s">
        <v>44</v>
      </c>
      <c r="E18" s="47" t="s">
        <v>49</v>
      </c>
      <c r="F18" s="52">
        <v>157</v>
      </c>
      <c r="G18" s="52">
        <v>224</v>
      </c>
      <c r="H18" s="53">
        <f t="shared" si="0"/>
        <v>67</v>
      </c>
      <c r="I18" s="66">
        <f t="shared" si="1"/>
        <v>160.79999999999998</v>
      </c>
      <c r="J18" s="66">
        <f t="shared" si="2"/>
        <v>160.79999999999998</v>
      </c>
      <c r="K18" s="30"/>
    </row>
    <row r="19" spans="1:14" ht="18.95" customHeight="1">
      <c r="A19" s="28">
        <v>15</v>
      </c>
      <c r="B19" s="45" t="s">
        <v>50</v>
      </c>
      <c r="C19" s="28" t="s">
        <v>18</v>
      </c>
      <c r="D19" s="28" t="s">
        <v>44</v>
      </c>
      <c r="E19" s="47" t="s">
        <v>51</v>
      </c>
      <c r="F19" s="52">
        <v>22902</v>
      </c>
      <c r="G19" s="52">
        <v>22958</v>
      </c>
      <c r="H19" s="53">
        <f t="shared" si="0"/>
        <v>56</v>
      </c>
      <c r="I19" s="66">
        <f t="shared" si="1"/>
        <v>134.4</v>
      </c>
      <c r="J19" s="66">
        <f t="shared" si="2"/>
        <v>134.4</v>
      </c>
      <c r="K19" s="30"/>
    </row>
    <row r="20" spans="1:14" ht="18.95" customHeight="1">
      <c r="A20" s="55">
        <v>16</v>
      </c>
      <c r="B20" s="56" t="s">
        <v>52</v>
      </c>
      <c r="C20" s="55" t="s">
        <v>18</v>
      </c>
      <c r="D20" s="55" t="s">
        <v>44</v>
      </c>
      <c r="E20" s="57" t="s">
        <v>53</v>
      </c>
      <c r="F20" s="58"/>
      <c r="G20" s="58"/>
      <c r="H20" s="59">
        <v>9</v>
      </c>
      <c r="I20" s="72">
        <f t="shared" si="1"/>
        <v>21.599999999999998</v>
      </c>
      <c r="J20" s="72">
        <f t="shared" si="2"/>
        <v>21.599999999999998</v>
      </c>
      <c r="K20" s="55"/>
    </row>
    <row r="21" spans="1:14" ht="18.95" customHeight="1">
      <c r="A21" s="28">
        <v>17</v>
      </c>
      <c r="B21" s="45" t="s">
        <v>54</v>
      </c>
      <c r="C21" s="28" t="s">
        <v>18</v>
      </c>
      <c r="D21" s="28" t="s">
        <v>44</v>
      </c>
      <c r="E21" s="47" t="s">
        <v>55</v>
      </c>
      <c r="F21" s="52">
        <v>18492</v>
      </c>
      <c r="G21" s="52">
        <v>18580</v>
      </c>
      <c r="H21" s="53">
        <f t="shared" ref="H21:H32" si="3">SUM(G21-F21)</f>
        <v>88</v>
      </c>
      <c r="I21" s="66">
        <f t="shared" ref="I21:I32" si="4">SUM(H21*2.4)</f>
        <v>211.2</v>
      </c>
      <c r="J21" s="66">
        <f t="shared" ref="J21:J32" si="5">SUM(H21*2.4)</f>
        <v>211.2</v>
      </c>
      <c r="K21" s="28"/>
      <c r="L21" s="74"/>
    </row>
    <row r="22" spans="1:14" s="34" customFormat="1" ht="18.95" customHeight="1">
      <c r="A22" s="30">
        <v>18</v>
      </c>
      <c r="B22" s="29" t="s">
        <v>56</v>
      </c>
      <c r="C22" s="30" t="s">
        <v>18</v>
      </c>
      <c r="D22" s="30" t="s">
        <v>44</v>
      </c>
      <c r="E22" s="31" t="s">
        <v>57</v>
      </c>
      <c r="F22" s="52">
        <v>73077</v>
      </c>
      <c r="G22" s="52">
        <v>73128</v>
      </c>
      <c r="H22" s="53">
        <f t="shared" si="3"/>
        <v>51</v>
      </c>
      <c r="I22" s="66">
        <f t="shared" si="4"/>
        <v>122.39999999999999</v>
      </c>
      <c r="J22" s="66">
        <f t="shared" si="5"/>
        <v>122.39999999999999</v>
      </c>
      <c r="K22" s="30"/>
    </row>
    <row r="23" spans="1:14" ht="18.95" customHeight="1">
      <c r="A23" s="28">
        <v>19</v>
      </c>
      <c r="B23" s="54" t="s">
        <v>58</v>
      </c>
      <c r="C23" s="28" t="s">
        <v>18</v>
      </c>
      <c r="D23" s="28" t="s">
        <v>44</v>
      </c>
      <c r="E23" s="47" t="s">
        <v>59</v>
      </c>
      <c r="F23" s="52">
        <v>7736</v>
      </c>
      <c r="G23" s="52">
        <v>7806</v>
      </c>
      <c r="H23" s="53">
        <f t="shared" si="3"/>
        <v>70</v>
      </c>
      <c r="I23" s="66">
        <f t="shared" si="4"/>
        <v>168</v>
      </c>
      <c r="J23" s="66">
        <f t="shared" si="5"/>
        <v>168</v>
      </c>
      <c r="K23" s="28"/>
    </row>
    <row r="24" spans="1:14" ht="18.95" customHeight="1">
      <c r="A24" s="28">
        <v>20</v>
      </c>
      <c r="B24" s="45" t="s">
        <v>60</v>
      </c>
      <c r="C24" s="28" t="s">
        <v>18</v>
      </c>
      <c r="D24" s="28" t="s">
        <v>61</v>
      </c>
      <c r="E24" s="47" t="s">
        <v>62</v>
      </c>
      <c r="F24" s="52">
        <v>6910</v>
      </c>
      <c r="G24" s="52">
        <v>6949</v>
      </c>
      <c r="H24" s="53">
        <f t="shared" si="3"/>
        <v>39</v>
      </c>
      <c r="I24" s="66">
        <f t="shared" si="4"/>
        <v>93.6</v>
      </c>
      <c r="J24" s="66">
        <f t="shared" si="5"/>
        <v>93.6</v>
      </c>
      <c r="K24" s="28"/>
    </row>
    <row r="25" spans="1:14" ht="18.95" customHeight="1">
      <c r="A25" s="28">
        <v>21</v>
      </c>
      <c r="B25" s="45" t="s">
        <v>63</v>
      </c>
      <c r="C25" s="28" t="s">
        <v>18</v>
      </c>
      <c r="D25" s="28" t="s">
        <v>61</v>
      </c>
      <c r="E25" s="47" t="s">
        <v>64</v>
      </c>
      <c r="F25" s="52">
        <v>30078</v>
      </c>
      <c r="G25" s="52">
        <v>30105</v>
      </c>
      <c r="H25" s="53">
        <f t="shared" si="3"/>
        <v>27</v>
      </c>
      <c r="I25" s="66">
        <f t="shared" si="4"/>
        <v>64.8</v>
      </c>
      <c r="J25" s="66">
        <f t="shared" si="5"/>
        <v>64.8</v>
      </c>
      <c r="K25" s="28"/>
    </row>
    <row r="26" spans="1:14" ht="18.95" customHeight="1">
      <c r="A26" s="28">
        <v>22</v>
      </c>
      <c r="B26" s="45" t="s">
        <v>65</v>
      </c>
      <c r="C26" s="28" t="s">
        <v>18</v>
      </c>
      <c r="D26" s="28" t="s">
        <v>61</v>
      </c>
      <c r="E26" s="47" t="s">
        <v>66</v>
      </c>
      <c r="F26" s="52">
        <v>53702</v>
      </c>
      <c r="G26" s="52">
        <v>53743</v>
      </c>
      <c r="H26" s="53">
        <f t="shared" si="3"/>
        <v>41</v>
      </c>
      <c r="I26" s="66">
        <f t="shared" si="4"/>
        <v>98.399999999999991</v>
      </c>
      <c r="J26" s="66">
        <f t="shared" si="5"/>
        <v>98.399999999999991</v>
      </c>
      <c r="K26" s="28"/>
    </row>
    <row r="27" spans="1:14" ht="18.95" customHeight="1">
      <c r="A27" s="28">
        <v>23</v>
      </c>
      <c r="B27" s="45" t="s">
        <v>67</v>
      </c>
      <c r="C27" s="28" t="s">
        <v>18</v>
      </c>
      <c r="D27" s="28" t="s">
        <v>61</v>
      </c>
      <c r="E27" s="47" t="s">
        <v>68</v>
      </c>
      <c r="F27" s="52">
        <v>6217</v>
      </c>
      <c r="G27" s="52">
        <v>6255</v>
      </c>
      <c r="H27" s="53">
        <f t="shared" si="3"/>
        <v>38</v>
      </c>
      <c r="I27" s="66">
        <f t="shared" si="4"/>
        <v>91.2</v>
      </c>
      <c r="J27" s="66">
        <f t="shared" si="5"/>
        <v>91.2</v>
      </c>
      <c r="K27" s="28"/>
    </row>
    <row r="28" spans="1:14" ht="18.95" customHeight="1">
      <c r="A28" s="28">
        <v>24</v>
      </c>
      <c r="B28" s="45" t="s">
        <v>69</v>
      </c>
      <c r="C28" s="28" t="s">
        <v>18</v>
      </c>
      <c r="D28" s="28" t="s">
        <v>61</v>
      </c>
      <c r="E28" s="47" t="s">
        <v>70</v>
      </c>
      <c r="F28" s="52">
        <v>75718</v>
      </c>
      <c r="G28" s="52">
        <v>75743</v>
      </c>
      <c r="H28" s="53">
        <f t="shared" si="3"/>
        <v>25</v>
      </c>
      <c r="I28" s="66">
        <f t="shared" si="4"/>
        <v>60</v>
      </c>
      <c r="J28" s="66">
        <f t="shared" si="5"/>
        <v>60</v>
      </c>
      <c r="K28" s="28"/>
    </row>
    <row r="29" spans="1:14" ht="18.95" customHeight="1">
      <c r="A29" s="28">
        <v>25</v>
      </c>
      <c r="B29" s="45" t="s">
        <v>71</v>
      </c>
      <c r="C29" s="28" t="s">
        <v>18</v>
      </c>
      <c r="D29" s="28" t="s">
        <v>61</v>
      </c>
      <c r="E29" s="47" t="s">
        <v>72</v>
      </c>
      <c r="F29" s="52">
        <v>98283</v>
      </c>
      <c r="G29" s="52">
        <v>98314</v>
      </c>
      <c r="H29" s="53">
        <f t="shared" si="3"/>
        <v>31</v>
      </c>
      <c r="I29" s="66">
        <f t="shared" si="4"/>
        <v>74.399999999999991</v>
      </c>
      <c r="J29" s="66">
        <f t="shared" si="5"/>
        <v>74.399999999999991</v>
      </c>
      <c r="K29" s="28"/>
    </row>
    <row r="30" spans="1:14" ht="18.95" customHeight="1">
      <c r="A30" s="28">
        <v>26</v>
      </c>
      <c r="B30" s="34" t="s">
        <v>73</v>
      </c>
      <c r="C30" s="28" t="s">
        <v>18</v>
      </c>
      <c r="D30" s="28" t="s">
        <v>61</v>
      </c>
      <c r="E30" s="47" t="s">
        <v>74</v>
      </c>
      <c r="F30" s="52">
        <v>903</v>
      </c>
      <c r="G30" s="52">
        <v>945</v>
      </c>
      <c r="H30" s="53">
        <f t="shared" si="3"/>
        <v>42</v>
      </c>
      <c r="I30" s="66">
        <f t="shared" si="4"/>
        <v>100.8</v>
      </c>
      <c r="J30" s="66">
        <f t="shared" si="5"/>
        <v>100.8</v>
      </c>
      <c r="K30" s="28"/>
      <c r="M30" s="34"/>
    </row>
    <row r="31" spans="1:14" ht="18.95" customHeight="1">
      <c r="A31" s="28">
        <v>27</v>
      </c>
      <c r="B31" s="45" t="s">
        <v>75</v>
      </c>
      <c r="C31" s="28" t="s">
        <v>18</v>
      </c>
      <c r="D31" s="28" t="s">
        <v>61</v>
      </c>
      <c r="E31" s="47" t="s">
        <v>76</v>
      </c>
      <c r="F31" s="52">
        <v>76597</v>
      </c>
      <c r="G31" s="52">
        <v>76631</v>
      </c>
      <c r="H31" s="53">
        <f t="shared" si="3"/>
        <v>34</v>
      </c>
      <c r="I31" s="66">
        <f t="shared" si="4"/>
        <v>81.599999999999994</v>
      </c>
      <c r="J31" s="66">
        <f t="shared" si="5"/>
        <v>81.599999999999994</v>
      </c>
      <c r="K31" s="28"/>
      <c r="L31" s="75"/>
      <c r="M31" s="74"/>
      <c r="N31" s="74"/>
    </row>
    <row r="32" spans="1:14" s="34" customFormat="1" ht="18.95" customHeight="1">
      <c r="A32" s="28">
        <v>28</v>
      </c>
      <c r="B32" s="29" t="s">
        <v>77</v>
      </c>
      <c r="C32" s="30" t="s">
        <v>18</v>
      </c>
      <c r="D32" s="30" t="s">
        <v>61</v>
      </c>
      <c r="E32" s="47" t="s">
        <v>78</v>
      </c>
      <c r="F32" s="52">
        <v>20</v>
      </c>
      <c r="G32" s="52">
        <v>68</v>
      </c>
      <c r="H32" s="53">
        <f t="shared" si="3"/>
        <v>48</v>
      </c>
      <c r="I32" s="66">
        <f t="shared" si="4"/>
        <v>115.19999999999999</v>
      </c>
      <c r="J32" s="66">
        <f t="shared" si="5"/>
        <v>115.19999999999999</v>
      </c>
      <c r="K32" s="28"/>
      <c r="L32" s="76"/>
    </row>
    <row r="33" spans="1:11" ht="18.95" customHeight="1">
      <c r="A33" s="55">
        <v>29</v>
      </c>
      <c r="B33" s="56" t="s">
        <v>79</v>
      </c>
      <c r="C33" s="55" t="s">
        <v>18</v>
      </c>
      <c r="D33" s="55" t="s">
        <v>61</v>
      </c>
      <c r="E33" s="57" t="s">
        <v>80</v>
      </c>
      <c r="F33" s="58"/>
      <c r="G33" s="58"/>
      <c r="H33" s="59">
        <v>9</v>
      </c>
      <c r="I33" s="72">
        <f t="shared" ref="I33" si="6">SUM(H33*2.4)</f>
        <v>21.599999999999998</v>
      </c>
      <c r="J33" s="72">
        <f t="shared" ref="J33:J45" si="7">SUM(H33*2.4)</f>
        <v>21.599999999999998</v>
      </c>
      <c r="K33" s="55"/>
    </row>
    <row r="34" spans="1:11" ht="18.95" customHeight="1">
      <c r="A34" s="28">
        <v>30</v>
      </c>
      <c r="B34" s="45" t="s">
        <v>81</v>
      </c>
      <c r="C34" s="28" t="s">
        <v>18</v>
      </c>
      <c r="D34" s="28" t="s">
        <v>61</v>
      </c>
      <c r="E34" s="47" t="s">
        <v>82</v>
      </c>
      <c r="F34" s="60">
        <v>56574</v>
      </c>
      <c r="G34" s="52">
        <v>56620</v>
      </c>
      <c r="H34" s="53">
        <f t="shared" ref="H34:H44" si="8">SUM(G34-F34)</f>
        <v>46</v>
      </c>
      <c r="I34" s="66">
        <f t="shared" ref="I34" si="9">SUM(H34*2.4)</f>
        <v>110.39999999999999</v>
      </c>
      <c r="J34" s="66">
        <f t="shared" si="7"/>
        <v>110.39999999999999</v>
      </c>
      <c r="K34" s="28"/>
    </row>
    <row r="35" spans="1:11" ht="18.95" customHeight="1">
      <c r="A35" s="28">
        <v>31</v>
      </c>
      <c r="B35" s="45" t="s">
        <v>83</v>
      </c>
      <c r="C35" s="28" t="s">
        <v>18</v>
      </c>
      <c r="D35" s="28" t="s">
        <v>61</v>
      </c>
      <c r="E35" s="47" t="s">
        <v>84</v>
      </c>
      <c r="F35" s="60">
        <v>35606</v>
      </c>
      <c r="G35" s="52">
        <v>35636</v>
      </c>
      <c r="H35" s="53">
        <f t="shared" si="8"/>
        <v>30</v>
      </c>
      <c r="I35" s="66">
        <f t="shared" ref="I35" si="10">SUM(H35*2.4)</f>
        <v>72</v>
      </c>
      <c r="J35" s="66">
        <f t="shared" si="7"/>
        <v>72</v>
      </c>
      <c r="K35" s="28"/>
    </row>
    <row r="36" spans="1:11" ht="18.95" customHeight="1">
      <c r="A36" s="28">
        <v>32</v>
      </c>
      <c r="B36" s="45" t="s">
        <v>85</v>
      </c>
      <c r="C36" s="28" t="s">
        <v>18</v>
      </c>
      <c r="D36" s="28" t="s">
        <v>61</v>
      </c>
      <c r="E36" s="47" t="s">
        <v>86</v>
      </c>
      <c r="F36" s="60">
        <v>72251</v>
      </c>
      <c r="G36" s="52">
        <v>72269</v>
      </c>
      <c r="H36" s="53">
        <f t="shared" si="8"/>
        <v>18</v>
      </c>
      <c r="I36" s="66">
        <f t="shared" ref="I36" si="11">SUM(H36*2.4)</f>
        <v>43.199999999999996</v>
      </c>
      <c r="J36" s="66">
        <f t="shared" si="7"/>
        <v>43.199999999999996</v>
      </c>
      <c r="K36" s="28"/>
    </row>
    <row r="37" spans="1:11" ht="18.95" customHeight="1">
      <c r="A37" s="28">
        <v>33</v>
      </c>
      <c r="B37" s="45" t="s">
        <v>87</v>
      </c>
      <c r="C37" s="28" t="s">
        <v>18</v>
      </c>
      <c r="D37" s="28" t="s">
        <v>61</v>
      </c>
      <c r="E37" s="47" t="s">
        <v>88</v>
      </c>
      <c r="F37" s="60">
        <v>80115</v>
      </c>
      <c r="G37" s="52">
        <v>80134</v>
      </c>
      <c r="H37" s="53">
        <f t="shared" si="8"/>
        <v>19</v>
      </c>
      <c r="I37" s="66">
        <f t="shared" ref="I37" si="12">SUM(H37*2.4)</f>
        <v>45.6</v>
      </c>
      <c r="J37" s="66">
        <f t="shared" si="7"/>
        <v>45.6</v>
      </c>
      <c r="K37" s="28"/>
    </row>
    <row r="38" spans="1:11" ht="18.95" customHeight="1">
      <c r="A38" s="28">
        <v>34</v>
      </c>
      <c r="B38" s="45" t="s">
        <v>89</v>
      </c>
      <c r="C38" s="28" t="s">
        <v>18</v>
      </c>
      <c r="D38" s="28" t="s">
        <v>61</v>
      </c>
      <c r="E38" s="47" t="s">
        <v>90</v>
      </c>
      <c r="F38" s="60">
        <v>11077</v>
      </c>
      <c r="G38" s="52">
        <v>11116</v>
      </c>
      <c r="H38" s="53">
        <f t="shared" si="8"/>
        <v>39</v>
      </c>
      <c r="I38" s="66">
        <f t="shared" ref="I38" si="13">SUM(H38*2.4)</f>
        <v>93.6</v>
      </c>
      <c r="J38" s="66">
        <f t="shared" si="7"/>
        <v>93.6</v>
      </c>
      <c r="K38" s="28"/>
    </row>
    <row r="39" spans="1:11" ht="18.95" customHeight="1">
      <c r="A39" s="28">
        <v>35</v>
      </c>
      <c r="B39" s="54" t="s">
        <v>91</v>
      </c>
      <c r="C39" s="28" t="s">
        <v>18</v>
      </c>
      <c r="D39" s="28" t="s">
        <v>61</v>
      </c>
      <c r="E39" s="47" t="s">
        <v>92</v>
      </c>
      <c r="F39" s="60">
        <v>49062</v>
      </c>
      <c r="G39" s="52">
        <v>49088</v>
      </c>
      <c r="H39" s="53">
        <f t="shared" si="8"/>
        <v>26</v>
      </c>
      <c r="I39" s="66">
        <f t="shared" ref="I39" si="14">SUM(H39*2.4)</f>
        <v>62.4</v>
      </c>
      <c r="J39" s="66">
        <f t="shared" si="7"/>
        <v>62.4</v>
      </c>
      <c r="K39" s="28"/>
    </row>
    <row r="40" spans="1:11" ht="18.95" customHeight="1">
      <c r="A40" s="28">
        <v>36</v>
      </c>
      <c r="B40" s="45" t="s">
        <v>93</v>
      </c>
      <c r="C40" s="20" t="s">
        <v>18</v>
      </c>
      <c r="D40" s="28" t="s">
        <v>61</v>
      </c>
      <c r="E40" s="47" t="s">
        <v>94</v>
      </c>
      <c r="F40" s="52">
        <v>10792</v>
      </c>
      <c r="G40" s="52">
        <v>10816</v>
      </c>
      <c r="H40" s="53">
        <f t="shared" si="8"/>
        <v>24</v>
      </c>
      <c r="I40" s="66">
        <f t="shared" ref="I40" si="15">SUM(H40*2.4)</f>
        <v>57.599999999999994</v>
      </c>
      <c r="J40" s="66">
        <f t="shared" si="7"/>
        <v>57.599999999999994</v>
      </c>
      <c r="K40" s="28"/>
    </row>
    <row r="41" spans="1:11" ht="18.95" customHeight="1">
      <c r="A41" s="28">
        <v>37</v>
      </c>
      <c r="B41" s="48" t="s">
        <v>95</v>
      </c>
      <c r="C41" s="20" t="s">
        <v>96</v>
      </c>
      <c r="D41" s="20"/>
      <c r="E41" s="20" t="s">
        <v>97</v>
      </c>
      <c r="F41" s="52"/>
      <c r="G41" s="52"/>
      <c r="H41" s="53">
        <f t="shared" si="8"/>
        <v>0</v>
      </c>
      <c r="I41" s="66">
        <f t="shared" ref="I41" si="16">SUM(H41*2.4)</f>
        <v>0</v>
      </c>
      <c r="J41" s="66">
        <f t="shared" si="7"/>
        <v>0</v>
      </c>
      <c r="K41" s="28"/>
    </row>
    <row r="42" spans="1:11" ht="18.95" customHeight="1">
      <c r="A42" s="28">
        <v>38</v>
      </c>
      <c r="B42" s="48" t="s">
        <v>98</v>
      </c>
      <c r="C42" s="20" t="s">
        <v>96</v>
      </c>
      <c r="D42" s="20"/>
      <c r="E42" s="20" t="s">
        <v>99</v>
      </c>
      <c r="F42" s="52"/>
      <c r="G42" s="52"/>
      <c r="H42" s="53">
        <f t="shared" si="8"/>
        <v>0</v>
      </c>
      <c r="I42" s="66">
        <f t="shared" ref="I42:I45" si="17">SUM(H42*2.4)</f>
        <v>0</v>
      </c>
      <c r="J42" s="66">
        <f t="shared" si="7"/>
        <v>0</v>
      </c>
      <c r="K42" s="28"/>
    </row>
    <row r="43" spans="1:11" ht="18.95" customHeight="1">
      <c r="A43" s="28">
        <v>39</v>
      </c>
      <c r="B43" s="48" t="s">
        <v>100</v>
      </c>
      <c r="C43" s="20" t="s">
        <v>96</v>
      </c>
      <c r="D43" s="20"/>
      <c r="E43" s="20" t="s">
        <v>101</v>
      </c>
      <c r="F43" s="52"/>
      <c r="G43" s="52"/>
      <c r="H43" s="53">
        <f t="shared" si="8"/>
        <v>0</v>
      </c>
      <c r="I43" s="66">
        <f t="shared" si="17"/>
        <v>0</v>
      </c>
      <c r="J43" s="66">
        <f t="shared" si="7"/>
        <v>0</v>
      </c>
      <c r="K43" s="28"/>
    </row>
    <row r="44" spans="1:11" ht="18.95" customHeight="1">
      <c r="A44" s="28">
        <v>40</v>
      </c>
      <c r="B44" s="48" t="s">
        <v>102</v>
      </c>
      <c r="C44" s="20" t="s">
        <v>96</v>
      </c>
      <c r="D44" s="20"/>
      <c r="E44" s="20" t="s">
        <v>103</v>
      </c>
      <c r="F44" s="52"/>
      <c r="G44" s="52"/>
      <c r="H44" s="53">
        <f t="shared" si="8"/>
        <v>0</v>
      </c>
      <c r="I44" s="66">
        <f t="shared" si="17"/>
        <v>0</v>
      </c>
      <c r="J44" s="66">
        <f t="shared" si="7"/>
        <v>0</v>
      </c>
      <c r="K44" s="28"/>
    </row>
    <row r="45" spans="1:11" ht="18.95" customHeight="1">
      <c r="A45" s="28">
        <v>41</v>
      </c>
      <c r="B45" s="48" t="s">
        <v>104</v>
      </c>
      <c r="C45" s="20" t="s">
        <v>105</v>
      </c>
      <c r="D45" s="20"/>
      <c r="E45" s="61" t="s">
        <v>106</v>
      </c>
      <c r="F45" s="52"/>
      <c r="G45" s="52"/>
      <c r="H45" s="53">
        <f>G45-F45</f>
        <v>0</v>
      </c>
      <c r="I45" s="66">
        <f t="shared" si="17"/>
        <v>0</v>
      </c>
      <c r="J45" s="66">
        <f t="shared" si="7"/>
        <v>0</v>
      </c>
      <c r="K45" s="28"/>
    </row>
    <row r="46" spans="1:11" ht="15.75">
      <c r="A46" s="38"/>
      <c r="B46" s="38"/>
      <c r="C46" s="38"/>
      <c r="D46" s="38"/>
      <c r="E46" s="38"/>
      <c r="F46" s="62"/>
      <c r="G46" s="62"/>
      <c r="H46" s="63">
        <f>G46-F46</f>
        <v>0</v>
      </c>
      <c r="I46" s="62">
        <f>SUM(I5:I45)</f>
        <v>4605.6000000000013</v>
      </c>
      <c r="J46" s="62">
        <f>SUM(J5:J45)</f>
        <v>4605.6000000000013</v>
      </c>
      <c r="K46" s="77">
        <f ca="1">J46:K77</f>
        <v>0</v>
      </c>
    </row>
  </sheetData>
  <mergeCells count="3">
    <mergeCell ref="A1:K1"/>
    <mergeCell ref="A2:K2"/>
    <mergeCell ref="A3:K3"/>
  </mergeCells>
  <conditionalFormatting sqref="B11">
    <cfRule type="duplicateValues" dxfId="116" priority="37"/>
  </conditionalFormatting>
  <conditionalFormatting sqref="B23">
    <cfRule type="duplicateValues" dxfId="115" priority="39"/>
  </conditionalFormatting>
  <conditionalFormatting sqref="B39">
    <cfRule type="duplicateValues" dxfId="114" priority="41"/>
  </conditionalFormatting>
  <conditionalFormatting sqref="E5">
    <cfRule type="duplicateValues" dxfId="113" priority="36"/>
  </conditionalFormatting>
  <conditionalFormatting sqref="E6">
    <cfRule type="duplicateValues" dxfId="112" priority="35"/>
  </conditionalFormatting>
  <conditionalFormatting sqref="E7">
    <cfRule type="duplicateValues" dxfId="111" priority="34"/>
  </conditionalFormatting>
  <conditionalFormatting sqref="E8">
    <cfRule type="duplicateValues" dxfId="110" priority="33"/>
  </conditionalFormatting>
  <conditionalFormatting sqref="E9">
    <cfRule type="duplicateValues" dxfId="109" priority="32"/>
  </conditionalFormatting>
  <conditionalFormatting sqref="E10">
    <cfRule type="duplicateValues" dxfId="108" priority="31"/>
  </conditionalFormatting>
  <conditionalFormatting sqref="E11">
    <cfRule type="duplicateValues" dxfId="107" priority="30"/>
  </conditionalFormatting>
  <conditionalFormatting sqref="E12">
    <cfRule type="duplicateValues" dxfId="106" priority="29"/>
  </conditionalFormatting>
  <conditionalFormatting sqref="E13">
    <cfRule type="duplicateValues" dxfId="105" priority="28"/>
  </conditionalFormatting>
  <conditionalFormatting sqref="E14">
    <cfRule type="duplicateValues" dxfId="104" priority="27"/>
  </conditionalFormatting>
  <conditionalFormatting sqref="E15">
    <cfRule type="duplicateValues" dxfId="103" priority="26"/>
  </conditionalFormatting>
  <conditionalFormatting sqref="E16">
    <cfRule type="duplicateValues" dxfId="102" priority="25"/>
  </conditionalFormatting>
  <conditionalFormatting sqref="E17">
    <cfRule type="duplicateValues" dxfId="101" priority="24"/>
  </conditionalFormatting>
  <conditionalFormatting sqref="E18">
    <cfRule type="duplicateValues" dxfId="100" priority="23"/>
  </conditionalFormatting>
  <conditionalFormatting sqref="E19">
    <cfRule type="duplicateValues" dxfId="99" priority="22"/>
  </conditionalFormatting>
  <conditionalFormatting sqref="E20">
    <cfRule type="duplicateValues" dxfId="98" priority="21"/>
  </conditionalFormatting>
  <conditionalFormatting sqref="E21:E22">
    <cfRule type="duplicateValues" dxfId="97" priority="20"/>
  </conditionalFormatting>
  <conditionalFormatting sqref="E23">
    <cfRule type="duplicateValues" dxfId="96" priority="18"/>
  </conditionalFormatting>
  <conditionalFormatting sqref="E24">
    <cfRule type="duplicateValues" dxfId="95" priority="17"/>
  </conditionalFormatting>
  <conditionalFormatting sqref="E25">
    <cfRule type="duplicateValues" dxfId="94" priority="16"/>
  </conditionalFormatting>
  <conditionalFormatting sqref="E26">
    <cfRule type="duplicateValues" dxfId="93" priority="15"/>
  </conditionalFormatting>
  <conditionalFormatting sqref="E27">
    <cfRule type="duplicateValues" dxfId="92" priority="14"/>
  </conditionalFormatting>
  <conditionalFormatting sqref="E28">
    <cfRule type="duplicateValues" dxfId="91" priority="13"/>
  </conditionalFormatting>
  <conditionalFormatting sqref="E29">
    <cfRule type="duplicateValues" dxfId="90" priority="12"/>
  </conditionalFormatting>
  <conditionalFormatting sqref="E30">
    <cfRule type="duplicateValues" dxfId="89" priority="11"/>
  </conditionalFormatting>
  <conditionalFormatting sqref="E31">
    <cfRule type="duplicateValues" dxfId="88" priority="10"/>
  </conditionalFormatting>
  <conditionalFormatting sqref="E32">
    <cfRule type="duplicateValues" dxfId="87" priority="9"/>
  </conditionalFormatting>
  <conditionalFormatting sqref="E33">
    <cfRule type="duplicateValues" dxfId="86" priority="8"/>
  </conditionalFormatting>
  <conditionalFormatting sqref="E34">
    <cfRule type="duplicateValues" dxfId="85" priority="7"/>
  </conditionalFormatting>
  <conditionalFormatting sqref="E35">
    <cfRule type="duplicateValues" dxfId="84" priority="6"/>
  </conditionalFormatting>
  <conditionalFormatting sqref="E36">
    <cfRule type="duplicateValues" dxfId="83" priority="5"/>
  </conditionalFormatting>
  <conditionalFormatting sqref="E37">
    <cfRule type="duplicateValues" dxfId="82" priority="4"/>
  </conditionalFormatting>
  <conditionalFormatting sqref="E38">
    <cfRule type="duplicateValues" dxfId="81" priority="3"/>
  </conditionalFormatting>
  <conditionalFormatting sqref="E39">
    <cfRule type="duplicateValues" dxfId="80" priority="2"/>
  </conditionalFormatting>
  <conditionalFormatting sqref="E40">
    <cfRule type="duplicateValues" dxfId="79" priority="1"/>
  </conditionalFormatting>
  <printOptions horizontalCentered="1" verticalCentered="1"/>
  <pageMargins left="0.7" right="0.7" top="0.75" bottom="0.75" header="0.3" footer="0.3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J50"/>
  <sheetViews>
    <sheetView topLeftCell="A4" workbookViewId="0">
      <pane xSplit="1" topLeftCell="B1" activePane="topRight" state="frozen"/>
      <selection pane="topRight" activeCell="G4" sqref="F1:G1048576"/>
    </sheetView>
  </sheetViews>
  <sheetFormatPr defaultColWidth="3.140625" defaultRowHeight="15"/>
  <cols>
    <col min="1" max="1" width="3" style="42" customWidth="1"/>
    <col min="2" max="2" width="30" style="42" customWidth="1"/>
    <col min="3" max="3" width="9.42578125" style="1" customWidth="1"/>
    <col min="4" max="4" width="19" style="1" customWidth="1"/>
    <col min="5" max="5" width="12" style="1" bestFit="1" customWidth="1"/>
    <col min="6" max="6" width="8.5703125" style="1" hidden="1" customWidth="1"/>
    <col min="7" max="7" width="0.28515625" style="1" hidden="1" customWidth="1"/>
    <col min="8" max="8" width="7.140625" style="1" hidden="1" customWidth="1"/>
    <col min="9" max="10" width="7.42578125" style="2" hidden="1" customWidth="1"/>
    <col min="11" max="11" width="7.140625" style="2" hidden="1" customWidth="1"/>
    <col min="12" max="12" width="0.28515625" style="2" hidden="1" customWidth="1"/>
    <col min="13" max="13" width="7.7109375" style="2" hidden="1" customWidth="1"/>
    <col min="14" max="14" width="7" style="2" hidden="1" customWidth="1"/>
    <col min="15" max="15" width="7.7109375" style="1" hidden="1" customWidth="1"/>
    <col min="16" max="18" width="7" style="1" hidden="1" customWidth="1"/>
    <col min="19" max="19" width="7.5703125" style="1" hidden="1" customWidth="1"/>
    <col min="20" max="30" width="7" style="1" hidden="1" customWidth="1"/>
    <col min="31" max="31" width="7" style="43" hidden="1" customWidth="1"/>
    <col min="32" max="35" width="7" style="1" hidden="1" customWidth="1"/>
    <col min="36" max="36" width="9.5703125" style="1" customWidth="1"/>
    <col min="37" max="16384" width="3.140625" style="1"/>
  </cols>
  <sheetData>
    <row r="1" spans="1:36" ht="18.75">
      <c r="A1" s="87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/>
    </row>
    <row r="2" spans="1:36" ht="15.75">
      <c r="A2" s="90" t="s">
        <v>107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</row>
    <row r="3" spans="1:36" ht="15.75">
      <c r="A3" s="93" t="s">
        <v>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5"/>
    </row>
    <row r="4" spans="1:36">
      <c r="A4" s="96" t="s">
        <v>108</v>
      </c>
      <c r="B4" s="97"/>
      <c r="C4" s="97"/>
      <c r="D4" s="24"/>
      <c r="E4" s="24"/>
      <c r="F4" s="25" t="s">
        <v>109</v>
      </c>
      <c r="G4" s="25" t="s">
        <v>110</v>
      </c>
      <c r="H4" s="25" t="s">
        <v>111</v>
      </c>
      <c r="I4" s="25" t="s">
        <v>112</v>
      </c>
      <c r="J4" s="25" t="s">
        <v>113</v>
      </c>
      <c r="K4" s="25" t="s">
        <v>114</v>
      </c>
      <c r="L4" s="25" t="s">
        <v>115</v>
      </c>
      <c r="M4" s="25" t="s">
        <v>109</v>
      </c>
      <c r="N4" s="25" t="s">
        <v>110</v>
      </c>
      <c r="O4" s="25" t="s">
        <v>111</v>
      </c>
      <c r="P4" s="25" t="s">
        <v>112</v>
      </c>
      <c r="Q4" s="25" t="s">
        <v>113</v>
      </c>
      <c r="R4" s="25" t="s">
        <v>114</v>
      </c>
      <c r="S4" s="25" t="s">
        <v>115</v>
      </c>
      <c r="T4" s="25" t="s">
        <v>109</v>
      </c>
      <c r="U4" s="25" t="s">
        <v>110</v>
      </c>
      <c r="V4" s="25" t="s">
        <v>111</v>
      </c>
      <c r="W4" s="25" t="s">
        <v>112</v>
      </c>
      <c r="X4" s="25" t="s">
        <v>113</v>
      </c>
      <c r="Y4" s="25" t="s">
        <v>114</v>
      </c>
      <c r="Z4" s="25" t="s">
        <v>115</v>
      </c>
      <c r="AA4" s="25" t="s">
        <v>109</v>
      </c>
      <c r="AB4" s="25" t="s">
        <v>110</v>
      </c>
      <c r="AC4" s="25" t="s">
        <v>111</v>
      </c>
      <c r="AD4" s="25" t="s">
        <v>112</v>
      </c>
      <c r="AE4" s="25" t="s">
        <v>113</v>
      </c>
      <c r="AF4" s="25" t="s">
        <v>114</v>
      </c>
      <c r="AG4" s="25" t="s">
        <v>115</v>
      </c>
      <c r="AH4" s="25" t="s">
        <v>109</v>
      </c>
      <c r="AI4" s="25" t="s">
        <v>110</v>
      </c>
      <c r="AJ4" s="25"/>
    </row>
    <row r="5" spans="1:36" s="22" customFormat="1" ht="17.25" customHeight="1">
      <c r="A5" s="44" t="s">
        <v>2</v>
      </c>
      <c r="B5" s="44" t="s">
        <v>3</v>
      </c>
      <c r="C5" s="26" t="s">
        <v>4</v>
      </c>
      <c r="D5" s="26" t="s">
        <v>5</v>
      </c>
      <c r="E5" s="26" t="s">
        <v>6</v>
      </c>
      <c r="F5" s="27">
        <v>45748</v>
      </c>
      <c r="G5" s="27">
        <v>40604</v>
      </c>
      <c r="H5" s="27">
        <v>40605</v>
      </c>
      <c r="I5" s="27">
        <v>40606</v>
      </c>
      <c r="J5" s="27">
        <v>40607</v>
      </c>
      <c r="K5" s="27">
        <v>40608</v>
      </c>
      <c r="L5" s="27">
        <v>40609</v>
      </c>
      <c r="M5" s="27">
        <v>40610</v>
      </c>
      <c r="N5" s="27">
        <v>40611</v>
      </c>
      <c r="O5" s="27">
        <v>40612</v>
      </c>
      <c r="P5" s="27">
        <v>40613</v>
      </c>
      <c r="Q5" s="27">
        <v>40614</v>
      </c>
      <c r="R5" s="27">
        <v>40615</v>
      </c>
      <c r="S5" s="27">
        <v>40616</v>
      </c>
      <c r="T5" s="27">
        <v>40617</v>
      </c>
      <c r="U5" s="27">
        <v>40618</v>
      </c>
      <c r="V5" s="27">
        <v>40619</v>
      </c>
      <c r="W5" s="27">
        <v>40620</v>
      </c>
      <c r="X5" s="27">
        <v>40621</v>
      </c>
      <c r="Y5" s="27">
        <v>40622</v>
      </c>
      <c r="Z5" s="27">
        <v>40623</v>
      </c>
      <c r="AA5" s="27">
        <v>40624</v>
      </c>
      <c r="AB5" s="27">
        <v>40625</v>
      </c>
      <c r="AC5" s="27">
        <v>40626</v>
      </c>
      <c r="AD5" s="27">
        <v>40627</v>
      </c>
      <c r="AE5" s="27">
        <v>40628</v>
      </c>
      <c r="AF5" s="27">
        <v>40629</v>
      </c>
      <c r="AG5" s="27">
        <v>40630</v>
      </c>
      <c r="AH5" s="27">
        <v>40631</v>
      </c>
      <c r="AI5" s="27">
        <v>40632</v>
      </c>
      <c r="AJ5" s="27" t="s">
        <v>116</v>
      </c>
    </row>
    <row r="6" spans="1:36" ht="17.25" customHeight="1">
      <c r="A6" s="45">
        <v>1</v>
      </c>
      <c r="B6" s="29" t="s">
        <v>17</v>
      </c>
      <c r="C6" s="30" t="s">
        <v>18</v>
      </c>
      <c r="D6" s="30" t="s">
        <v>19</v>
      </c>
      <c r="E6" s="31" t="s">
        <v>20</v>
      </c>
      <c r="F6" s="30">
        <v>0</v>
      </c>
      <c r="G6" s="30">
        <v>0</v>
      </c>
      <c r="H6" s="30">
        <v>0</v>
      </c>
      <c r="I6" s="40"/>
      <c r="J6" s="30">
        <v>192</v>
      </c>
      <c r="K6" s="30">
        <v>213.6</v>
      </c>
      <c r="L6" s="30">
        <v>175.2</v>
      </c>
      <c r="M6" s="30">
        <v>148.80000000000001</v>
      </c>
      <c r="N6" s="30">
        <v>139.19999999999999</v>
      </c>
      <c r="O6" s="30">
        <v>129.6</v>
      </c>
      <c r="P6" s="40"/>
      <c r="Q6" s="30">
        <v>213.6</v>
      </c>
      <c r="R6" s="30">
        <v>144</v>
      </c>
      <c r="S6" s="66">
        <v>192</v>
      </c>
      <c r="T6" s="30">
        <v>158.4</v>
      </c>
      <c r="U6" s="30">
        <v>144</v>
      </c>
      <c r="V6" s="30">
        <v>112.8</v>
      </c>
      <c r="W6" s="40"/>
      <c r="X6" s="30">
        <v>163.19999999999999</v>
      </c>
      <c r="Y6" s="30">
        <v>158.4</v>
      </c>
      <c r="Z6" s="30">
        <v>141.6</v>
      </c>
      <c r="AA6" s="30">
        <v>168</v>
      </c>
      <c r="AB6" s="30">
        <v>139.19999999999999</v>
      </c>
      <c r="AC6" s="30">
        <v>201.6</v>
      </c>
      <c r="AD6" s="40"/>
      <c r="AE6" s="30">
        <v>151.19999999999999</v>
      </c>
      <c r="AF6" s="30">
        <v>194.4</v>
      </c>
      <c r="AG6" s="30">
        <v>151.19999999999999</v>
      </c>
      <c r="AH6" s="30">
        <v>163.19999999999999</v>
      </c>
      <c r="AI6" s="30">
        <v>189.6</v>
      </c>
      <c r="AJ6" s="49">
        <f>SUM(F6:AI6)</f>
        <v>3784.7999999999993</v>
      </c>
    </row>
    <row r="7" spans="1:36" ht="17.25" customHeight="1">
      <c r="A7" s="45">
        <v>2</v>
      </c>
      <c r="B7" s="29" t="s">
        <v>22</v>
      </c>
      <c r="C7" s="30" t="s">
        <v>18</v>
      </c>
      <c r="D7" s="30" t="s">
        <v>19</v>
      </c>
      <c r="E7" s="31" t="s">
        <v>23</v>
      </c>
      <c r="F7" s="30">
        <v>0</v>
      </c>
      <c r="G7" s="30">
        <v>0</v>
      </c>
      <c r="H7" s="30">
        <v>0</v>
      </c>
      <c r="I7" s="40"/>
      <c r="J7" s="30">
        <v>199.2</v>
      </c>
      <c r="K7" s="30">
        <v>192</v>
      </c>
      <c r="L7" s="30">
        <v>201.6</v>
      </c>
      <c r="M7" s="30">
        <v>201.6</v>
      </c>
      <c r="N7" s="30">
        <v>201.6</v>
      </c>
      <c r="O7" s="30">
        <v>201.6</v>
      </c>
      <c r="P7" s="40"/>
      <c r="Q7" s="30">
        <v>199.2</v>
      </c>
      <c r="R7" s="30">
        <v>201.6</v>
      </c>
      <c r="S7" s="66">
        <v>199.2</v>
      </c>
      <c r="T7" s="30">
        <v>199.2</v>
      </c>
      <c r="U7" s="30">
        <v>208.79999999999998</v>
      </c>
      <c r="V7" s="30">
        <v>199.2</v>
      </c>
      <c r="W7" s="40"/>
      <c r="X7" s="30">
        <v>194.4</v>
      </c>
      <c r="Y7" s="30">
        <v>194.4</v>
      </c>
      <c r="Z7" s="30">
        <v>211.2</v>
      </c>
      <c r="AA7" s="30">
        <v>199.2</v>
      </c>
      <c r="AB7" s="30">
        <v>218.4</v>
      </c>
      <c r="AC7" s="30">
        <v>199.2</v>
      </c>
      <c r="AD7" s="40"/>
      <c r="AE7" s="30">
        <v>208.79999999999998</v>
      </c>
      <c r="AF7" s="30">
        <v>201.6</v>
      </c>
      <c r="AG7" s="30">
        <v>208.79999999999998</v>
      </c>
      <c r="AH7" s="30">
        <v>206.4</v>
      </c>
      <c r="AI7" s="30">
        <v>220.79999999999998</v>
      </c>
      <c r="AJ7" s="49">
        <f t="shared" ref="AJ7:AJ46" si="0">SUM(F7:AI7)</f>
        <v>4667.9999999999991</v>
      </c>
    </row>
    <row r="8" spans="1:36" ht="17.25" customHeight="1">
      <c r="A8" s="45">
        <v>3</v>
      </c>
      <c r="B8" s="29" t="s">
        <v>25</v>
      </c>
      <c r="C8" s="30" t="s">
        <v>18</v>
      </c>
      <c r="D8" s="30" t="s">
        <v>19</v>
      </c>
      <c r="E8" s="31" t="s">
        <v>26</v>
      </c>
      <c r="F8" s="30">
        <v>0</v>
      </c>
      <c r="G8" s="30">
        <v>0</v>
      </c>
      <c r="H8" s="30">
        <v>0</v>
      </c>
      <c r="I8" s="40"/>
      <c r="J8" s="30">
        <v>204</v>
      </c>
      <c r="K8" s="30">
        <v>204</v>
      </c>
      <c r="L8" s="30">
        <v>211.2</v>
      </c>
      <c r="M8" s="30">
        <v>240</v>
      </c>
      <c r="N8" s="30">
        <v>225.6</v>
      </c>
      <c r="O8" s="30">
        <v>216</v>
      </c>
      <c r="P8" s="40"/>
      <c r="Q8" s="30">
        <v>247.2</v>
      </c>
      <c r="R8" s="30">
        <v>139.19999999999999</v>
      </c>
      <c r="S8" s="66">
        <v>165.6</v>
      </c>
      <c r="T8" s="30">
        <v>225.6</v>
      </c>
      <c r="U8" s="30">
        <v>146.4</v>
      </c>
      <c r="V8" s="30">
        <v>177.6</v>
      </c>
      <c r="W8" s="40"/>
      <c r="X8" s="30">
        <v>220.79999999999998</v>
      </c>
      <c r="Y8" s="30">
        <v>220.79999999999998</v>
      </c>
      <c r="Z8" s="30">
        <v>208.79999999999998</v>
      </c>
      <c r="AA8" s="30">
        <v>175.2</v>
      </c>
      <c r="AB8" s="30">
        <v>249.6</v>
      </c>
      <c r="AC8" s="30">
        <v>228</v>
      </c>
      <c r="AD8" s="40"/>
      <c r="AE8" s="30">
        <v>228</v>
      </c>
      <c r="AF8" s="30">
        <v>240</v>
      </c>
      <c r="AG8" s="30">
        <v>213.6</v>
      </c>
      <c r="AH8" s="30">
        <v>216</v>
      </c>
      <c r="AI8" s="30">
        <v>208.79999999999998</v>
      </c>
      <c r="AJ8" s="49">
        <f t="shared" si="0"/>
        <v>4812.0000000000009</v>
      </c>
    </row>
    <row r="9" spans="1:36" ht="17.25" customHeight="1">
      <c r="A9" s="45">
        <v>4</v>
      </c>
      <c r="B9" s="29" t="s">
        <v>27</v>
      </c>
      <c r="C9" s="30" t="s">
        <v>18</v>
      </c>
      <c r="D9" s="30" t="s">
        <v>19</v>
      </c>
      <c r="E9" s="31" t="s">
        <v>28</v>
      </c>
      <c r="F9" s="30">
        <v>0</v>
      </c>
      <c r="G9" s="30">
        <v>0</v>
      </c>
      <c r="H9" s="30">
        <v>0</v>
      </c>
      <c r="I9" s="40"/>
      <c r="J9" s="30">
        <v>69.599999999999994</v>
      </c>
      <c r="K9" s="30">
        <v>146.4</v>
      </c>
      <c r="L9" s="30">
        <v>72</v>
      </c>
      <c r="M9" s="30">
        <v>67.2</v>
      </c>
      <c r="N9" s="30">
        <v>84</v>
      </c>
      <c r="O9" s="30">
        <v>64.8</v>
      </c>
      <c r="P9" s="40"/>
      <c r="Q9" s="30">
        <v>64.8</v>
      </c>
      <c r="R9" s="30">
        <v>105.6</v>
      </c>
      <c r="S9" s="66">
        <v>146.4</v>
      </c>
      <c r="T9" s="30">
        <v>64.8</v>
      </c>
      <c r="U9" s="30">
        <v>69.599999999999994</v>
      </c>
      <c r="V9" s="30">
        <v>141.6</v>
      </c>
      <c r="W9" s="40"/>
      <c r="X9" s="30">
        <v>69.599999999999994</v>
      </c>
      <c r="Y9" s="30">
        <v>194.4</v>
      </c>
      <c r="Z9" s="30">
        <v>64.8</v>
      </c>
      <c r="AA9" s="30">
        <v>69.599999999999994</v>
      </c>
      <c r="AB9" s="30">
        <v>91.2</v>
      </c>
      <c r="AC9" s="30">
        <v>163.19999999999999</v>
      </c>
      <c r="AD9" s="40"/>
      <c r="AE9" s="30">
        <v>69.599999999999994</v>
      </c>
      <c r="AF9" s="30">
        <v>158.4</v>
      </c>
      <c r="AG9" s="30">
        <v>69.599999999999994</v>
      </c>
      <c r="AH9" s="30">
        <v>74.399999999999991</v>
      </c>
      <c r="AI9" s="30">
        <v>218.4</v>
      </c>
      <c r="AJ9" s="49">
        <f t="shared" si="0"/>
        <v>2340</v>
      </c>
    </row>
    <row r="10" spans="1:36" ht="17.25" customHeight="1">
      <c r="A10" s="45">
        <v>5</v>
      </c>
      <c r="B10" s="46" t="s">
        <v>29</v>
      </c>
      <c r="C10" s="30" t="s">
        <v>18</v>
      </c>
      <c r="D10" s="30" t="s">
        <v>19</v>
      </c>
      <c r="E10" s="31" t="s">
        <v>30</v>
      </c>
      <c r="F10" s="30">
        <v>0</v>
      </c>
      <c r="G10" s="30">
        <v>0</v>
      </c>
      <c r="H10" s="30">
        <v>0</v>
      </c>
      <c r="I10" s="40"/>
      <c r="J10" s="30">
        <v>91.2</v>
      </c>
      <c r="K10" s="30"/>
      <c r="L10" s="30">
        <v>117.6</v>
      </c>
      <c r="M10" s="30">
        <v>105.6</v>
      </c>
      <c r="N10" s="30">
        <v>96</v>
      </c>
      <c r="O10" s="30">
        <v>103.2</v>
      </c>
      <c r="P10" s="40"/>
      <c r="Q10" s="30">
        <v>124.8</v>
      </c>
      <c r="R10" s="30">
        <v>98.399999999999991</v>
      </c>
      <c r="S10" s="66">
        <v>122.39999999999999</v>
      </c>
      <c r="T10" s="30">
        <v>81.599999999999994</v>
      </c>
      <c r="U10" s="30">
        <v>96</v>
      </c>
      <c r="V10" s="30">
        <v>134.4</v>
      </c>
      <c r="W10" s="40"/>
      <c r="X10" s="30">
        <v>103.2</v>
      </c>
      <c r="Y10" s="30">
        <v>151.19999999999999</v>
      </c>
      <c r="Z10" s="30">
        <v>115.19999999999999</v>
      </c>
      <c r="AA10" s="30">
        <v>96</v>
      </c>
      <c r="AB10" s="30">
        <v>100.8</v>
      </c>
      <c r="AC10" s="30">
        <v>129.6</v>
      </c>
      <c r="AD10" s="40"/>
      <c r="AE10" s="30">
        <v>108</v>
      </c>
      <c r="AF10" s="30">
        <v>136.79999999999998</v>
      </c>
      <c r="AG10" s="30">
        <v>100.8</v>
      </c>
      <c r="AH10" s="30">
        <v>103.2</v>
      </c>
      <c r="AI10" s="30">
        <v>134.4</v>
      </c>
      <c r="AJ10" s="49">
        <f t="shared" si="0"/>
        <v>2450.4</v>
      </c>
    </row>
    <row r="11" spans="1:36" ht="17.25" customHeight="1">
      <c r="A11" s="45">
        <v>6</v>
      </c>
      <c r="B11" s="29" t="s">
        <v>117</v>
      </c>
      <c r="C11" s="30" t="s">
        <v>18</v>
      </c>
      <c r="D11" s="30" t="s">
        <v>19</v>
      </c>
      <c r="E11" s="47" t="s">
        <v>32</v>
      </c>
      <c r="F11" s="30">
        <v>0</v>
      </c>
      <c r="G11" s="30">
        <v>0</v>
      </c>
      <c r="H11" s="30">
        <v>0</v>
      </c>
      <c r="I11" s="40"/>
      <c r="J11" s="30">
        <v>206.4</v>
      </c>
      <c r="K11" s="30">
        <v>208.8</v>
      </c>
      <c r="L11" s="30">
        <v>211.2</v>
      </c>
      <c r="M11" s="30">
        <v>211.2</v>
      </c>
      <c r="N11" s="30">
        <v>218.4</v>
      </c>
      <c r="O11" s="30">
        <v>192</v>
      </c>
      <c r="P11" s="40"/>
      <c r="Q11" s="30">
        <v>192</v>
      </c>
      <c r="R11" s="30">
        <v>192</v>
      </c>
      <c r="S11" s="66">
        <v>196.79999999999998</v>
      </c>
      <c r="T11" s="30">
        <v>194.4</v>
      </c>
      <c r="U11" s="30">
        <v>201.6</v>
      </c>
      <c r="V11" s="30">
        <v>213.6</v>
      </c>
      <c r="W11" s="40"/>
      <c r="X11" s="30">
        <v>196.79999999999998</v>
      </c>
      <c r="Y11" s="30">
        <v>218.4</v>
      </c>
      <c r="Z11" s="30">
        <v>237.6</v>
      </c>
      <c r="AA11" s="30">
        <v>204</v>
      </c>
      <c r="AB11" s="30">
        <v>192</v>
      </c>
      <c r="AC11" s="30">
        <v>199.2</v>
      </c>
      <c r="AD11" s="40"/>
      <c r="AE11" s="30">
        <v>199.2</v>
      </c>
      <c r="AF11" s="30">
        <v>223.2</v>
      </c>
      <c r="AG11" s="30">
        <v>196.79999999999998</v>
      </c>
      <c r="AH11" s="30">
        <v>201.6</v>
      </c>
      <c r="AI11" s="30">
        <v>208.79999999999998</v>
      </c>
      <c r="AJ11" s="49">
        <f t="shared" si="0"/>
        <v>4716.0000000000009</v>
      </c>
    </row>
    <row r="12" spans="1:36" ht="17.25" customHeight="1">
      <c r="A12" s="45">
        <v>7</v>
      </c>
      <c r="B12" s="33" t="s">
        <v>33</v>
      </c>
      <c r="C12" s="30" t="s">
        <v>18</v>
      </c>
      <c r="D12" s="30" t="s">
        <v>19</v>
      </c>
      <c r="E12" s="31" t="s">
        <v>34</v>
      </c>
      <c r="F12" s="30">
        <v>0</v>
      </c>
      <c r="G12" s="30">
        <v>0</v>
      </c>
      <c r="H12" s="30">
        <v>0</v>
      </c>
      <c r="I12" s="40"/>
      <c r="J12" s="30">
        <v>199.2</v>
      </c>
      <c r="K12" s="30">
        <v>196.8</v>
      </c>
      <c r="L12" s="30">
        <v>206.4</v>
      </c>
      <c r="M12" s="30">
        <v>228</v>
      </c>
      <c r="N12" s="30">
        <v>199.2</v>
      </c>
      <c r="O12" s="30">
        <v>201.6</v>
      </c>
      <c r="P12" s="40"/>
      <c r="Q12" s="30">
        <v>220.79999999999998</v>
      </c>
      <c r="R12" s="30">
        <v>189.6</v>
      </c>
      <c r="S12" s="66">
        <v>199.2</v>
      </c>
      <c r="T12" s="30">
        <v>196.79999999999998</v>
      </c>
      <c r="U12" s="30">
        <v>196.79999999999998</v>
      </c>
      <c r="V12" s="30">
        <v>201.6</v>
      </c>
      <c r="W12" s="40"/>
      <c r="X12" s="30">
        <v>192</v>
      </c>
      <c r="Y12" s="30">
        <v>199.2</v>
      </c>
      <c r="Z12" s="30">
        <v>199.2</v>
      </c>
      <c r="AA12" s="30">
        <v>199.2</v>
      </c>
      <c r="AB12" s="30">
        <v>201.6</v>
      </c>
      <c r="AC12" s="30">
        <v>201.6</v>
      </c>
      <c r="AD12" s="40"/>
      <c r="AE12" s="30">
        <v>204</v>
      </c>
      <c r="AF12" s="30">
        <v>211.2</v>
      </c>
      <c r="AG12" s="30">
        <v>206.4</v>
      </c>
      <c r="AH12" s="30">
        <v>192</v>
      </c>
      <c r="AI12" s="30">
        <v>204</v>
      </c>
      <c r="AJ12" s="49">
        <f t="shared" si="0"/>
        <v>4646.3999999999987</v>
      </c>
    </row>
    <row r="13" spans="1:36" ht="17.25" customHeight="1">
      <c r="A13" s="45">
        <v>8</v>
      </c>
      <c r="B13" s="29" t="s">
        <v>35</v>
      </c>
      <c r="C13" s="30" t="s">
        <v>18</v>
      </c>
      <c r="D13" s="30" t="s">
        <v>19</v>
      </c>
      <c r="E13" s="31" t="s">
        <v>36</v>
      </c>
      <c r="F13" s="30">
        <v>0</v>
      </c>
      <c r="G13" s="30">
        <v>0</v>
      </c>
      <c r="H13" s="30">
        <v>0</v>
      </c>
      <c r="I13" s="40"/>
      <c r="J13" s="30">
        <v>235.2</v>
      </c>
      <c r="K13" s="30">
        <v>220.8</v>
      </c>
      <c r="L13" s="30">
        <v>228</v>
      </c>
      <c r="M13" s="30">
        <v>225.6</v>
      </c>
      <c r="N13" s="30">
        <v>232.8</v>
      </c>
      <c r="O13" s="30">
        <v>225.6</v>
      </c>
      <c r="P13" s="40"/>
      <c r="Q13" s="30">
        <v>230.39999999999998</v>
      </c>
      <c r="R13" s="30">
        <v>230.39999999999998</v>
      </c>
      <c r="S13" s="66">
        <v>228</v>
      </c>
      <c r="T13" s="30">
        <v>220.79999999999998</v>
      </c>
      <c r="U13" s="30">
        <v>230.39999999999998</v>
      </c>
      <c r="V13" s="30">
        <v>249.6</v>
      </c>
      <c r="W13" s="40"/>
      <c r="X13" s="30">
        <v>230.39999999999998</v>
      </c>
      <c r="Y13" s="30">
        <v>218.4</v>
      </c>
      <c r="Z13" s="30">
        <v>223.2</v>
      </c>
      <c r="AA13" s="30">
        <v>225.6</v>
      </c>
      <c r="AB13" s="30">
        <v>220.79999999999998</v>
      </c>
      <c r="AC13" s="30">
        <v>225.6</v>
      </c>
      <c r="AD13" s="40"/>
      <c r="AE13" s="30">
        <v>216</v>
      </c>
      <c r="AF13" s="30">
        <v>228</v>
      </c>
      <c r="AG13" s="30">
        <v>228</v>
      </c>
      <c r="AH13" s="30">
        <v>228</v>
      </c>
      <c r="AI13" s="30">
        <v>247.2</v>
      </c>
      <c r="AJ13" s="49">
        <f t="shared" si="0"/>
        <v>5248.8</v>
      </c>
    </row>
    <row r="14" spans="1:36" ht="17.25" customHeight="1">
      <c r="A14" s="45">
        <v>9</v>
      </c>
      <c r="B14" s="29" t="s">
        <v>37</v>
      </c>
      <c r="C14" s="30" t="s">
        <v>18</v>
      </c>
      <c r="D14" s="30" t="s">
        <v>19</v>
      </c>
      <c r="E14" s="31" t="s">
        <v>38</v>
      </c>
      <c r="F14" s="30">
        <v>0</v>
      </c>
      <c r="G14" s="30">
        <v>0</v>
      </c>
      <c r="H14" s="30">
        <v>0</v>
      </c>
      <c r="I14" s="40"/>
      <c r="J14" s="30">
        <v>249.6</v>
      </c>
      <c r="K14" s="30">
        <v>254.4</v>
      </c>
      <c r="L14" s="30">
        <v>244.8</v>
      </c>
      <c r="M14" s="30">
        <v>244.8</v>
      </c>
      <c r="N14" s="30">
        <v>242.4</v>
      </c>
      <c r="O14" s="30">
        <v>247.2</v>
      </c>
      <c r="P14" s="40"/>
      <c r="Q14" s="30">
        <v>254.39999999999998</v>
      </c>
      <c r="R14" s="30">
        <v>252</v>
      </c>
      <c r="S14" s="66">
        <v>242.39999999999998</v>
      </c>
      <c r="T14" s="30">
        <v>254.39999999999998</v>
      </c>
      <c r="U14" s="30">
        <v>244.79999999999998</v>
      </c>
      <c r="V14" s="30">
        <v>261.59999999999997</v>
      </c>
      <c r="W14" s="40"/>
      <c r="X14" s="30">
        <v>280.8</v>
      </c>
      <c r="Y14" s="30">
        <v>244.79999999999998</v>
      </c>
      <c r="Z14" s="30">
        <v>244.79999999999998</v>
      </c>
      <c r="AA14" s="30">
        <v>256.8</v>
      </c>
      <c r="AB14" s="30">
        <v>278.39999999999998</v>
      </c>
      <c r="AC14" s="30">
        <v>290.39999999999998</v>
      </c>
      <c r="AD14" s="40"/>
      <c r="AE14" s="30">
        <v>249.6</v>
      </c>
      <c r="AF14" s="30">
        <v>249.6</v>
      </c>
      <c r="AG14" s="30">
        <v>247.2</v>
      </c>
      <c r="AH14" s="30">
        <v>264</v>
      </c>
      <c r="AI14" s="30">
        <v>244.79999999999998</v>
      </c>
      <c r="AJ14" s="49">
        <f t="shared" si="0"/>
        <v>5844.0000000000009</v>
      </c>
    </row>
    <row r="15" spans="1:36" ht="17.25" customHeight="1">
      <c r="A15" s="45">
        <v>10</v>
      </c>
      <c r="B15" s="29" t="s">
        <v>39</v>
      </c>
      <c r="C15" s="30" t="s">
        <v>18</v>
      </c>
      <c r="D15" s="30" t="s">
        <v>19</v>
      </c>
      <c r="E15" s="31" t="s">
        <v>40</v>
      </c>
      <c r="F15" s="30">
        <v>0</v>
      </c>
      <c r="G15" s="30">
        <v>0</v>
      </c>
      <c r="H15" s="30">
        <v>0</v>
      </c>
      <c r="I15" s="40"/>
      <c r="J15" s="30">
        <v>0</v>
      </c>
      <c r="K15" s="30">
        <v>21.6</v>
      </c>
      <c r="L15" s="30">
        <v>21.6</v>
      </c>
      <c r="M15" s="30">
        <v>21.6</v>
      </c>
      <c r="N15" s="30">
        <v>21.6</v>
      </c>
      <c r="O15" s="30">
        <v>21.6</v>
      </c>
      <c r="P15" s="40"/>
      <c r="Q15" s="30">
        <v>21.6</v>
      </c>
      <c r="R15" s="30">
        <v>21.6</v>
      </c>
      <c r="S15" s="72">
        <v>21.6</v>
      </c>
      <c r="T15" s="30">
        <v>21.6</v>
      </c>
      <c r="U15" s="30">
        <v>21.6</v>
      </c>
      <c r="V15" s="30">
        <v>21.6</v>
      </c>
      <c r="W15" s="40"/>
      <c r="X15" s="30">
        <v>21.6</v>
      </c>
      <c r="Y15" s="30">
        <v>21.599999999999998</v>
      </c>
      <c r="Z15" s="30">
        <v>21.599999999999998</v>
      </c>
      <c r="AA15" s="30">
        <v>21.599999999999998</v>
      </c>
      <c r="AB15" s="30">
        <v>21.599999999999998</v>
      </c>
      <c r="AC15" s="30">
        <v>21.599999999999998</v>
      </c>
      <c r="AD15" s="40"/>
      <c r="AE15" s="30">
        <v>21.599999999999998</v>
      </c>
      <c r="AF15" s="30">
        <v>21.599999999999998</v>
      </c>
      <c r="AG15" s="30">
        <v>21.599999999999998</v>
      </c>
      <c r="AH15" s="30">
        <v>21.599999999999998</v>
      </c>
      <c r="AI15" s="30">
        <v>21.599999999999998</v>
      </c>
      <c r="AJ15" s="49">
        <f t="shared" si="0"/>
        <v>475.20000000000022</v>
      </c>
    </row>
    <row r="16" spans="1:36" ht="17.25" customHeight="1">
      <c r="A16" s="45">
        <v>11</v>
      </c>
      <c r="B16" s="29" t="s">
        <v>41</v>
      </c>
      <c r="C16" s="30" t="s">
        <v>18</v>
      </c>
      <c r="D16" s="30" t="s">
        <v>19</v>
      </c>
      <c r="E16" s="31" t="s">
        <v>42</v>
      </c>
      <c r="F16" s="30">
        <v>0</v>
      </c>
      <c r="G16" s="30">
        <v>0</v>
      </c>
      <c r="H16" s="30">
        <v>0</v>
      </c>
      <c r="I16" s="40"/>
      <c r="J16" s="30">
        <v>172.8</v>
      </c>
      <c r="K16" s="30">
        <v>172.8</v>
      </c>
      <c r="L16" s="30">
        <v>170.4</v>
      </c>
      <c r="M16" s="30">
        <v>170.4</v>
      </c>
      <c r="N16" s="30">
        <v>168</v>
      </c>
      <c r="O16" s="30">
        <v>170.4</v>
      </c>
      <c r="P16" s="40"/>
      <c r="Q16" s="30">
        <v>184.79999999999998</v>
      </c>
      <c r="R16" s="30">
        <v>180</v>
      </c>
      <c r="S16" s="66">
        <v>175.2</v>
      </c>
      <c r="T16" s="30">
        <v>175.2</v>
      </c>
      <c r="U16" s="30">
        <v>180</v>
      </c>
      <c r="V16" s="30">
        <v>168</v>
      </c>
      <c r="W16" s="40"/>
      <c r="X16" s="30">
        <v>170.4</v>
      </c>
      <c r="Y16" s="30">
        <v>182.4</v>
      </c>
      <c r="Z16" s="30">
        <v>208.79999999999998</v>
      </c>
      <c r="AA16" s="30">
        <v>172.79999999999998</v>
      </c>
      <c r="AB16" s="30">
        <v>225.6</v>
      </c>
      <c r="AC16" s="30">
        <v>180</v>
      </c>
      <c r="AD16" s="40"/>
      <c r="AE16" s="30">
        <v>168</v>
      </c>
      <c r="AF16" s="30">
        <v>175.2</v>
      </c>
      <c r="AG16" s="30">
        <v>192</v>
      </c>
      <c r="AH16" s="30">
        <v>175.2</v>
      </c>
      <c r="AI16" s="30">
        <v>201.6</v>
      </c>
      <c r="AJ16" s="49">
        <f t="shared" si="0"/>
        <v>4140</v>
      </c>
    </row>
    <row r="17" spans="1:36" ht="17.25" customHeight="1">
      <c r="A17" s="45">
        <v>12</v>
      </c>
      <c r="B17" s="29" t="s">
        <v>43</v>
      </c>
      <c r="C17" s="30" t="s">
        <v>18</v>
      </c>
      <c r="D17" s="30" t="s">
        <v>44</v>
      </c>
      <c r="E17" s="31" t="s">
        <v>45</v>
      </c>
      <c r="F17" s="30">
        <v>0</v>
      </c>
      <c r="G17" s="30">
        <v>0</v>
      </c>
      <c r="H17" s="30">
        <v>0</v>
      </c>
      <c r="I17" s="40"/>
      <c r="J17" s="30">
        <v>196.8</v>
      </c>
      <c r="K17" s="30">
        <v>177.6</v>
      </c>
      <c r="L17" s="30">
        <v>196.8</v>
      </c>
      <c r="M17" s="30">
        <v>189.6</v>
      </c>
      <c r="N17" s="30">
        <v>187.2</v>
      </c>
      <c r="O17" s="30">
        <v>206.4</v>
      </c>
      <c r="P17" s="40"/>
      <c r="Q17" s="30">
        <v>189.6</v>
      </c>
      <c r="R17" s="30">
        <v>201.6</v>
      </c>
      <c r="S17" s="66">
        <v>180</v>
      </c>
      <c r="T17" s="30">
        <v>194.4</v>
      </c>
      <c r="U17" s="30">
        <v>196.79999999999998</v>
      </c>
      <c r="V17" s="30">
        <v>192</v>
      </c>
      <c r="W17" s="40"/>
      <c r="X17" s="30">
        <v>180</v>
      </c>
      <c r="Y17" s="30">
        <v>192</v>
      </c>
      <c r="Z17" s="30">
        <v>182.4</v>
      </c>
      <c r="AA17" s="30">
        <v>184.79999999999998</v>
      </c>
      <c r="AB17" s="30">
        <v>225.6</v>
      </c>
      <c r="AC17" s="30">
        <v>182.4</v>
      </c>
      <c r="AD17" s="40"/>
      <c r="AE17" s="30">
        <v>199.2</v>
      </c>
      <c r="AF17" s="30">
        <v>216</v>
      </c>
      <c r="AG17" s="30">
        <v>187.2</v>
      </c>
      <c r="AH17" s="30">
        <v>204</v>
      </c>
      <c r="AI17" s="30">
        <v>180</v>
      </c>
      <c r="AJ17" s="49">
        <f t="shared" si="0"/>
        <v>4442.3999999999996</v>
      </c>
    </row>
    <row r="18" spans="1:36" ht="17.25" customHeight="1">
      <c r="A18" s="45">
        <v>13</v>
      </c>
      <c r="B18" s="29" t="s">
        <v>46</v>
      </c>
      <c r="C18" s="30" t="s">
        <v>18</v>
      </c>
      <c r="D18" s="30" t="s">
        <v>44</v>
      </c>
      <c r="E18" s="31" t="s">
        <v>47</v>
      </c>
      <c r="F18" s="30">
        <v>0</v>
      </c>
      <c r="G18" s="30">
        <v>0</v>
      </c>
      <c r="H18" s="30">
        <v>0</v>
      </c>
      <c r="I18" s="40"/>
      <c r="J18" s="30">
        <v>213.6</v>
      </c>
      <c r="K18" s="30">
        <v>220.8</v>
      </c>
      <c r="L18" s="30">
        <v>208.8</v>
      </c>
      <c r="M18" s="30">
        <v>218.4</v>
      </c>
      <c r="N18" s="30">
        <v>216</v>
      </c>
      <c r="O18" s="30">
        <v>196.8</v>
      </c>
      <c r="P18" s="40"/>
      <c r="Q18" s="30">
        <v>201.6</v>
      </c>
      <c r="R18" s="30">
        <v>206.4</v>
      </c>
      <c r="S18" s="66">
        <v>199.2</v>
      </c>
      <c r="T18" s="30">
        <v>204</v>
      </c>
      <c r="U18" s="30">
        <v>208.79999999999998</v>
      </c>
      <c r="V18" s="30">
        <v>206.4</v>
      </c>
      <c r="W18" s="40"/>
      <c r="X18" s="30">
        <v>225.6</v>
      </c>
      <c r="Y18" s="30">
        <v>201.6</v>
      </c>
      <c r="Z18" s="30">
        <v>208.79999999999998</v>
      </c>
      <c r="AA18" s="30">
        <v>211.2</v>
      </c>
      <c r="AB18" s="30">
        <v>216</v>
      </c>
      <c r="AC18" s="30">
        <v>211.2</v>
      </c>
      <c r="AD18" s="40"/>
      <c r="AE18" s="30">
        <v>218.4</v>
      </c>
      <c r="AF18" s="30">
        <v>213.6</v>
      </c>
      <c r="AG18" s="30">
        <v>223.2</v>
      </c>
      <c r="AH18" s="30">
        <v>218.4</v>
      </c>
      <c r="AI18" s="30">
        <v>220.79999999999998</v>
      </c>
      <c r="AJ18" s="49">
        <f t="shared" si="0"/>
        <v>4869.5999999999995</v>
      </c>
    </row>
    <row r="19" spans="1:36" ht="17.25" customHeight="1">
      <c r="A19" s="45">
        <v>14</v>
      </c>
      <c r="B19" s="29" t="s">
        <v>48</v>
      </c>
      <c r="C19" s="30" t="s">
        <v>18</v>
      </c>
      <c r="D19" s="30" t="s">
        <v>44</v>
      </c>
      <c r="E19" s="31" t="s">
        <v>49</v>
      </c>
      <c r="F19" s="30">
        <v>0</v>
      </c>
      <c r="G19" s="30">
        <v>0</v>
      </c>
      <c r="H19" s="30">
        <v>0</v>
      </c>
      <c r="I19" s="40"/>
      <c r="J19" s="30">
        <v>148.80000000000001</v>
      </c>
      <c r="K19" s="30">
        <v>139.19999999999999</v>
      </c>
      <c r="L19" s="30">
        <v>151.19999999999999</v>
      </c>
      <c r="M19" s="30">
        <v>158.4</v>
      </c>
      <c r="N19" s="30">
        <v>148.80000000000001</v>
      </c>
      <c r="O19" s="30">
        <v>141.6</v>
      </c>
      <c r="P19" s="40"/>
      <c r="Q19" s="30">
        <v>151.19999999999999</v>
      </c>
      <c r="R19" s="30">
        <v>168</v>
      </c>
      <c r="S19" s="66">
        <v>156</v>
      </c>
      <c r="T19" s="30">
        <v>158.4</v>
      </c>
      <c r="U19" s="30">
        <v>153.6</v>
      </c>
      <c r="V19" s="30">
        <v>153.6</v>
      </c>
      <c r="W19" s="40"/>
      <c r="X19" s="30">
        <v>153.6</v>
      </c>
      <c r="Y19" s="30">
        <v>156</v>
      </c>
      <c r="Z19" s="30">
        <v>158.4</v>
      </c>
      <c r="AA19" s="30">
        <v>175.2</v>
      </c>
      <c r="AB19" s="30">
        <v>151.19999999999999</v>
      </c>
      <c r="AC19" s="30">
        <v>165.6</v>
      </c>
      <c r="AD19" s="40"/>
      <c r="AE19" s="30">
        <v>180</v>
      </c>
      <c r="AF19" s="30">
        <v>160.79999999999998</v>
      </c>
      <c r="AG19" s="30">
        <v>163.19999999999999</v>
      </c>
      <c r="AH19" s="30">
        <v>151.19999999999999</v>
      </c>
      <c r="AI19" s="30">
        <v>160.79999999999998</v>
      </c>
      <c r="AJ19" s="49">
        <f t="shared" si="0"/>
        <v>3604.7999999999993</v>
      </c>
    </row>
    <row r="20" spans="1:36" ht="17.25" customHeight="1">
      <c r="A20" s="45">
        <v>15</v>
      </c>
      <c r="B20" s="29" t="s">
        <v>50</v>
      </c>
      <c r="C20" s="30" t="s">
        <v>18</v>
      </c>
      <c r="D20" s="30" t="s">
        <v>44</v>
      </c>
      <c r="E20" s="31" t="s">
        <v>51</v>
      </c>
      <c r="F20" s="30">
        <v>0</v>
      </c>
      <c r="G20" s="30">
        <v>0</v>
      </c>
      <c r="H20" s="30">
        <v>0</v>
      </c>
      <c r="I20" s="40"/>
      <c r="J20" s="30">
        <v>134.4</v>
      </c>
      <c r="K20" s="30">
        <v>134.4</v>
      </c>
      <c r="L20" s="30">
        <v>134.4</v>
      </c>
      <c r="M20" s="30">
        <v>148.80000000000001</v>
      </c>
      <c r="N20" s="30">
        <v>153.6</v>
      </c>
      <c r="O20" s="30">
        <v>129.6</v>
      </c>
      <c r="P20" s="40"/>
      <c r="Q20" s="30">
        <v>156</v>
      </c>
      <c r="R20" s="30">
        <v>134.4</v>
      </c>
      <c r="S20" s="66">
        <v>132</v>
      </c>
      <c r="T20" s="30">
        <v>139.19999999999999</v>
      </c>
      <c r="U20" s="30">
        <v>132</v>
      </c>
      <c r="V20" s="30">
        <v>132</v>
      </c>
      <c r="W20" s="40"/>
      <c r="X20" s="30">
        <v>134.4</v>
      </c>
      <c r="Y20" s="30">
        <v>132</v>
      </c>
      <c r="Z20" s="30">
        <v>136.79999999999998</v>
      </c>
      <c r="AA20" s="30">
        <v>144</v>
      </c>
      <c r="AB20" s="30">
        <v>132</v>
      </c>
      <c r="AC20" s="30">
        <v>134.4</v>
      </c>
      <c r="AD20" s="40"/>
      <c r="AE20" s="30">
        <v>148.79999999999998</v>
      </c>
      <c r="AF20" s="30">
        <v>136.79999999999998</v>
      </c>
      <c r="AG20" s="30">
        <v>163.19999999999999</v>
      </c>
      <c r="AH20" s="30">
        <v>153.6</v>
      </c>
      <c r="AI20" s="30">
        <v>134.4</v>
      </c>
      <c r="AJ20" s="49">
        <f t="shared" si="0"/>
        <v>3211.2000000000007</v>
      </c>
    </row>
    <row r="21" spans="1:36" ht="17.25" customHeight="1">
      <c r="A21" s="45">
        <v>16</v>
      </c>
      <c r="B21" s="29" t="s">
        <v>52</v>
      </c>
      <c r="C21" s="30" t="s">
        <v>18</v>
      </c>
      <c r="D21" s="30" t="s">
        <v>44</v>
      </c>
      <c r="E21" s="31" t="s">
        <v>53</v>
      </c>
      <c r="F21" s="30">
        <v>0</v>
      </c>
      <c r="G21" s="30">
        <v>0</v>
      </c>
      <c r="H21" s="30">
        <v>0</v>
      </c>
      <c r="I21" s="40"/>
      <c r="J21" s="30">
        <v>0</v>
      </c>
      <c r="K21" s="30">
        <v>21.6</v>
      </c>
      <c r="L21" s="30">
        <v>21.6</v>
      </c>
      <c r="M21" s="30">
        <v>21.6</v>
      </c>
      <c r="N21" s="30">
        <v>21.6</v>
      </c>
      <c r="O21" s="30">
        <v>21.6</v>
      </c>
      <c r="P21" s="40"/>
      <c r="Q21" s="30">
        <v>21.6</v>
      </c>
      <c r="R21" s="30">
        <v>21.6</v>
      </c>
      <c r="S21" s="72">
        <v>21.6</v>
      </c>
      <c r="T21" s="30">
        <v>21.6</v>
      </c>
      <c r="U21" s="30">
        <v>21.6</v>
      </c>
      <c r="V21" s="30">
        <v>21.6</v>
      </c>
      <c r="W21" s="40"/>
      <c r="X21" s="30">
        <v>21.6</v>
      </c>
      <c r="Y21" s="30">
        <v>21.599999999999998</v>
      </c>
      <c r="Z21" s="30">
        <v>21.599999999999998</v>
      </c>
      <c r="AA21" s="30">
        <v>21.599999999999998</v>
      </c>
      <c r="AB21" s="30">
        <v>21.599999999999998</v>
      </c>
      <c r="AC21" s="30">
        <v>21.599999999999998</v>
      </c>
      <c r="AD21" s="40"/>
      <c r="AE21" s="30">
        <v>21.599999999999998</v>
      </c>
      <c r="AF21" s="30">
        <v>21.599999999999998</v>
      </c>
      <c r="AG21" s="30">
        <v>21.599999999999998</v>
      </c>
      <c r="AH21" s="30">
        <v>21.599999999999998</v>
      </c>
      <c r="AI21" s="30">
        <v>21.599999999999998</v>
      </c>
      <c r="AJ21" s="49">
        <f t="shared" si="0"/>
        <v>475.20000000000022</v>
      </c>
    </row>
    <row r="22" spans="1:36" ht="17.25" customHeight="1">
      <c r="A22" s="45">
        <v>17</v>
      </c>
      <c r="B22" s="29" t="s">
        <v>54</v>
      </c>
      <c r="C22" s="30" t="s">
        <v>18</v>
      </c>
      <c r="D22" s="30" t="s">
        <v>44</v>
      </c>
      <c r="E22" s="31" t="s">
        <v>55</v>
      </c>
      <c r="F22" s="30">
        <v>0</v>
      </c>
      <c r="G22" s="30">
        <v>0</v>
      </c>
      <c r="H22" s="30">
        <v>0</v>
      </c>
      <c r="I22" s="40"/>
      <c r="J22" s="30">
        <v>201.6</v>
      </c>
      <c r="K22" s="30">
        <v>189.6</v>
      </c>
      <c r="L22" s="30">
        <v>194.4</v>
      </c>
      <c r="M22" s="30">
        <v>189.6</v>
      </c>
      <c r="N22" s="30">
        <v>194.4</v>
      </c>
      <c r="O22" s="30">
        <v>189.6</v>
      </c>
      <c r="P22" s="40"/>
      <c r="Q22" s="30">
        <v>184.79999999999998</v>
      </c>
      <c r="R22" s="30">
        <v>187.2</v>
      </c>
      <c r="S22" s="66">
        <v>187.2</v>
      </c>
      <c r="T22" s="30">
        <v>184.79999999999998</v>
      </c>
      <c r="U22" s="30">
        <v>184.79999999999998</v>
      </c>
      <c r="V22" s="30">
        <v>192</v>
      </c>
      <c r="W22" s="40"/>
      <c r="X22" s="30">
        <v>204</v>
      </c>
      <c r="Y22" s="30">
        <v>189.6</v>
      </c>
      <c r="Z22" s="30">
        <v>187.2</v>
      </c>
      <c r="AA22" s="30">
        <v>187.2</v>
      </c>
      <c r="AB22" s="30">
        <v>0</v>
      </c>
      <c r="AC22" s="30">
        <v>165.6</v>
      </c>
      <c r="AD22" s="40"/>
      <c r="AE22" s="30">
        <v>184.79999999999998</v>
      </c>
      <c r="AF22" s="30">
        <v>206.4</v>
      </c>
      <c r="AG22" s="30">
        <v>216</v>
      </c>
      <c r="AH22" s="30">
        <v>211.2</v>
      </c>
      <c r="AI22" s="30">
        <v>211.2</v>
      </c>
      <c r="AJ22" s="49">
        <f t="shared" si="0"/>
        <v>4243.2</v>
      </c>
    </row>
    <row r="23" spans="1:36" ht="17.25" customHeight="1">
      <c r="A23" s="45">
        <v>18</v>
      </c>
      <c r="B23" s="29" t="s">
        <v>56</v>
      </c>
      <c r="C23" s="30" t="s">
        <v>18</v>
      </c>
      <c r="D23" s="30" t="s">
        <v>44</v>
      </c>
      <c r="E23" s="31" t="s">
        <v>57</v>
      </c>
      <c r="F23" s="30">
        <v>0</v>
      </c>
      <c r="G23" s="30">
        <v>0</v>
      </c>
      <c r="H23" s="30">
        <v>0</v>
      </c>
      <c r="I23" s="40"/>
      <c r="J23" s="30">
        <v>129.6</v>
      </c>
      <c r="K23" s="30">
        <v>136.80000000000001</v>
      </c>
      <c r="L23" s="30">
        <v>129.6</v>
      </c>
      <c r="M23" s="30">
        <v>120</v>
      </c>
      <c r="N23" s="30">
        <v>122.4</v>
      </c>
      <c r="O23" s="30">
        <v>134.4</v>
      </c>
      <c r="P23" s="40"/>
      <c r="Q23" s="30">
        <v>124.8</v>
      </c>
      <c r="R23" s="30">
        <v>148.79999999999998</v>
      </c>
      <c r="S23" s="66">
        <v>134.4</v>
      </c>
      <c r="T23" s="30">
        <v>136.79999999999998</v>
      </c>
      <c r="U23" s="30">
        <v>129.6</v>
      </c>
      <c r="V23" s="30">
        <v>108</v>
      </c>
      <c r="W23" s="40"/>
      <c r="X23" s="30">
        <v>122.39999999999999</v>
      </c>
      <c r="Y23" s="30">
        <v>141.6</v>
      </c>
      <c r="Z23" s="30">
        <v>134.4</v>
      </c>
      <c r="AA23" s="30">
        <v>132</v>
      </c>
      <c r="AB23" s="30">
        <v>132</v>
      </c>
      <c r="AC23" s="30">
        <v>124.8</v>
      </c>
      <c r="AD23" s="40"/>
      <c r="AE23" s="30">
        <v>124.8</v>
      </c>
      <c r="AF23" s="30">
        <v>132</v>
      </c>
      <c r="AG23" s="30">
        <v>124.8</v>
      </c>
      <c r="AH23" s="30">
        <v>124.8</v>
      </c>
      <c r="AI23" s="30">
        <v>122.39999999999999</v>
      </c>
      <c r="AJ23" s="49">
        <f t="shared" si="0"/>
        <v>2971.2000000000007</v>
      </c>
    </row>
    <row r="24" spans="1:36" ht="17.25" customHeight="1">
      <c r="A24" s="45">
        <v>19</v>
      </c>
      <c r="B24" s="33" t="s">
        <v>58</v>
      </c>
      <c r="C24" s="30" t="s">
        <v>18</v>
      </c>
      <c r="D24" s="30" t="s">
        <v>44</v>
      </c>
      <c r="E24" s="31" t="s">
        <v>59</v>
      </c>
      <c r="F24" s="30">
        <v>0</v>
      </c>
      <c r="G24" s="30">
        <v>0</v>
      </c>
      <c r="H24" s="30">
        <v>0</v>
      </c>
      <c r="I24" s="40"/>
      <c r="J24" s="30">
        <v>168</v>
      </c>
      <c r="K24" s="30">
        <v>156</v>
      </c>
      <c r="L24" s="30">
        <v>160.80000000000001</v>
      </c>
      <c r="M24" s="30">
        <v>132</v>
      </c>
      <c r="N24" s="30">
        <v>165.6</v>
      </c>
      <c r="O24" s="30">
        <v>158.4</v>
      </c>
      <c r="P24" s="40"/>
      <c r="Q24" s="30">
        <v>160.79999999999998</v>
      </c>
      <c r="R24" s="30">
        <v>196.79999999999998</v>
      </c>
      <c r="S24" s="66">
        <v>180</v>
      </c>
      <c r="T24" s="30">
        <v>160.79999999999998</v>
      </c>
      <c r="U24" s="30">
        <v>156</v>
      </c>
      <c r="V24" s="30">
        <v>153.6</v>
      </c>
      <c r="W24" s="40"/>
      <c r="X24" s="30">
        <v>172.79999999999998</v>
      </c>
      <c r="Y24" s="30">
        <v>153.6</v>
      </c>
      <c r="Z24" s="30">
        <v>158.4</v>
      </c>
      <c r="AA24" s="30">
        <v>160.79999999999998</v>
      </c>
      <c r="AB24" s="30">
        <v>172.79999999999998</v>
      </c>
      <c r="AC24" s="30">
        <v>189.6</v>
      </c>
      <c r="AD24" s="40"/>
      <c r="AE24" s="30">
        <v>163.19999999999999</v>
      </c>
      <c r="AF24" s="30">
        <v>170.4</v>
      </c>
      <c r="AG24" s="30">
        <v>170.4</v>
      </c>
      <c r="AH24" s="30">
        <v>168</v>
      </c>
      <c r="AI24" s="30">
        <v>168</v>
      </c>
      <c r="AJ24" s="49">
        <f t="shared" si="0"/>
        <v>3796.8</v>
      </c>
    </row>
    <row r="25" spans="1:36" ht="17.25" customHeight="1">
      <c r="A25" s="45">
        <v>20</v>
      </c>
      <c r="B25" s="29" t="s">
        <v>60</v>
      </c>
      <c r="C25" s="30" t="s">
        <v>18</v>
      </c>
      <c r="D25" s="30" t="s">
        <v>61</v>
      </c>
      <c r="E25" s="31" t="s">
        <v>62</v>
      </c>
      <c r="F25" s="30">
        <v>0</v>
      </c>
      <c r="G25" s="30">
        <v>0</v>
      </c>
      <c r="H25" s="30">
        <v>0</v>
      </c>
      <c r="I25" s="40"/>
      <c r="J25" s="30">
        <v>120</v>
      </c>
      <c r="K25" s="30">
        <v>81.599999999999994</v>
      </c>
      <c r="L25" s="30">
        <v>81.599999999999994</v>
      </c>
      <c r="M25" s="30">
        <v>74.400000000000006</v>
      </c>
      <c r="N25" s="30">
        <v>86.4</v>
      </c>
      <c r="O25" s="30">
        <v>91.2</v>
      </c>
      <c r="P25" s="40"/>
      <c r="Q25" s="30">
        <v>86.399999999999991</v>
      </c>
      <c r="R25" s="30">
        <v>72</v>
      </c>
      <c r="S25" s="66">
        <v>88.8</v>
      </c>
      <c r="T25" s="30">
        <v>72</v>
      </c>
      <c r="U25" s="30">
        <v>96</v>
      </c>
      <c r="V25" s="30">
        <v>84</v>
      </c>
      <c r="W25" s="40"/>
      <c r="X25" s="30">
        <v>74.399999999999991</v>
      </c>
      <c r="Y25" s="30">
        <v>93.6</v>
      </c>
      <c r="Z25" s="30">
        <v>93.6</v>
      </c>
      <c r="AA25" s="30">
        <v>96</v>
      </c>
      <c r="AB25" s="30">
        <v>86.399999999999991</v>
      </c>
      <c r="AC25" s="30">
        <v>76.8</v>
      </c>
      <c r="AD25" s="40"/>
      <c r="AE25" s="30">
        <v>93.6</v>
      </c>
      <c r="AF25" s="30">
        <v>98.399999999999991</v>
      </c>
      <c r="AG25" s="30">
        <v>86.399999999999991</v>
      </c>
      <c r="AH25" s="30">
        <v>88.8</v>
      </c>
      <c r="AI25" s="30">
        <v>93.6</v>
      </c>
      <c r="AJ25" s="49">
        <f t="shared" si="0"/>
        <v>2016</v>
      </c>
    </row>
    <row r="26" spans="1:36" ht="17.25" customHeight="1">
      <c r="A26" s="45">
        <v>21</v>
      </c>
      <c r="B26" s="29" t="s">
        <v>63</v>
      </c>
      <c r="C26" s="30" t="s">
        <v>18</v>
      </c>
      <c r="D26" s="30" t="s">
        <v>61</v>
      </c>
      <c r="E26" s="31" t="s">
        <v>64</v>
      </c>
      <c r="F26" s="30">
        <v>0</v>
      </c>
      <c r="G26" s="30">
        <v>0</v>
      </c>
      <c r="H26" s="30">
        <v>0</v>
      </c>
      <c r="I26" s="40"/>
      <c r="J26" s="30">
        <v>64.8</v>
      </c>
      <c r="K26" s="30">
        <v>52.8</v>
      </c>
      <c r="L26" s="30">
        <v>67.2</v>
      </c>
      <c r="M26" s="30">
        <v>52.8</v>
      </c>
      <c r="N26" s="30">
        <v>76.8</v>
      </c>
      <c r="O26" s="30">
        <v>52.8</v>
      </c>
      <c r="P26" s="40"/>
      <c r="Q26" s="30">
        <v>57.599999999999994</v>
      </c>
      <c r="R26" s="30">
        <v>50.4</v>
      </c>
      <c r="S26" s="66">
        <v>50.4</v>
      </c>
      <c r="T26" s="30">
        <v>72</v>
      </c>
      <c r="U26" s="30">
        <v>38.4</v>
      </c>
      <c r="V26" s="30">
        <v>60</v>
      </c>
      <c r="W26" s="40"/>
      <c r="X26" s="30">
        <v>52.8</v>
      </c>
      <c r="Y26" s="30">
        <v>67.2</v>
      </c>
      <c r="Z26" s="30">
        <v>55.199999999999996</v>
      </c>
      <c r="AA26" s="30">
        <v>67.2</v>
      </c>
      <c r="AB26" s="30">
        <v>50.4</v>
      </c>
      <c r="AC26" s="30">
        <v>62.4</v>
      </c>
      <c r="AD26" s="40"/>
      <c r="AE26" s="30">
        <v>64.8</v>
      </c>
      <c r="AF26" s="30">
        <v>67.2</v>
      </c>
      <c r="AG26" s="30">
        <v>57.599999999999994</v>
      </c>
      <c r="AH26" s="30">
        <v>60</v>
      </c>
      <c r="AI26" s="30">
        <v>64.8</v>
      </c>
      <c r="AJ26" s="49">
        <f t="shared" si="0"/>
        <v>1365.6</v>
      </c>
    </row>
    <row r="27" spans="1:36" ht="17.25" customHeight="1">
      <c r="A27" s="45">
        <v>22</v>
      </c>
      <c r="B27" s="29" t="s">
        <v>65</v>
      </c>
      <c r="C27" s="30" t="s">
        <v>18</v>
      </c>
      <c r="D27" s="30" t="s">
        <v>61</v>
      </c>
      <c r="E27" s="31" t="s">
        <v>66</v>
      </c>
      <c r="F27" s="30">
        <v>0</v>
      </c>
      <c r="G27" s="30">
        <v>0</v>
      </c>
      <c r="H27" s="30">
        <v>0</v>
      </c>
      <c r="I27" s="40"/>
      <c r="J27" s="30">
        <v>105.6</v>
      </c>
      <c r="K27" s="30">
        <v>96</v>
      </c>
      <c r="L27" s="30">
        <v>103.2</v>
      </c>
      <c r="M27" s="30">
        <v>108</v>
      </c>
      <c r="N27" s="30">
        <v>108</v>
      </c>
      <c r="O27" s="30">
        <v>100.8</v>
      </c>
      <c r="P27" s="40"/>
      <c r="Q27" s="30">
        <v>105.6</v>
      </c>
      <c r="R27" s="30">
        <v>105.6</v>
      </c>
      <c r="S27" s="66">
        <v>100.8</v>
      </c>
      <c r="T27" s="30">
        <v>105.6</v>
      </c>
      <c r="U27" s="30">
        <v>105.6</v>
      </c>
      <c r="V27" s="30">
        <v>86.399999999999991</v>
      </c>
      <c r="W27" s="40"/>
      <c r="X27" s="30">
        <v>105.6</v>
      </c>
      <c r="Y27" s="30">
        <v>103.2</v>
      </c>
      <c r="Z27" s="30">
        <v>110.39999999999999</v>
      </c>
      <c r="AA27" s="30">
        <v>98.399999999999991</v>
      </c>
      <c r="AB27" s="30">
        <v>98.399999999999991</v>
      </c>
      <c r="AC27" s="30">
        <v>103.2</v>
      </c>
      <c r="AD27" s="40"/>
      <c r="AE27" s="30">
        <v>115.19999999999999</v>
      </c>
      <c r="AF27" s="30">
        <v>108</v>
      </c>
      <c r="AG27" s="30">
        <v>108</v>
      </c>
      <c r="AH27" s="30">
        <v>103.2</v>
      </c>
      <c r="AI27" s="30">
        <v>98.399999999999991</v>
      </c>
      <c r="AJ27" s="49">
        <f t="shared" si="0"/>
        <v>2383.2000000000003</v>
      </c>
    </row>
    <row r="28" spans="1:36" ht="17.25" customHeight="1">
      <c r="A28" s="45">
        <v>23</v>
      </c>
      <c r="B28" s="29" t="s">
        <v>67</v>
      </c>
      <c r="C28" s="30" t="s">
        <v>18</v>
      </c>
      <c r="D28" s="30" t="s">
        <v>61</v>
      </c>
      <c r="E28" s="31" t="s">
        <v>68</v>
      </c>
      <c r="F28" s="30">
        <v>0</v>
      </c>
      <c r="G28" s="30">
        <v>0</v>
      </c>
      <c r="H28" s="30">
        <v>0</v>
      </c>
      <c r="I28" s="40"/>
      <c r="J28" s="30">
        <v>84</v>
      </c>
      <c r="K28" s="30">
        <v>86.4</v>
      </c>
      <c r="L28" s="30">
        <v>86.4</v>
      </c>
      <c r="M28" s="30">
        <v>84</v>
      </c>
      <c r="N28" s="30">
        <v>93.6</v>
      </c>
      <c r="O28" s="30">
        <v>91.2</v>
      </c>
      <c r="P28" s="40"/>
      <c r="Q28" s="30">
        <v>120</v>
      </c>
      <c r="R28" s="30">
        <v>88.8</v>
      </c>
      <c r="S28" s="66">
        <v>93.6</v>
      </c>
      <c r="T28" s="30">
        <v>86.399999999999991</v>
      </c>
      <c r="U28" s="30">
        <v>91.2</v>
      </c>
      <c r="V28" s="30">
        <v>91.2</v>
      </c>
      <c r="W28" s="40"/>
      <c r="X28" s="30">
        <v>93.6</v>
      </c>
      <c r="Y28" s="30">
        <v>88.8</v>
      </c>
      <c r="Z28" s="30">
        <v>91.2</v>
      </c>
      <c r="AA28" s="30">
        <v>96</v>
      </c>
      <c r="AB28" s="30">
        <v>93.6</v>
      </c>
      <c r="AC28" s="30">
        <v>96</v>
      </c>
      <c r="AD28" s="40"/>
      <c r="AE28" s="30">
        <v>98.399999999999991</v>
      </c>
      <c r="AF28" s="30">
        <v>86.399999999999991</v>
      </c>
      <c r="AG28" s="30">
        <v>93.6</v>
      </c>
      <c r="AH28" s="30">
        <v>91.2</v>
      </c>
      <c r="AI28" s="30">
        <v>91.2</v>
      </c>
      <c r="AJ28" s="49">
        <f t="shared" si="0"/>
        <v>2116.7999999999997</v>
      </c>
    </row>
    <row r="29" spans="1:36" ht="17.25" customHeight="1">
      <c r="A29" s="45">
        <v>24</v>
      </c>
      <c r="B29" s="29" t="s">
        <v>69</v>
      </c>
      <c r="C29" s="30" t="s">
        <v>18</v>
      </c>
      <c r="D29" s="30" t="s">
        <v>61</v>
      </c>
      <c r="E29" s="31" t="s">
        <v>70</v>
      </c>
      <c r="F29" s="30">
        <v>0</v>
      </c>
      <c r="G29" s="30">
        <v>0</v>
      </c>
      <c r="H29" s="30">
        <v>0</v>
      </c>
      <c r="I29" s="40"/>
      <c r="J29" s="30">
        <v>48</v>
      </c>
      <c r="K29" s="30">
        <v>50.4</v>
      </c>
      <c r="L29" s="30">
        <v>52.8</v>
      </c>
      <c r="M29" s="30">
        <v>67.2</v>
      </c>
      <c r="N29" s="30">
        <v>55.2</v>
      </c>
      <c r="O29" s="30">
        <v>72</v>
      </c>
      <c r="P29" s="40"/>
      <c r="Q29" s="30">
        <v>50.4</v>
      </c>
      <c r="R29" s="30">
        <v>50.4</v>
      </c>
      <c r="S29" s="66">
        <v>55.199999999999996</v>
      </c>
      <c r="T29" s="30">
        <v>72</v>
      </c>
      <c r="U29" s="30">
        <v>79.2</v>
      </c>
      <c r="V29" s="30">
        <v>64.8</v>
      </c>
      <c r="W29" s="40"/>
      <c r="X29" s="30">
        <v>55.199999999999996</v>
      </c>
      <c r="Y29" s="30">
        <v>55.199999999999996</v>
      </c>
      <c r="Z29" s="30">
        <v>79.2</v>
      </c>
      <c r="AA29" s="30">
        <v>112.8</v>
      </c>
      <c r="AB29" s="30">
        <v>60</v>
      </c>
      <c r="AC29" s="30">
        <v>48</v>
      </c>
      <c r="AD29" s="40"/>
      <c r="AE29" s="30">
        <v>72</v>
      </c>
      <c r="AF29" s="30">
        <v>50.4</v>
      </c>
      <c r="AG29" s="30">
        <v>74.399999999999991</v>
      </c>
      <c r="AH29" s="30">
        <v>67.2</v>
      </c>
      <c r="AI29" s="30">
        <v>60</v>
      </c>
      <c r="AJ29" s="49">
        <f t="shared" si="0"/>
        <v>1452.0000000000002</v>
      </c>
    </row>
    <row r="30" spans="1:36" ht="17.25" customHeight="1">
      <c r="A30" s="45">
        <v>25</v>
      </c>
      <c r="B30" s="29" t="s">
        <v>71</v>
      </c>
      <c r="C30" s="30" t="s">
        <v>18</v>
      </c>
      <c r="D30" s="30" t="s">
        <v>61</v>
      </c>
      <c r="E30" s="31" t="s">
        <v>72</v>
      </c>
      <c r="F30" s="30">
        <v>0</v>
      </c>
      <c r="G30" s="30">
        <v>0</v>
      </c>
      <c r="H30" s="30">
        <v>0</v>
      </c>
      <c r="I30" s="40"/>
      <c r="J30" s="30">
        <v>88.8</v>
      </c>
      <c r="K30" s="30">
        <v>45.6</v>
      </c>
      <c r="L30" s="30">
        <v>79.2</v>
      </c>
      <c r="M30" s="30">
        <v>74.400000000000006</v>
      </c>
      <c r="N30" s="30">
        <v>81.599999999999994</v>
      </c>
      <c r="O30" s="30">
        <v>69.599999999999994</v>
      </c>
      <c r="P30" s="40"/>
      <c r="Q30" s="30">
        <v>96</v>
      </c>
      <c r="R30" s="30">
        <v>72</v>
      </c>
      <c r="S30" s="66">
        <v>72</v>
      </c>
      <c r="T30" s="30">
        <v>72</v>
      </c>
      <c r="U30" s="30">
        <v>74.399999999999991</v>
      </c>
      <c r="V30" s="30">
        <v>69.599999999999994</v>
      </c>
      <c r="W30" s="40"/>
      <c r="X30" s="30">
        <v>76.8</v>
      </c>
      <c r="Y30" s="30">
        <v>67.2</v>
      </c>
      <c r="Z30" s="30">
        <v>72</v>
      </c>
      <c r="AA30" s="30">
        <v>67.2</v>
      </c>
      <c r="AB30" s="30">
        <v>74.399999999999991</v>
      </c>
      <c r="AC30" s="30">
        <v>69.599999999999994</v>
      </c>
      <c r="AD30" s="40"/>
      <c r="AE30" s="30">
        <v>84</v>
      </c>
      <c r="AF30" s="30">
        <v>96</v>
      </c>
      <c r="AG30" s="30">
        <v>72</v>
      </c>
      <c r="AH30" s="30">
        <v>69.599999999999994</v>
      </c>
      <c r="AI30" s="30">
        <v>74.399999999999991</v>
      </c>
      <c r="AJ30" s="49">
        <f t="shared" si="0"/>
        <v>1718.4</v>
      </c>
    </row>
    <row r="31" spans="1:36" ht="17.25" customHeight="1">
      <c r="A31" s="45">
        <v>26</v>
      </c>
      <c r="B31" s="34" t="s">
        <v>73</v>
      </c>
      <c r="C31" s="30" t="s">
        <v>18</v>
      </c>
      <c r="D31" s="30" t="s">
        <v>61</v>
      </c>
      <c r="E31" s="31" t="s">
        <v>74</v>
      </c>
      <c r="F31" s="30">
        <v>0</v>
      </c>
      <c r="G31" s="30">
        <v>0</v>
      </c>
      <c r="H31" s="30">
        <v>0</v>
      </c>
      <c r="I31" s="40"/>
      <c r="J31" s="30">
        <v>0</v>
      </c>
      <c r="K31" s="30">
        <v>0</v>
      </c>
      <c r="L31" s="30">
        <v>96</v>
      </c>
      <c r="M31" s="30">
        <v>105.6</v>
      </c>
      <c r="N31" s="30">
        <v>91.2</v>
      </c>
      <c r="O31" s="30">
        <v>115.2</v>
      </c>
      <c r="P31" s="40"/>
      <c r="Q31" s="30">
        <v>117.6</v>
      </c>
      <c r="R31" s="30">
        <v>115.19999999999999</v>
      </c>
      <c r="S31" s="66">
        <v>86.399999999999991</v>
      </c>
      <c r="T31" s="30">
        <v>98.399999999999991</v>
      </c>
      <c r="U31" s="30">
        <v>91.2</v>
      </c>
      <c r="V31" s="30">
        <v>98.399999999999991</v>
      </c>
      <c r="W31" s="40"/>
      <c r="X31" s="30">
        <v>86.399999999999991</v>
      </c>
      <c r="Y31" s="30">
        <v>110.39999999999999</v>
      </c>
      <c r="Z31" s="30">
        <v>88.8</v>
      </c>
      <c r="AA31" s="30">
        <v>120</v>
      </c>
      <c r="AB31" s="30">
        <v>115.19999999999999</v>
      </c>
      <c r="AC31" s="30">
        <v>91.2</v>
      </c>
      <c r="AD31" s="40"/>
      <c r="AE31" s="30">
        <v>124.8</v>
      </c>
      <c r="AF31" s="30">
        <v>108</v>
      </c>
      <c r="AG31" s="30">
        <v>93.6</v>
      </c>
      <c r="AH31" s="30">
        <v>93.6</v>
      </c>
      <c r="AI31" s="30">
        <v>100.8</v>
      </c>
      <c r="AJ31" s="49">
        <f t="shared" si="0"/>
        <v>2148</v>
      </c>
    </row>
    <row r="32" spans="1:36" ht="17.25" customHeight="1">
      <c r="A32" s="45">
        <v>27</v>
      </c>
      <c r="B32" s="29" t="s">
        <v>75</v>
      </c>
      <c r="C32" s="30" t="s">
        <v>18</v>
      </c>
      <c r="D32" s="30" t="s">
        <v>61</v>
      </c>
      <c r="E32" s="31" t="s">
        <v>76</v>
      </c>
      <c r="F32" s="30">
        <v>0</v>
      </c>
      <c r="G32" s="30">
        <v>0</v>
      </c>
      <c r="H32" s="30">
        <v>0</v>
      </c>
      <c r="I32" s="40"/>
      <c r="J32" s="30">
        <v>72</v>
      </c>
      <c r="K32" s="30">
        <v>74.400000000000006</v>
      </c>
      <c r="L32" s="30">
        <v>79.2</v>
      </c>
      <c r="M32" s="30">
        <v>96</v>
      </c>
      <c r="N32" s="30">
        <v>72</v>
      </c>
      <c r="O32" s="30">
        <v>69.599999999999994</v>
      </c>
      <c r="P32" s="40"/>
      <c r="Q32" s="30">
        <v>93.6</v>
      </c>
      <c r="R32" s="30">
        <v>72</v>
      </c>
      <c r="S32" s="66">
        <v>69.599999999999994</v>
      </c>
      <c r="T32" s="30">
        <v>74.399999999999991</v>
      </c>
      <c r="U32" s="30">
        <v>76.8</v>
      </c>
      <c r="V32" s="30">
        <v>74.399999999999991</v>
      </c>
      <c r="W32" s="40"/>
      <c r="X32" s="30">
        <v>103.2</v>
      </c>
      <c r="Y32" s="30">
        <v>79.2</v>
      </c>
      <c r="Z32" s="30">
        <v>74.399999999999991</v>
      </c>
      <c r="AA32" s="30">
        <v>74.399999999999991</v>
      </c>
      <c r="AB32" s="30">
        <v>79.2</v>
      </c>
      <c r="AC32" s="30">
        <v>0</v>
      </c>
      <c r="AD32" s="40"/>
      <c r="AE32" s="30">
        <v>74.399999999999991</v>
      </c>
      <c r="AF32" s="30">
        <v>81.599999999999994</v>
      </c>
      <c r="AG32" s="30">
        <v>91.2</v>
      </c>
      <c r="AH32" s="30">
        <v>74.399999999999991</v>
      </c>
      <c r="AI32" s="30">
        <v>81.599999999999994</v>
      </c>
      <c r="AJ32" s="49">
        <f t="shared" si="0"/>
        <v>1737.6000000000004</v>
      </c>
    </row>
    <row r="33" spans="1:36" ht="17.25" customHeight="1">
      <c r="A33" s="45">
        <v>28</v>
      </c>
      <c r="B33" s="29" t="s">
        <v>77</v>
      </c>
      <c r="C33" s="30" t="s">
        <v>18</v>
      </c>
      <c r="D33" s="30" t="s">
        <v>61</v>
      </c>
      <c r="E33" s="31" t="s">
        <v>78</v>
      </c>
      <c r="F33" s="30">
        <v>0</v>
      </c>
      <c r="G33" s="30">
        <v>0</v>
      </c>
      <c r="H33" s="30">
        <v>0</v>
      </c>
      <c r="I33" s="40"/>
      <c r="J33" s="30">
        <v>117.6</v>
      </c>
      <c r="K33" s="30">
        <v>110.4</v>
      </c>
      <c r="L33" s="30">
        <v>117.6</v>
      </c>
      <c r="M33" s="30">
        <v>134.4</v>
      </c>
      <c r="N33" s="30">
        <v>91.2</v>
      </c>
      <c r="O33" s="30">
        <v>120</v>
      </c>
      <c r="P33" s="40"/>
      <c r="Q33" s="30">
        <v>117.6</v>
      </c>
      <c r="R33" s="30">
        <v>91.2</v>
      </c>
      <c r="S33" s="66">
        <v>127.19999999999999</v>
      </c>
      <c r="T33" s="30">
        <v>129.6</v>
      </c>
      <c r="U33" s="30">
        <v>115.19999999999999</v>
      </c>
      <c r="V33" s="30">
        <v>88.8</v>
      </c>
      <c r="W33" s="40"/>
      <c r="X33" s="30">
        <v>93.6</v>
      </c>
      <c r="Y33" s="30">
        <v>91.2</v>
      </c>
      <c r="Z33" s="30">
        <v>110.39999999999999</v>
      </c>
      <c r="AA33" s="30">
        <v>112.8</v>
      </c>
      <c r="AB33" s="30">
        <v>127.19999999999999</v>
      </c>
      <c r="AC33" s="30">
        <v>120</v>
      </c>
      <c r="AD33" s="40"/>
      <c r="AE33" s="30">
        <v>96</v>
      </c>
      <c r="AF33" s="30">
        <v>112.8</v>
      </c>
      <c r="AG33" s="30">
        <v>127.19999999999999</v>
      </c>
      <c r="AH33" s="30">
        <v>112.8</v>
      </c>
      <c r="AI33" s="30">
        <v>115.19999999999999</v>
      </c>
      <c r="AJ33" s="49">
        <f t="shared" si="0"/>
        <v>2580</v>
      </c>
    </row>
    <row r="34" spans="1:36" ht="17.25" customHeight="1">
      <c r="A34" s="45">
        <v>29</v>
      </c>
      <c r="B34" s="29" t="s">
        <v>79</v>
      </c>
      <c r="C34" s="30" t="s">
        <v>18</v>
      </c>
      <c r="D34" s="30" t="s">
        <v>61</v>
      </c>
      <c r="E34" s="31" t="s">
        <v>80</v>
      </c>
      <c r="F34" s="30">
        <v>0</v>
      </c>
      <c r="G34" s="30">
        <v>0</v>
      </c>
      <c r="H34" s="30">
        <v>0</v>
      </c>
      <c r="I34" s="40"/>
      <c r="J34" s="30">
        <v>21.6</v>
      </c>
      <c r="K34" s="30">
        <v>21.6</v>
      </c>
      <c r="L34" s="30">
        <v>21.6</v>
      </c>
      <c r="M34" s="30">
        <v>21.6</v>
      </c>
      <c r="N34" s="30">
        <v>21.6</v>
      </c>
      <c r="O34" s="30">
        <v>21.6</v>
      </c>
      <c r="P34" s="40"/>
      <c r="Q34" s="30">
        <v>21.6</v>
      </c>
      <c r="R34" s="30">
        <v>21.6</v>
      </c>
      <c r="S34" s="72">
        <v>21.6</v>
      </c>
      <c r="T34" s="30">
        <v>21.6</v>
      </c>
      <c r="U34" s="30">
        <v>21.6</v>
      </c>
      <c r="V34" s="30">
        <v>21.6</v>
      </c>
      <c r="W34" s="40"/>
      <c r="X34" s="30">
        <v>21.6</v>
      </c>
      <c r="Y34" s="30">
        <v>21.599999999999998</v>
      </c>
      <c r="Z34" s="30">
        <v>21.599999999999998</v>
      </c>
      <c r="AA34" s="30">
        <v>21.599999999999998</v>
      </c>
      <c r="AB34" s="30">
        <v>21.599999999999998</v>
      </c>
      <c r="AC34" s="30">
        <v>21.599999999999998</v>
      </c>
      <c r="AD34" s="40"/>
      <c r="AE34" s="30">
        <v>21.599999999999998</v>
      </c>
      <c r="AF34" s="30">
        <v>21.599999999999998</v>
      </c>
      <c r="AG34" s="30">
        <v>21.599999999999998</v>
      </c>
      <c r="AH34" s="30">
        <v>21.599999999999998</v>
      </c>
      <c r="AI34" s="30">
        <v>21.599999999999998</v>
      </c>
      <c r="AJ34" s="49">
        <f t="shared" si="0"/>
        <v>496.80000000000024</v>
      </c>
    </row>
    <row r="35" spans="1:36" ht="17.25" customHeight="1">
      <c r="A35" s="45">
        <v>30</v>
      </c>
      <c r="B35" s="29" t="s">
        <v>81</v>
      </c>
      <c r="C35" s="30" t="s">
        <v>18</v>
      </c>
      <c r="D35" s="30" t="s">
        <v>61</v>
      </c>
      <c r="E35" s="31" t="s">
        <v>82</v>
      </c>
      <c r="F35" s="30">
        <v>0</v>
      </c>
      <c r="G35" s="30">
        <v>0</v>
      </c>
      <c r="H35" s="30">
        <v>0</v>
      </c>
      <c r="I35" s="40"/>
      <c r="J35" s="30">
        <v>88.8</v>
      </c>
      <c r="K35" s="30">
        <v>108</v>
      </c>
      <c r="L35" s="30">
        <v>0</v>
      </c>
      <c r="M35" s="30">
        <v>79.2</v>
      </c>
      <c r="N35" s="30">
        <v>84</v>
      </c>
      <c r="O35" s="30">
        <v>74.400000000000006</v>
      </c>
      <c r="P35" s="40"/>
      <c r="Q35" s="30">
        <v>69.599999999999994</v>
      </c>
      <c r="R35" s="30">
        <v>98.399999999999991</v>
      </c>
      <c r="S35" s="66">
        <v>91.2</v>
      </c>
      <c r="T35" s="30">
        <v>74.399999999999991</v>
      </c>
      <c r="U35" s="30">
        <v>72</v>
      </c>
      <c r="V35" s="30">
        <v>67.2</v>
      </c>
      <c r="W35" s="40"/>
      <c r="X35" s="30">
        <v>69.599999999999994</v>
      </c>
      <c r="Y35" s="30">
        <v>69.599999999999994</v>
      </c>
      <c r="Z35" s="30">
        <v>170.4</v>
      </c>
      <c r="AA35" s="30">
        <v>100.8</v>
      </c>
      <c r="AB35" s="30">
        <v>72</v>
      </c>
      <c r="AC35" s="30">
        <v>79.2</v>
      </c>
      <c r="AD35" s="40"/>
      <c r="AE35" s="30">
        <v>86.399999999999991</v>
      </c>
      <c r="AF35" s="30">
        <v>69.599999999999994</v>
      </c>
      <c r="AG35" s="30">
        <v>69.599999999999994</v>
      </c>
      <c r="AH35" s="30">
        <v>79.2</v>
      </c>
      <c r="AI35" s="30">
        <v>110.39999999999999</v>
      </c>
      <c r="AJ35" s="49">
        <f t="shared" si="0"/>
        <v>1884.0000000000002</v>
      </c>
    </row>
    <row r="36" spans="1:36" ht="17.25" customHeight="1">
      <c r="A36" s="45">
        <v>31</v>
      </c>
      <c r="B36" s="29" t="s">
        <v>83</v>
      </c>
      <c r="C36" s="30" t="s">
        <v>18</v>
      </c>
      <c r="D36" s="30" t="s">
        <v>61</v>
      </c>
      <c r="E36" s="31" t="s">
        <v>84</v>
      </c>
      <c r="F36" s="30">
        <v>0</v>
      </c>
      <c r="G36" s="30">
        <v>0</v>
      </c>
      <c r="H36" s="30">
        <v>0</v>
      </c>
      <c r="I36" s="40"/>
      <c r="J36" s="30">
        <v>84</v>
      </c>
      <c r="K36" s="30">
        <v>76.8</v>
      </c>
      <c r="L36" s="30">
        <v>79.2</v>
      </c>
      <c r="M36" s="30">
        <v>79.2</v>
      </c>
      <c r="N36" s="30">
        <v>81.599999999999994</v>
      </c>
      <c r="O36" s="30">
        <v>76.8</v>
      </c>
      <c r="P36" s="40"/>
      <c r="Q36" s="30">
        <v>79.2</v>
      </c>
      <c r="R36" s="30">
        <v>86.399999999999991</v>
      </c>
      <c r="S36" s="66">
        <v>86.399999999999991</v>
      </c>
      <c r="T36" s="30">
        <v>76.8</v>
      </c>
      <c r="U36" s="30">
        <v>88.8</v>
      </c>
      <c r="V36" s="30">
        <v>79.2</v>
      </c>
      <c r="W36" s="40"/>
      <c r="X36" s="30">
        <v>79.2</v>
      </c>
      <c r="Y36" s="30">
        <v>76.8</v>
      </c>
      <c r="Z36" s="30">
        <v>76.8</v>
      </c>
      <c r="AA36" s="30">
        <v>108</v>
      </c>
      <c r="AB36" s="30">
        <v>79.2</v>
      </c>
      <c r="AC36" s="30">
        <v>79.2</v>
      </c>
      <c r="AD36" s="40"/>
      <c r="AE36" s="30">
        <v>76.8</v>
      </c>
      <c r="AF36" s="30">
        <v>81.599999999999994</v>
      </c>
      <c r="AG36" s="30">
        <v>79.2</v>
      </c>
      <c r="AH36" s="30">
        <v>79.2</v>
      </c>
      <c r="AI36" s="30">
        <v>72</v>
      </c>
      <c r="AJ36" s="49">
        <f t="shared" si="0"/>
        <v>1862.3999999999999</v>
      </c>
    </row>
    <row r="37" spans="1:36" ht="17.25" customHeight="1">
      <c r="A37" s="45">
        <v>32</v>
      </c>
      <c r="B37" s="29" t="s">
        <v>85</v>
      </c>
      <c r="C37" s="30" t="s">
        <v>18</v>
      </c>
      <c r="D37" s="30" t="s">
        <v>61</v>
      </c>
      <c r="E37" s="31" t="s">
        <v>86</v>
      </c>
      <c r="F37" s="30">
        <v>0</v>
      </c>
      <c r="G37" s="30">
        <v>0</v>
      </c>
      <c r="H37" s="30">
        <v>0</v>
      </c>
      <c r="I37" s="40"/>
      <c r="J37" s="30">
        <v>43.2</v>
      </c>
      <c r="K37" s="30">
        <v>48</v>
      </c>
      <c r="L37" s="30">
        <v>43.2</v>
      </c>
      <c r="M37" s="30">
        <v>43.2</v>
      </c>
      <c r="N37" s="30">
        <v>45.6</v>
      </c>
      <c r="O37" s="30">
        <v>50.4</v>
      </c>
      <c r="P37" s="40"/>
      <c r="Q37" s="30">
        <v>50.4</v>
      </c>
      <c r="R37" s="30">
        <v>38.4</v>
      </c>
      <c r="S37" s="66">
        <v>36</v>
      </c>
      <c r="T37" s="30">
        <v>40.799999999999997</v>
      </c>
      <c r="U37" s="30">
        <v>48</v>
      </c>
      <c r="V37" s="30">
        <v>48</v>
      </c>
      <c r="W37" s="40"/>
      <c r="X37" s="30">
        <v>48</v>
      </c>
      <c r="Y37" s="30">
        <v>48</v>
      </c>
      <c r="Z37" s="30">
        <v>52.8</v>
      </c>
      <c r="AA37" s="30">
        <v>52.8</v>
      </c>
      <c r="AB37" s="30">
        <v>43.199999999999996</v>
      </c>
      <c r="AC37" s="30">
        <v>45.6</v>
      </c>
      <c r="AD37" s="40"/>
      <c r="AE37" s="30">
        <v>50.4</v>
      </c>
      <c r="AF37" s="30">
        <v>55.199999999999996</v>
      </c>
      <c r="AG37" s="30">
        <v>52.8</v>
      </c>
      <c r="AH37" s="30">
        <v>48</v>
      </c>
      <c r="AI37" s="30">
        <v>43.199999999999996</v>
      </c>
      <c r="AJ37" s="49">
        <f t="shared" si="0"/>
        <v>1075.2</v>
      </c>
    </row>
    <row r="38" spans="1:36" ht="17.25" customHeight="1">
      <c r="A38" s="45">
        <v>33</v>
      </c>
      <c r="B38" s="29" t="s">
        <v>87</v>
      </c>
      <c r="C38" s="30" t="s">
        <v>18</v>
      </c>
      <c r="D38" s="30" t="s">
        <v>61</v>
      </c>
      <c r="E38" s="31" t="s">
        <v>88</v>
      </c>
      <c r="F38" s="30">
        <v>0</v>
      </c>
      <c r="G38" s="30">
        <v>0</v>
      </c>
      <c r="H38" s="30">
        <v>0</v>
      </c>
      <c r="I38" s="40"/>
      <c r="J38" s="30">
        <v>48</v>
      </c>
      <c r="K38" s="30">
        <v>38.4</v>
      </c>
      <c r="L38" s="30">
        <v>50.4</v>
      </c>
      <c r="M38" s="30">
        <v>45.6</v>
      </c>
      <c r="N38" s="30">
        <v>69.599999999999994</v>
      </c>
      <c r="O38" s="30">
        <v>52.8</v>
      </c>
      <c r="P38" s="40"/>
      <c r="Q38" s="30">
        <v>33.6</v>
      </c>
      <c r="R38" s="30">
        <v>31.2</v>
      </c>
      <c r="S38" s="66">
        <v>50.4</v>
      </c>
      <c r="T38" s="30">
        <v>33.6</v>
      </c>
      <c r="U38" s="30">
        <v>33.6</v>
      </c>
      <c r="V38" s="30">
        <v>67.2</v>
      </c>
      <c r="W38" s="40"/>
      <c r="X38" s="30">
        <v>45.6</v>
      </c>
      <c r="Y38" s="30">
        <v>36</v>
      </c>
      <c r="Z38" s="30">
        <v>40.799999999999997</v>
      </c>
      <c r="AA38" s="30">
        <v>36</v>
      </c>
      <c r="AB38" s="30">
        <v>36</v>
      </c>
      <c r="AC38" s="30">
        <v>36</v>
      </c>
      <c r="AD38" s="40"/>
      <c r="AE38" s="30">
        <v>36</v>
      </c>
      <c r="AF38" s="30">
        <v>36</v>
      </c>
      <c r="AG38" s="30">
        <v>40.799999999999997</v>
      </c>
      <c r="AH38" s="30">
        <v>40.799999999999997</v>
      </c>
      <c r="AI38" s="30">
        <v>45.6</v>
      </c>
      <c r="AJ38" s="49">
        <f t="shared" si="0"/>
        <v>984</v>
      </c>
    </row>
    <row r="39" spans="1:36" ht="17.25" customHeight="1">
      <c r="A39" s="45">
        <v>34</v>
      </c>
      <c r="B39" s="29" t="s">
        <v>89</v>
      </c>
      <c r="C39" s="30" t="s">
        <v>18</v>
      </c>
      <c r="D39" s="30" t="s">
        <v>61</v>
      </c>
      <c r="E39" s="31" t="s">
        <v>90</v>
      </c>
      <c r="F39" s="30">
        <v>0</v>
      </c>
      <c r="G39" s="30">
        <v>0</v>
      </c>
      <c r="H39" s="30">
        <v>0</v>
      </c>
      <c r="I39" s="40"/>
      <c r="J39" s="30">
        <v>57.6</v>
      </c>
      <c r="K39" s="30">
        <v>64.8</v>
      </c>
      <c r="L39" s="30">
        <v>108</v>
      </c>
      <c r="M39" s="30">
        <v>62.4</v>
      </c>
      <c r="N39" s="30">
        <v>76.8</v>
      </c>
      <c r="O39" s="30">
        <v>69.599999999999994</v>
      </c>
      <c r="P39" s="40"/>
      <c r="Q39" s="30">
        <v>64.8</v>
      </c>
      <c r="R39" s="30">
        <v>64.8</v>
      </c>
      <c r="S39" s="66">
        <v>69.599999999999994</v>
      </c>
      <c r="T39" s="30">
        <v>60</v>
      </c>
      <c r="U39" s="30">
        <v>64.8</v>
      </c>
      <c r="V39" s="30">
        <v>55.199999999999996</v>
      </c>
      <c r="W39" s="40"/>
      <c r="X39" s="30">
        <v>72</v>
      </c>
      <c r="Y39" s="30">
        <v>72</v>
      </c>
      <c r="Z39" s="30">
        <v>74.399999999999991</v>
      </c>
      <c r="AA39" s="30">
        <v>55.199999999999996</v>
      </c>
      <c r="AB39" s="30">
        <v>55.199999999999996</v>
      </c>
      <c r="AC39" s="30">
        <v>72</v>
      </c>
      <c r="AD39" s="40"/>
      <c r="AE39" s="30">
        <v>69.599999999999994</v>
      </c>
      <c r="AF39" s="30">
        <v>79.2</v>
      </c>
      <c r="AG39" s="30">
        <v>62.4</v>
      </c>
      <c r="AH39" s="30">
        <v>67.2</v>
      </c>
      <c r="AI39" s="30">
        <v>93.6</v>
      </c>
      <c r="AJ39" s="49">
        <f t="shared" si="0"/>
        <v>1591.2000000000003</v>
      </c>
    </row>
    <row r="40" spans="1:36" ht="17.25" customHeight="1">
      <c r="A40" s="45">
        <v>35</v>
      </c>
      <c r="B40" s="33" t="s">
        <v>91</v>
      </c>
      <c r="C40" s="30" t="s">
        <v>18</v>
      </c>
      <c r="D40" s="30" t="s">
        <v>61</v>
      </c>
      <c r="E40" s="31" t="s">
        <v>92</v>
      </c>
      <c r="F40" s="30">
        <v>0</v>
      </c>
      <c r="G40" s="30">
        <v>0</v>
      </c>
      <c r="H40" s="30">
        <v>0</v>
      </c>
      <c r="I40" s="40"/>
      <c r="J40" s="30">
        <v>62.4</v>
      </c>
      <c r="K40" s="30">
        <v>79.2</v>
      </c>
      <c r="L40" s="30">
        <v>74.400000000000006</v>
      </c>
      <c r="M40" s="30">
        <v>62.4</v>
      </c>
      <c r="N40" s="30">
        <v>76.8</v>
      </c>
      <c r="O40" s="30">
        <v>60</v>
      </c>
      <c r="P40" s="40"/>
      <c r="Q40" s="30">
        <v>69.599999999999994</v>
      </c>
      <c r="R40" s="30">
        <v>100.8</v>
      </c>
      <c r="S40" s="66">
        <v>86.399999999999991</v>
      </c>
      <c r="T40" s="30">
        <v>62.4</v>
      </c>
      <c r="U40" s="30">
        <v>62.4</v>
      </c>
      <c r="V40" s="30">
        <v>60</v>
      </c>
      <c r="W40" s="40"/>
      <c r="X40" s="30">
        <v>67.2</v>
      </c>
      <c r="Y40" s="30">
        <v>62.4</v>
      </c>
      <c r="Z40" s="30">
        <v>72</v>
      </c>
      <c r="AA40" s="30">
        <v>67.2</v>
      </c>
      <c r="AB40" s="30">
        <v>67.2</v>
      </c>
      <c r="AC40" s="30">
        <v>67.2</v>
      </c>
      <c r="AD40" s="40"/>
      <c r="AE40" s="30">
        <v>60</v>
      </c>
      <c r="AF40" s="30">
        <v>76.8</v>
      </c>
      <c r="AG40" s="30">
        <v>62.4</v>
      </c>
      <c r="AH40" s="30">
        <v>67.2</v>
      </c>
      <c r="AI40" s="30">
        <v>62.4</v>
      </c>
      <c r="AJ40" s="49">
        <f t="shared" si="0"/>
        <v>1588.8000000000002</v>
      </c>
    </row>
    <row r="41" spans="1:36" ht="17.25" customHeight="1">
      <c r="A41" s="45">
        <v>36</v>
      </c>
      <c r="B41" s="29" t="s">
        <v>93</v>
      </c>
      <c r="C41" s="35" t="s">
        <v>18</v>
      </c>
      <c r="D41" s="30" t="s">
        <v>61</v>
      </c>
      <c r="E41" s="31" t="s">
        <v>94</v>
      </c>
      <c r="F41" s="30">
        <v>0</v>
      </c>
      <c r="G41" s="30">
        <v>0</v>
      </c>
      <c r="H41" s="30">
        <v>0</v>
      </c>
      <c r="I41" s="40"/>
      <c r="J41" s="30">
        <v>62.4</v>
      </c>
      <c r="K41" s="30">
        <v>52.8</v>
      </c>
      <c r="L41" s="30">
        <v>60</v>
      </c>
      <c r="M41" s="30">
        <v>64.8</v>
      </c>
      <c r="N41" s="30">
        <v>74.400000000000006</v>
      </c>
      <c r="O41" s="30">
        <v>62.4</v>
      </c>
      <c r="P41" s="40"/>
      <c r="Q41" s="30">
        <v>57.599999999999994</v>
      </c>
      <c r="R41" s="30">
        <v>60</v>
      </c>
      <c r="S41" s="66">
        <v>64.8</v>
      </c>
      <c r="T41" s="30">
        <v>57.599999999999994</v>
      </c>
      <c r="U41" s="30">
        <v>76.8</v>
      </c>
      <c r="V41" s="30">
        <v>0</v>
      </c>
      <c r="W41" s="40"/>
      <c r="X41" s="30">
        <v>64.8</v>
      </c>
      <c r="Y41" s="30">
        <v>64.8</v>
      </c>
      <c r="Z41" s="30">
        <v>67.2</v>
      </c>
      <c r="AA41" s="30">
        <v>60</v>
      </c>
      <c r="AB41" s="30">
        <v>74.399999999999991</v>
      </c>
      <c r="AC41" s="30">
        <v>60</v>
      </c>
      <c r="AD41" s="40"/>
      <c r="AE41" s="30">
        <v>62.4</v>
      </c>
      <c r="AF41" s="30">
        <v>69.599999999999994</v>
      </c>
      <c r="AG41" s="30">
        <v>50.4</v>
      </c>
      <c r="AH41" s="30">
        <v>62.4</v>
      </c>
      <c r="AI41" s="30">
        <v>57.599999999999994</v>
      </c>
      <c r="AJ41" s="49">
        <f t="shared" si="0"/>
        <v>1387.2</v>
      </c>
    </row>
    <row r="42" spans="1:36" ht="17.25" customHeight="1">
      <c r="A42" s="45">
        <v>37</v>
      </c>
      <c r="B42" s="36" t="s">
        <v>95</v>
      </c>
      <c r="C42" s="35" t="s">
        <v>96</v>
      </c>
      <c r="D42" s="35"/>
      <c r="E42" s="35" t="s">
        <v>97</v>
      </c>
      <c r="F42" s="30">
        <v>0</v>
      </c>
      <c r="G42" s="30">
        <v>0</v>
      </c>
      <c r="H42" s="30">
        <v>0</v>
      </c>
      <c r="I42" s="40"/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40"/>
      <c r="Q42" s="30">
        <v>0</v>
      </c>
      <c r="R42" s="30">
        <v>0</v>
      </c>
      <c r="S42" s="66">
        <v>0</v>
      </c>
      <c r="T42" s="30">
        <v>0</v>
      </c>
      <c r="U42" s="30">
        <v>0</v>
      </c>
      <c r="V42" s="30">
        <v>0</v>
      </c>
      <c r="W42" s="40"/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84</v>
      </c>
      <c r="AD42" s="40"/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49">
        <f t="shared" si="0"/>
        <v>84</v>
      </c>
    </row>
    <row r="43" spans="1:36" ht="17.25" customHeight="1">
      <c r="A43" s="45">
        <v>38</v>
      </c>
      <c r="B43" s="36" t="s">
        <v>98</v>
      </c>
      <c r="C43" s="35" t="s">
        <v>96</v>
      </c>
      <c r="D43" s="35"/>
      <c r="E43" s="35" t="s">
        <v>99</v>
      </c>
      <c r="F43" s="30">
        <v>0</v>
      </c>
      <c r="G43" s="30">
        <v>0</v>
      </c>
      <c r="H43" s="30">
        <v>0</v>
      </c>
      <c r="I43" s="40"/>
      <c r="J43" s="30">
        <v>201.6</v>
      </c>
      <c r="K43" s="30">
        <v>201.6</v>
      </c>
      <c r="L43" s="30">
        <v>0</v>
      </c>
      <c r="M43" s="30">
        <v>0</v>
      </c>
      <c r="N43" s="30">
        <v>0</v>
      </c>
      <c r="O43" s="30">
        <v>108</v>
      </c>
      <c r="P43" s="40"/>
      <c r="Q43" s="30">
        <v>0</v>
      </c>
      <c r="R43" s="30">
        <v>0</v>
      </c>
      <c r="S43" s="66">
        <v>0</v>
      </c>
      <c r="T43" s="30">
        <v>0</v>
      </c>
      <c r="U43" s="30">
        <v>0</v>
      </c>
      <c r="V43" s="30">
        <v>0</v>
      </c>
      <c r="W43" s="40"/>
      <c r="X43" s="30">
        <v>0</v>
      </c>
      <c r="Y43" s="30">
        <v>0</v>
      </c>
      <c r="Z43" s="30">
        <v>151.19999999999999</v>
      </c>
      <c r="AA43" s="30">
        <v>0</v>
      </c>
      <c r="AB43" s="30">
        <v>201.6</v>
      </c>
      <c r="AC43" s="30">
        <v>0</v>
      </c>
      <c r="AD43" s="40"/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49">
        <f t="shared" si="0"/>
        <v>864</v>
      </c>
    </row>
    <row r="44" spans="1:36" ht="17.25" customHeight="1">
      <c r="A44" s="45">
        <v>39</v>
      </c>
      <c r="B44" s="36" t="s">
        <v>100</v>
      </c>
      <c r="C44" s="35" t="s">
        <v>96</v>
      </c>
      <c r="D44" s="35"/>
      <c r="E44" s="35" t="s">
        <v>101</v>
      </c>
      <c r="F44" s="30">
        <v>0</v>
      </c>
      <c r="G44" s="30">
        <v>0</v>
      </c>
      <c r="H44" s="30">
        <v>0</v>
      </c>
      <c r="I44" s="40"/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40"/>
      <c r="Q44" s="30">
        <v>0</v>
      </c>
      <c r="R44" s="30">
        <v>0</v>
      </c>
      <c r="S44" s="66">
        <v>0</v>
      </c>
      <c r="T44" s="30">
        <v>0</v>
      </c>
      <c r="U44" s="30">
        <v>0</v>
      </c>
      <c r="V44" s="30">
        <v>0</v>
      </c>
      <c r="W44" s="40"/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40"/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49">
        <f t="shared" si="0"/>
        <v>0</v>
      </c>
    </row>
    <row r="45" spans="1:36" ht="17.25" customHeight="1">
      <c r="A45" s="45">
        <v>40</v>
      </c>
      <c r="B45" s="36" t="s">
        <v>102</v>
      </c>
      <c r="C45" s="35" t="s">
        <v>96</v>
      </c>
      <c r="D45" s="35"/>
      <c r="E45" s="35" t="s">
        <v>103</v>
      </c>
      <c r="F45" s="30">
        <v>0</v>
      </c>
      <c r="G45" s="30">
        <v>0</v>
      </c>
      <c r="H45" s="30">
        <v>0</v>
      </c>
      <c r="I45" s="40"/>
      <c r="J45" s="30">
        <v>0</v>
      </c>
      <c r="K45" s="30">
        <v>0</v>
      </c>
      <c r="L45" s="30">
        <v>79.2</v>
      </c>
      <c r="M45" s="30">
        <v>0</v>
      </c>
      <c r="N45" s="30">
        <v>0</v>
      </c>
      <c r="O45" s="30">
        <v>0</v>
      </c>
      <c r="P45" s="40"/>
      <c r="Q45" s="30">
        <v>0</v>
      </c>
      <c r="R45" s="30">
        <v>0</v>
      </c>
      <c r="S45" s="66">
        <v>0</v>
      </c>
      <c r="T45" s="30">
        <v>0</v>
      </c>
      <c r="U45" s="30">
        <v>0</v>
      </c>
      <c r="V45" s="30">
        <v>64.8</v>
      </c>
      <c r="W45" s="40"/>
      <c r="X45" s="30">
        <v>0</v>
      </c>
      <c r="Y45" s="30">
        <v>0</v>
      </c>
      <c r="Z45" s="30">
        <v>163.19999999999999</v>
      </c>
      <c r="AA45" s="30">
        <v>0</v>
      </c>
      <c r="AB45" s="30">
        <v>0</v>
      </c>
      <c r="AC45" s="30">
        <v>0</v>
      </c>
      <c r="AD45" s="40"/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49">
        <f t="shared" si="0"/>
        <v>307.2</v>
      </c>
    </row>
    <row r="46" spans="1:36" s="23" customFormat="1" ht="17.25" customHeight="1">
      <c r="A46" s="45">
        <v>41</v>
      </c>
      <c r="B46" s="36" t="s">
        <v>104</v>
      </c>
      <c r="C46" s="35" t="s">
        <v>105</v>
      </c>
      <c r="D46" s="35"/>
      <c r="E46" s="37" t="s">
        <v>106</v>
      </c>
      <c r="F46" s="30">
        <v>0</v>
      </c>
      <c r="G46" s="30">
        <v>0</v>
      </c>
      <c r="H46" s="30">
        <v>0</v>
      </c>
      <c r="I46" s="40"/>
      <c r="J46" s="30"/>
      <c r="K46" s="30"/>
      <c r="L46" s="30"/>
      <c r="M46" s="30">
        <v>182.4</v>
      </c>
      <c r="N46" s="30">
        <v>0</v>
      </c>
      <c r="O46" s="30">
        <v>0</v>
      </c>
      <c r="P46" s="40"/>
      <c r="Q46" s="30">
        <v>0</v>
      </c>
      <c r="R46" s="30">
        <v>0</v>
      </c>
      <c r="S46" s="66">
        <v>0</v>
      </c>
      <c r="T46" s="30">
        <v>0</v>
      </c>
      <c r="U46" s="30">
        <v>0</v>
      </c>
      <c r="V46" s="30">
        <v>0</v>
      </c>
      <c r="W46" s="40"/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40"/>
      <c r="AE46" s="30">
        <v>0</v>
      </c>
      <c r="AF46" s="30">
        <v>0</v>
      </c>
      <c r="AG46" s="30">
        <v>168</v>
      </c>
      <c r="AH46" s="30">
        <v>0</v>
      </c>
      <c r="AI46" s="30">
        <v>0</v>
      </c>
      <c r="AJ46" s="49">
        <f t="shared" si="0"/>
        <v>350.4</v>
      </c>
    </row>
    <row r="47" spans="1:36" s="23" customFormat="1" ht="15.75">
      <c r="A47" s="48"/>
      <c r="B47" s="48"/>
      <c r="C47" s="20"/>
      <c r="D47" s="20"/>
      <c r="E47" s="20"/>
      <c r="F47" s="39">
        <f>SUM(F6:F46)</f>
        <v>0</v>
      </c>
      <c r="G47" s="39">
        <f t="shared" ref="G47:AJ47" si="1">SUM(G6:G46)</f>
        <v>0</v>
      </c>
      <c r="H47" s="39">
        <f t="shared" si="1"/>
        <v>0</v>
      </c>
      <c r="I47" s="39">
        <f t="shared" si="1"/>
        <v>0</v>
      </c>
      <c r="J47" s="39">
        <v>4382.3999999999996</v>
      </c>
      <c r="K47" s="39">
        <v>4416</v>
      </c>
      <c r="L47" s="39">
        <v>4336.8</v>
      </c>
      <c r="M47" s="39">
        <v>4480.8</v>
      </c>
      <c r="N47" s="39">
        <v>4324.8</v>
      </c>
      <c r="O47" s="39">
        <v>4310.3999999999996</v>
      </c>
      <c r="P47" s="39">
        <f t="shared" si="1"/>
        <v>0</v>
      </c>
      <c r="Q47" s="39">
        <v>4435.2000000000007</v>
      </c>
      <c r="R47" s="39">
        <v>4238.3999999999996</v>
      </c>
      <c r="S47" s="62">
        <v>4329.6000000000004</v>
      </c>
      <c r="T47" s="39">
        <v>4202.4000000000005</v>
      </c>
      <c r="U47" s="39">
        <v>4159.2</v>
      </c>
      <c r="V47" s="39">
        <v>4221.5999999999995</v>
      </c>
      <c r="W47" s="39">
        <f t="shared" si="1"/>
        <v>0</v>
      </c>
      <c r="X47" s="39">
        <v>4267.2</v>
      </c>
      <c r="Y47" s="39">
        <v>4399.199999999998</v>
      </c>
      <c r="Z47" s="39">
        <v>4730.3999999999996</v>
      </c>
      <c r="AA47" s="39">
        <v>4351.1999999999989</v>
      </c>
      <c r="AB47" s="39">
        <v>4425.5999999999985</v>
      </c>
      <c r="AC47" s="39">
        <v>4447.1999999999989</v>
      </c>
      <c r="AD47" s="39">
        <f t="shared" si="1"/>
        <v>0</v>
      </c>
      <c r="AE47" s="39">
        <v>4351.2000000000007</v>
      </c>
      <c r="AF47" s="39">
        <v>4596.0000000000018</v>
      </c>
      <c r="AG47" s="39">
        <v>4516.7999999999984</v>
      </c>
      <c r="AH47" s="39">
        <v>4324.7999999999984</v>
      </c>
      <c r="AI47" s="39">
        <v>4605.6000000000013</v>
      </c>
      <c r="AJ47" s="39">
        <f t="shared" si="1"/>
        <v>100732.79999999997</v>
      </c>
    </row>
    <row r="48" spans="1:36">
      <c r="H48" s="2"/>
      <c r="N48" s="1"/>
      <c r="AD48" s="43"/>
      <c r="AE48" s="1"/>
    </row>
    <row r="49" spans="8:31">
      <c r="H49" s="2"/>
      <c r="N49" s="1"/>
      <c r="AD49" s="43"/>
      <c r="AE49" s="1"/>
    </row>
    <row r="50" spans="8:31">
      <c r="H50" s="2"/>
      <c r="N50" s="1"/>
      <c r="AD50" s="43"/>
      <c r="AE50" s="1"/>
    </row>
  </sheetData>
  <mergeCells count="4">
    <mergeCell ref="A1:AJ1"/>
    <mergeCell ref="A2:AJ2"/>
    <mergeCell ref="A3:AJ3"/>
    <mergeCell ref="A4:C4"/>
  </mergeCells>
  <conditionalFormatting sqref="B12">
    <cfRule type="duplicateValues" dxfId="78" priority="38"/>
  </conditionalFormatting>
  <conditionalFormatting sqref="B24">
    <cfRule type="duplicateValues" dxfId="77" priority="39"/>
  </conditionalFormatting>
  <conditionalFormatting sqref="B40">
    <cfRule type="duplicateValues" dxfId="76" priority="40"/>
  </conditionalFormatting>
  <conditionalFormatting sqref="E6">
    <cfRule type="duplicateValues" dxfId="75" priority="37"/>
  </conditionalFormatting>
  <conditionalFormatting sqref="E7">
    <cfRule type="duplicateValues" dxfId="74" priority="36"/>
  </conditionalFormatting>
  <conditionalFormatting sqref="E8">
    <cfRule type="duplicateValues" dxfId="73" priority="35"/>
  </conditionalFormatting>
  <conditionalFormatting sqref="E9">
    <cfRule type="duplicateValues" dxfId="72" priority="34"/>
  </conditionalFormatting>
  <conditionalFormatting sqref="E10">
    <cfRule type="duplicateValues" dxfId="71" priority="33"/>
  </conditionalFormatting>
  <conditionalFormatting sqref="E11">
    <cfRule type="duplicateValues" dxfId="70" priority="1"/>
  </conditionalFormatting>
  <conditionalFormatting sqref="E12">
    <cfRule type="duplicateValues" dxfId="69" priority="31"/>
  </conditionalFormatting>
  <conditionalFormatting sqref="E13">
    <cfRule type="duplicateValues" dxfId="68" priority="30"/>
  </conditionalFormatting>
  <conditionalFormatting sqref="E14">
    <cfRule type="duplicateValues" dxfId="67" priority="29"/>
  </conditionalFormatting>
  <conditionalFormatting sqref="E15">
    <cfRule type="duplicateValues" dxfId="66" priority="28"/>
  </conditionalFormatting>
  <conditionalFormatting sqref="E16">
    <cfRule type="duplicateValues" dxfId="65" priority="27"/>
  </conditionalFormatting>
  <conditionalFormatting sqref="E17">
    <cfRule type="duplicateValues" dxfId="64" priority="26"/>
  </conditionalFormatting>
  <conditionalFormatting sqref="E18">
    <cfRule type="duplicateValues" dxfId="63" priority="25"/>
  </conditionalFormatting>
  <conditionalFormatting sqref="E19">
    <cfRule type="duplicateValues" dxfId="62" priority="24"/>
  </conditionalFormatting>
  <conditionalFormatting sqref="E20">
    <cfRule type="duplicateValues" dxfId="61" priority="23"/>
  </conditionalFormatting>
  <conditionalFormatting sqref="E21">
    <cfRule type="duplicateValues" dxfId="60" priority="22"/>
  </conditionalFormatting>
  <conditionalFormatting sqref="E22:E23">
    <cfRule type="duplicateValues" dxfId="59" priority="21"/>
  </conditionalFormatting>
  <conditionalFormatting sqref="E24">
    <cfRule type="duplicateValues" dxfId="58" priority="20"/>
  </conditionalFormatting>
  <conditionalFormatting sqref="E25">
    <cfRule type="duplicateValues" dxfId="57" priority="19"/>
  </conditionalFormatting>
  <conditionalFormatting sqref="E26">
    <cfRule type="duplicateValues" dxfId="56" priority="18"/>
  </conditionalFormatting>
  <conditionalFormatting sqref="E27">
    <cfRule type="duplicateValues" dxfId="55" priority="17"/>
  </conditionalFormatting>
  <conditionalFormatting sqref="E28">
    <cfRule type="duplicateValues" dxfId="54" priority="16"/>
  </conditionalFormatting>
  <conditionalFormatting sqref="E29">
    <cfRule type="duplicateValues" dxfId="53" priority="15"/>
  </conditionalFormatting>
  <conditionalFormatting sqref="E30">
    <cfRule type="duplicateValues" dxfId="52" priority="14"/>
  </conditionalFormatting>
  <conditionalFormatting sqref="E31">
    <cfRule type="duplicateValues" dxfId="51" priority="13"/>
  </conditionalFormatting>
  <conditionalFormatting sqref="E32">
    <cfRule type="duplicateValues" dxfId="50" priority="12"/>
  </conditionalFormatting>
  <conditionalFormatting sqref="E33">
    <cfRule type="duplicateValues" dxfId="49" priority="11"/>
  </conditionalFormatting>
  <conditionalFormatting sqref="E34">
    <cfRule type="duplicateValues" dxfId="48" priority="10"/>
  </conditionalFormatting>
  <conditionalFormatting sqref="E35">
    <cfRule type="duplicateValues" dxfId="47" priority="9"/>
  </conditionalFormatting>
  <conditionalFormatting sqref="E36">
    <cfRule type="duplicateValues" dxfId="46" priority="8"/>
  </conditionalFormatting>
  <conditionalFormatting sqref="E37">
    <cfRule type="duplicateValues" dxfId="45" priority="7"/>
  </conditionalFormatting>
  <conditionalFormatting sqref="E38">
    <cfRule type="duplicateValues" dxfId="44" priority="6"/>
  </conditionalFormatting>
  <conditionalFormatting sqref="E39">
    <cfRule type="duplicateValues" dxfId="43" priority="5"/>
  </conditionalFormatting>
  <conditionalFormatting sqref="E40">
    <cfRule type="duplicateValues" dxfId="42" priority="4"/>
  </conditionalFormatting>
  <conditionalFormatting sqref="E41">
    <cfRule type="duplicateValues" dxfId="41" priority="3"/>
  </conditionalFormatting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J47"/>
  <sheetViews>
    <sheetView workbookViewId="0">
      <pane xSplit="5" ySplit="5" topLeftCell="F6" activePane="bottomRight" state="frozen"/>
      <selection pane="topRight"/>
      <selection pane="bottomLeft"/>
      <selection pane="bottomRight" activeCell="B10" sqref="B10"/>
    </sheetView>
  </sheetViews>
  <sheetFormatPr defaultColWidth="3.140625" defaultRowHeight="15"/>
  <cols>
    <col min="1" max="1" width="3" style="1" customWidth="1"/>
    <col min="2" max="2" width="30" style="1" customWidth="1"/>
    <col min="3" max="3" width="11" style="1" customWidth="1"/>
    <col min="4" max="4" width="19" style="1" customWidth="1"/>
    <col min="5" max="5" width="12" style="1" customWidth="1"/>
    <col min="6" max="8" width="7" style="1" customWidth="1"/>
    <col min="9" max="14" width="7" style="2" customWidth="1"/>
    <col min="15" max="36" width="7" style="1" customWidth="1"/>
    <col min="37" max="16384" width="3.140625" style="1"/>
  </cols>
  <sheetData>
    <row r="1" spans="1:36" ht="18.75">
      <c r="A1" s="87" t="s">
        <v>118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</row>
    <row r="2" spans="1:36" ht="15.75">
      <c r="A2" s="90" t="s">
        <v>119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</row>
    <row r="3" spans="1:36" ht="15.75">
      <c r="A3" s="93" t="s">
        <v>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s="21" customFormat="1" ht="12.75">
      <c r="A4" s="98" t="s">
        <v>108</v>
      </c>
      <c r="B4" s="99"/>
      <c r="C4" s="99"/>
      <c r="D4" s="24"/>
      <c r="E4" s="24"/>
      <c r="F4" s="25" t="s">
        <v>109</v>
      </c>
      <c r="G4" s="25" t="s">
        <v>110</v>
      </c>
      <c r="H4" s="25" t="s">
        <v>111</v>
      </c>
      <c r="I4" s="25" t="s">
        <v>112</v>
      </c>
      <c r="J4" s="25" t="s">
        <v>113</v>
      </c>
      <c r="K4" s="25" t="s">
        <v>114</v>
      </c>
      <c r="L4" s="25" t="s">
        <v>115</v>
      </c>
      <c r="M4" s="25" t="s">
        <v>109</v>
      </c>
      <c r="N4" s="25" t="s">
        <v>110</v>
      </c>
      <c r="O4" s="25" t="s">
        <v>111</v>
      </c>
      <c r="P4" s="25" t="s">
        <v>112</v>
      </c>
      <c r="Q4" s="25" t="s">
        <v>113</v>
      </c>
      <c r="R4" s="25" t="s">
        <v>114</v>
      </c>
      <c r="S4" s="25" t="s">
        <v>115</v>
      </c>
      <c r="T4" s="25" t="s">
        <v>109</v>
      </c>
      <c r="U4" s="25" t="s">
        <v>110</v>
      </c>
      <c r="V4" s="25" t="s">
        <v>111</v>
      </c>
      <c r="W4" s="25" t="s">
        <v>112</v>
      </c>
      <c r="X4" s="25" t="s">
        <v>113</v>
      </c>
      <c r="Y4" s="25" t="s">
        <v>114</v>
      </c>
      <c r="Z4" s="25" t="s">
        <v>115</v>
      </c>
      <c r="AA4" s="25" t="s">
        <v>109</v>
      </c>
      <c r="AB4" s="25" t="s">
        <v>110</v>
      </c>
      <c r="AC4" s="25" t="s">
        <v>111</v>
      </c>
      <c r="AD4" s="25" t="s">
        <v>112</v>
      </c>
      <c r="AE4" s="25" t="s">
        <v>113</v>
      </c>
      <c r="AF4" s="25" t="s">
        <v>114</v>
      </c>
      <c r="AG4" s="25" t="s">
        <v>115</v>
      </c>
      <c r="AH4" s="25" t="s">
        <v>109</v>
      </c>
      <c r="AI4" s="25" t="s">
        <v>110</v>
      </c>
      <c r="AJ4" s="25"/>
    </row>
    <row r="5" spans="1:36" s="22" customFormat="1" ht="12">
      <c r="A5" s="26" t="s">
        <v>2</v>
      </c>
      <c r="B5" s="26" t="s">
        <v>3</v>
      </c>
      <c r="C5" s="26" t="s">
        <v>4</v>
      </c>
      <c r="D5" s="26" t="s">
        <v>5</v>
      </c>
      <c r="E5" s="26" t="s">
        <v>6</v>
      </c>
      <c r="F5" s="27">
        <v>45748</v>
      </c>
      <c r="G5" s="27">
        <v>45749</v>
      </c>
      <c r="H5" s="27">
        <v>45750</v>
      </c>
      <c r="I5" s="27">
        <v>45751</v>
      </c>
      <c r="J5" s="27">
        <v>45752</v>
      </c>
      <c r="K5" s="27">
        <v>45753</v>
      </c>
      <c r="L5" s="27">
        <v>45754</v>
      </c>
      <c r="M5" s="27">
        <v>45755</v>
      </c>
      <c r="N5" s="27">
        <v>45756</v>
      </c>
      <c r="O5" s="27">
        <v>45757</v>
      </c>
      <c r="P5" s="27">
        <v>45758</v>
      </c>
      <c r="Q5" s="27">
        <v>45759</v>
      </c>
      <c r="R5" s="27">
        <v>45760</v>
      </c>
      <c r="S5" s="27">
        <v>45761</v>
      </c>
      <c r="T5" s="27">
        <v>45762</v>
      </c>
      <c r="U5" s="27">
        <v>45763</v>
      </c>
      <c r="V5" s="27">
        <v>45764</v>
      </c>
      <c r="W5" s="27">
        <v>45765</v>
      </c>
      <c r="X5" s="27">
        <v>45766</v>
      </c>
      <c r="Y5" s="27">
        <v>45767</v>
      </c>
      <c r="Z5" s="27">
        <v>45768</v>
      </c>
      <c r="AA5" s="27">
        <v>45769</v>
      </c>
      <c r="AB5" s="27">
        <v>45770</v>
      </c>
      <c r="AC5" s="27">
        <v>45771</v>
      </c>
      <c r="AD5" s="27">
        <v>45772</v>
      </c>
      <c r="AE5" s="27">
        <v>45773</v>
      </c>
      <c r="AF5" s="27">
        <v>45774</v>
      </c>
      <c r="AG5" s="27">
        <v>45775</v>
      </c>
      <c r="AH5" s="27">
        <v>45776</v>
      </c>
      <c r="AI5" s="27">
        <v>45777</v>
      </c>
      <c r="AJ5" s="27" t="s">
        <v>116</v>
      </c>
    </row>
    <row r="6" spans="1:36" ht="17.25" customHeight="1">
      <c r="A6" s="28">
        <v>1</v>
      </c>
      <c r="B6" s="29" t="s">
        <v>17</v>
      </c>
      <c r="C6" s="30" t="s">
        <v>18</v>
      </c>
      <c r="D6" s="30" t="s">
        <v>19</v>
      </c>
      <c r="E6" s="31" t="s">
        <v>20</v>
      </c>
      <c r="F6" s="30"/>
      <c r="G6" s="30"/>
      <c r="H6" s="30"/>
      <c r="I6" s="40"/>
      <c r="J6" s="30"/>
      <c r="K6" s="30"/>
      <c r="L6" s="30"/>
      <c r="M6" s="30"/>
      <c r="N6" s="30"/>
      <c r="O6" s="30"/>
      <c r="P6" s="40"/>
      <c r="Q6" s="30"/>
      <c r="R6" s="30"/>
      <c r="S6" s="30"/>
      <c r="T6" s="30"/>
      <c r="U6" s="30"/>
      <c r="V6" s="30"/>
      <c r="W6" s="40"/>
      <c r="X6" s="30"/>
      <c r="Y6" s="30"/>
      <c r="Z6" s="30"/>
      <c r="AA6" s="30"/>
      <c r="AB6" s="30"/>
      <c r="AC6" s="30"/>
      <c r="AD6" s="40"/>
      <c r="AE6" s="30"/>
      <c r="AF6" s="30"/>
      <c r="AG6" s="30"/>
      <c r="AH6" s="30"/>
      <c r="AI6" s="30"/>
      <c r="AJ6" s="41">
        <f>SUM(F6:AI6)</f>
        <v>0</v>
      </c>
    </row>
    <row r="7" spans="1:36" ht="17.25" customHeight="1">
      <c r="A7" s="28">
        <v>2</v>
      </c>
      <c r="B7" s="29" t="s">
        <v>22</v>
      </c>
      <c r="C7" s="30" t="s">
        <v>18</v>
      </c>
      <c r="D7" s="30" t="s">
        <v>19</v>
      </c>
      <c r="E7" s="31" t="s">
        <v>23</v>
      </c>
      <c r="F7" s="30"/>
      <c r="G7" s="30"/>
      <c r="H7" s="30"/>
      <c r="I7" s="40"/>
      <c r="J7" s="30"/>
      <c r="K7" s="30"/>
      <c r="L7" s="30"/>
      <c r="M7" s="30"/>
      <c r="N7" s="30"/>
      <c r="O7" s="30"/>
      <c r="P7" s="40"/>
      <c r="Q7" s="30"/>
      <c r="R7" s="30"/>
      <c r="S7" s="30"/>
      <c r="T7" s="30"/>
      <c r="U7" s="30"/>
      <c r="V7" s="30"/>
      <c r="W7" s="40"/>
      <c r="X7" s="30"/>
      <c r="Y7" s="30"/>
      <c r="Z7" s="30"/>
      <c r="AA7" s="30"/>
      <c r="AB7" s="30"/>
      <c r="AC7" s="30"/>
      <c r="AD7" s="40"/>
      <c r="AE7" s="30"/>
      <c r="AF7" s="30"/>
      <c r="AG7" s="30"/>
      <c r="AH7" s="30"/>
      <c r="AI7" s="30"/>
      <c r="AJ7" s="41">
        <f t="shared" ref="AJ7:AJ47" si="0">SUM(F7:AI7)</f>
        <v>0</v>
      </c>
    </row>
    <row r="8" spans="1:36" ht="17.25" customHeight="1">
      <c r="A8" s="28">
        <v>3</v>
      </c>
      <c r="B8" s="29" t="s">
        <v>25</v>
      </c>
      <c r="C8" s="30" t="s">
        <v>18</v>
      </c>
      <c r="D8" s="30" t="s">
        <v>19</v>
      </c>
      <c r="E8" s="31" t="s">
        <v>26</v>
      </c>
      <c r="F8" s="30"/>
      <c r="G8" s="30"/>
      <c r="H8" s="30"/>
      <c r="I8" s="40"/>
      <c r="J8" s="30"/>
      <c r="K8" s="30"/>
      <c r="L8" s="30"/>
      <c r="M8" s="30"/>
      <c r="N8" s="30"/>
      <c r="O8" s="30"/>
      <c r="P8" s="40"/>
      <c r="Q8" s="30"/>
      <c r="R8" s="30"/>
      <c r="S8" s="30"/>
      <c r="T8" s="30"/>
      <c r="U8" s="30"/>
      <c r="V8" s="30"/>
      <c r="W8" s="40"/>
      <c r="X8" s="30"/>
      <c r="Y8" s="30"/>
      <c r="Z8" s="30"/>
      <c r="AA8" s="30"/>
      <c r="AB8" s="30"/>
      <c r="AC8" s="30"/>
      <c r="AD8" s="40"/>
      <c r="AE8" s="30"/>
      <c r="AF8" s="30"/>
      <c r="AG8" s="30"/>
      <c r="AH8" s="30"/>
      <c r="AI8" s="30"/>
      <c r="AJ8" s="41">
        <f t="shared" si="0"/>
        <v>0</v>
      </c>
    </row>
    <row r="9" spans="1:36" ht="17.25" customHeight="1">
      <c r="A9" s="28">
        <v>4</v>
      </c>
      <c r="B9" s="29" t="s">
        <v>27</v>
      </c>
      <c r="C9" s="30" t="s">
        <v>18</v>
      </c>
      <c r="D9" s="30" t="s">
        <v>19</v>
      </c>
      <c r="E9" s="31" t="s">
        <v>28</v>
      </c>
      <c r="F9" s="30"/>
      <c r="G9" s="30"/>
      <c r="H9" s="30"/>
      <c r="I9" s="40"/>
      <c r="J9" s="30"/>
      <c r="K9" s="30"/>
      <c r="L9" s="30"/>
      <c r="M9" s="30"/>
      <c r="N9" s="30"/>
      <c r="O9" s="30"/>
      <c r="P9" s="40"/>
      <c r="Q9" s="30"/>
      <c r="R9" s="30"/>
      <c r="S9" s="30"/>
      <c r="T9" s="30"/>
      <c r="U9" s="30"/>
      <c r="V9" s="30"/>
      <c r="W9" s="40"/>
      <c r="X9" s="30"/>
      <c r="Y9" s="30"/>
      <c r="Z9" s="30"/>
      <c r="AA9" s="30"/>
      <c r="AB9" s="30"/>
      <c r="AC9" s="30"/>
      <c r="AD9" s="40"/>
      <c r="AE9" s="30"/>
      <c r="AF9" s="30"/>
      <c r="AG9" s="30"/>
      <c r="AH9" s="30"/>
      <c r="AI9" s="30"/>
      <c r="AJ9" s="41">
        <f t="shared" si="0"/>
        <v>0</v>
      </c>
    </row>
    <row r="10" spans="1:36" ht="17.25" customHeight="1">
      <c r="A10" s="28">
        <v>5</v>
      </c>
      <c r="B10" s="32" t="s">
        <v>120</v>
      </c>
      <c r="C10" s="30" t="s">
        <v>18</v>
      </c>
      <c r="D10" s="30" t="s">
        <v>19</v>
      </c>
      <c r="E10" s="31" t="s">
        <v>30</v>
      </c>
      <c r="F10" s="30"/>
      <c r="G10" s="30"/>
      <c r="H10" s="30"/>
      <c r="I10" s="40"/>
      <c r="J10" s="30"/>
      <c r="K10" s="30"/>
      <c r="L10" s="30"/>
      <c r="M10" s="30"/>
      <c r="N10" s="30"/>
      <c r="O10" s="30"/>
      <c r="P10" s="40"/>
      <c r="Q10" s="30"/>
      <c r="R10" s="30"/>
      <c r="S10" s="30"/>
      <c r="T10" s="30"/>
      <c r="U10" s="30"/>
      <c r="V10" s="30"/>
      <c r="W10" s="40"/>
      <c r="X10" s="30"/>
      <c r="Y10" s="30"/>
      <c r="Z10" s="30"/>
      <c r="AA10" s="30"/>
      <c r="AB10" s="30"/>
      <c r="AC10" s="30"/>
      <c r="AD10" s="40"/>
      <c r="AE10" s="30"/>
      <c r="AF10" s="30"/>
      <c r="AG10" s="30"/>
      <c r="AH10" s="30"/>
      <c r="AI10" s="30"/>
      <c r="AJ10" s="41">
        <f t="shared" si="0"/>
        <v>0</v>
      </c>
    </row>
    <row r="11" spans="1:36" ht="17.25" customHeight="1">
      <c r="A11" s="28">
        <v>6</v>
      </c>
      <c r="B11" s="29" t="s">
        <v>73</v>
      </c>
      <c r="C11" s="30" t="s">
        <v>18</v>
      </c>
      <c r="D11" s="30" t="s">
        <v>19</v>
      </c>
      <c r="E11" s="31" t="s">
        <v>121</v>
      </c>
      <c r="F11" s="30"/>
      <c r="G11" s="30"/>
      <c r="H11" s="30"/>
      <c r="I11" s="40"/>
      <c r="J11" s="30"/>
      <c r="K11" s="30"/>
      <c r="L11" s="30"/>
      <c r="M11" s="30"/>
      <c r="N11" s="30"/>
      <c r="O11" s="30"/>
      <c r="P11" s="40"/>
      <c r="Q11" s="30"/>
      <c r="R11" s="30"/>
      <c r="S11" s="30"/>
      <c r="T11" s="30"/>
      <c r="U11" s="30"/>
      <c r="V11" s="30"/>
      <c r="W11" s="40"/>
      <c r="X11" s="30"/>
      <c r="Y11" s="30"/>
      <c r="Z11" s="30"/>
      <c r="AA11" s="30"/>
      <c r="AB11" s="30"/>
      <c r="AC11" s="30"/>
      <c r="AD11" s="40"/>
      <c r="AE11" s="30"/>
      <c r="AF11" s="30"/>
      <c r="AG11" s="30"/>
      <c r="AH11" s="30"/>
      <c r="AI11" s="30"/>
      <c r="AJ11" s="41">
        <f t="shared" si="0"/>
        <v>0</v>
      </c>
    </row>
    <row r="12" spans="1:36" ht="17.25" customHeight="1">
      <c r="A12" s="28">
        <v>7</v>
      </c>
      <c r="B12" s="33" t="s">
        <v>33</v>
      </c>
      <c r="C12" s="30" t="s">
        <v>18</v>
      </c>
      <c r="D12" s="30" t="s">
        <v>19</v>
      </c>
      <c r="E12" s="31" t="s">
        <v>34</v>
      </c>
      <c r="F12" s="30"/>
      <c r="G12" s="30"/>
      <c r="H12" s="30"/>
      <c r="I12" s="40"/>
      <c r="J12" s="30"/>
      <c r="K12" s="30"/>
      <c r="L12" s="30"/>
      <c r="M12" s="30"/>
      <c r="N12" s="30"/>
      <c r="O12" s="30"/>
      <c r="P12" s="40"/>
      <c r="Q12" s="30"/>
      <c r="R12" s="30"/>
      <c r="S12" s="30"/>
      <c r="T12" s="30"/>
      <c r="U12" s="30"/>
      <c r="V12" s="30"/>
      <c r="W12" s="40"/>
      <c r="X12" s="30"/>
      <c r="Y12" s="30"/>
      <c r="Z12" s="30"/>
      <c r="AA12" s="30"/>
      <c r="AB12" s="30"/>
      <c r="AC12" s="30"/>
      <c r="AD12" s="40"/>
      <c r="AE12" s="30"/>
      <c r="AF12" s="30"/>
      <c r="AG12" s="30"/>
      <c r="AH12" s="30"/>
      <c r="AI12" s="30"/>
      <c r="AJ12" s="41">
        <f t="shared" si="0"/>
        <v>0</v>
      </c>
    </row>
    <row r="13" spans="1:36" ht="17.25" customHeight="1">
      <c r="A13" s="28">
        <v>8</v>
      </c>
      <c r="B13" s="29" t="s">
        <v>35</v>
      </c>
      <c r="C13" s="30" t="s">
        <v>18</v>
      </c>
      <c r="D13" s="30" t="s">
        <v>19</v>
      </c>
      <c r="E13" s="31" t="s">
        <v>36</v>
      </c>
      <c r="F13" s="30"/>
      <c r="G13" s="30"/>
      <c r="H13" s="30"/>
      <c r="I13" s="40"/>
      <c r="J13" s="30"/>
      <c r="K13" s="30"/>
      <c r="L13" s="30"/>
      <c r="M13" s="30"/>
      <c r="N13" s="30"/>
      <c r="O13" s="30"/>
      <c r="P13" s="40"/>
      <c r="Q13" s="30"/>
      <c r="R13" s="30"/>
      <c r="S13" s="30"/>
      <c r="T13" s="30"/>
      <c r="U13" s="30"/>
      <c r="V13" s="30"/>
      <c r="W13" s="40"/>
      <c r="X13" s="30"/>
      <c r="Y13" s="30"/>
      <c r="Z13" s="30"/>
      <c r="AA13" s="30"/>
      <c r="AB13" s="30"/>
      <c r="AC13" s="30"/>
      <c r="AD13" s="40"/>
      <c r="AE13" s="30"/>
      <c r="AF13" s="30"/>
      <c r="AG13" s="30"/>
      <c r="AH13" s="30"/>
      <c r="AI13" s="30"/>
      <c r="AJ13" s="41">
        <f t="shared" si="0"/>
        <v>0</v>
      </c>
    </row>
    <row r="14" spans="1:36" ht="17.25" customHeight="1">
      <c r="A14" s="28">
        <v>9</v>
      </c>
      <c r="B14" s="29" t="s">
        <v>37</v>
      </c>
      <c r="C14" s="30" t="s">
        <v>18</v>
      </c>
      <c r="D14" s="30" t="s">
        <v>19</v>
      </c>
      <c r="E14" s="31" t="s">
        <v>38</v>
      </c>
      <c r="F14" s="30"/>
      <c r="G14" s="30"/>
      <c r="H14" s="30"/>
      <c r="I14" s="40"/>
      <c r="J14" s="30"/>
      <c r="K14" s="30"/>
      <c r="L14" s="30"/>
      <c r="M14" s="30"/>
      <c r="N14" s="30"/>
      <c r="O14" s="30"/>
      <c r="P14" s="40"/>
      <c r="Q14" s="30"/>
      <c r="R14" s="30"/>
      <c r="S14" s="30"/>
      <c r="T14" s="30"/>
      <c r="U14" s="30"/>
      <c r="V14" s="30"/>
      <c r="W14" s="40"/>
      <c r="X14" s="30"/>
      <c r="Y14" s="30"/>
      <c r="Z14" s="30"/>
      <c r="AA14" s="30"/>
      <c r="AB14" s="30"/>
      <c r="AC14" s="30"/>
      <c r="AD14" s="40"/>
      <c r="AE14" s="30"/>
      <c r="AF14" s="30"/>
      <c r="AG14" s="30"/>
      <c r="AH14" s="30"/>
      <c r="AI14" s="30"/>
      <c r="AJ14" s="41">
        <f t="shared" si="0"/>
        <v>0</v>
      </c>
    </row>
    <row r="15" spans="1:36" ht="17.25" customHeight="1">
      <c r="A15" s="28">
        <v>10</v>
      </c>
      <c r="B15" s="29" t="s">
        <v>39</v>
      </c>
      <c r="C15" s="30" t="s">
        <v>18</v>
      </c>
      <c r="D15" s="30" t="s">
        <v>19</v>
      </c>
      <c r="E15" s="31" t="s">
        <v>40</v>
      </c>
      <c r="F15" s="30"/>
      <c r="G15" s="30"/>
      <c r="H15" s="30"/>
      <c r="I15" s="40"/>
      <c r="J15" s="30"/>
      <c r="K15" s="30"/>
      <c r="L15" s="30"/>
      <c r="M15" s="30"/>
      <c r="N15" s="30"/>
      <c r="O15" s="30"/>
      <c r="P15" s="40"/>
      <c r="Q15" s="30"/>
      <c r="R15" s="30"/>
      <c r="S15" s="30"/>
      <c r="T15" s="30"/>
      <c r="U15" s="30"/>
      <c r="V15" s="30"/>
      <c r="W15" s="40"/>
      <c r="X15" s="30"/>
      <c r="Y15" s="30"/>
      <c r="Z15" s="30"/>
      <c r="AA15" s="30"/>
      <c r="AB15" s="30"/>
      <c r="AC15" s="30"/>
      <c r="AD15" s="40"/>
      <c r="AE15" s="30"/>
      <c r="AF15" s="30"/>
      <c r="AG15" s="30"/>
      <c r="AH15" s="30"/>
      <c r="AI15" s="30"/>
      <c r="AJ15" s="41">
        <f t="shared" si="0"/>
        <v>0</v>
      </c>
    </row>
    <row r="16" spans="1:36" ht="17.25" customHeight="1">
      <c r="A16" s="28">
        <v>11</v>
      </c>
      <c r="B16" s="29" t="s">
        <v>41</v>
      </c>
      <c r="C16" s="30" t="s">
        <v>18</v>
      </c>
      <c r="D16" s="30" t="s">
        <v>19</v>
      </c>
      <c r="E16" s="31" t="s">
        <v>42</v>
      </c>
      <c r="F16" s="30"/>
      <c r="G16" s="30"/>
      <c r="H16" s="30"/>
      <c r="I16" s="40"/>
      <c r="J16" s="30"/>
      <c r="K16" s="30"/>
      <c r="L16" s="30"/>
      <c r="M16" s="30"/>
      <c r="N16" s="30"/>
      <c r="O16" s="30"/>
      <c r="P16" s="40"/>
      <c r="Q16" s="30"/>
      <c r="R16" s="30"/>
      <c r="S16" s="30"/>
      <c r="T16" s="30"/>
      <c r="U16" s="30"/>
      <c r="V16" s="30"/>
      <c r="W16" s="40"/>
      <c r="X16" s="30"/>
      <c r="Y16" s="30"/>
      <c r="Z16" s="30"/>
      <c r="AA16" s="30"/>
      <c r="AB16" s="30"/>
      <c r="AC16" s="30"/>
      <c r="AD16" s="40"/>
      <c r="AE16" s="30"/>
      <c r="AF16" s="30"/>
      <c r="AG16" s="30"/>
      <c r="AH16" s="30"/>
      <c r="AI16" s="30"/>
      <c r="AJ16" s="41">
        <f t="shared" si="0"/>
        <v>0</v>
      </c>
    </row>
    <row r="17" spans="1:36" ht="17.25" customHeight="1">
      <c r="A17" s="28">
        <v>12</v>
      </c>
      <c r="B17" s="29" t="s">
        <v>43</v>
      </c>
      <c r="C17" s="30" t="s">
        <v>18</v>
      </c>
      <c r="D17" s="30" t="s">
        <v>44</v>
      </c>
      <c r="E17" s="31" t="s">
        <v>45</v>
      </c>
      <c r="F17" s="30"/>
      <c r="G17" s="30"/>
      <c r="H17" s="30"/>
      <c r="I17" s="40"/>
      <c r="J17" s="30"/>
      <c r="K17" s="30"/>
      <c r="L17" s="30"/>
      <c r="M17" s="30"/>
      <c r="N17" s="30"/>
      <c r="O17" s="30"/>
      <c r="P17" s="40"/>
      <c r="Q17" s="30"/>
      <c r="R17" s="30"/>
      <c r="S17" s="30"/>
      <c r="T17" s="30"/>
      <c r="U17" s="30"/>
      <c r="V17" s="30"/>
      <c r="W17" s="40"/>
      <c r="X17" s="30"/>
      <c r="Y17" s="30"/>
      <c r="Z17" s="30"/>
      <c r="AA17" s="30"/>
      <c r="AB17" s="30"/>
      <c r="AC17" s="30"/>
      <c r="AD17" s="40"/>
      <c r="AE17" s="30"/>
      <c r="AF17" s="30"/>
      <c r="AG17" s="30"/>
      <c r="AH17" s="30"/>
      <c r="AI17" s="30"/>
      <c r="AJ17" s="41">
        <f t="shared" si="0"/>
        <v>0</v>
      </c>
    </row>
    <row r="18" spans="1:36" ht="17.25" customHeight="1">
      <c r="A18" s="28">
        <v>13</v>
      </c>
      <c r="B18" s="29" t="s">
        <v>46</v>
      </c>
      <c r="C18" s="30" t="s">
        <v>18</v>
      </c>
      <c r="D18" s="30" t="s">
        <v>44</v>
      </c>
      <c r="E18" s="31" t="s">
        <v>47</v>
      </c>
      <c r="F18" s="30"/>
      <c r="G18" s="30"/>
      <c r="H18" s="30"/>
      <c r="I18" s="40"/>
      <c r="J18" s="30"/>
      <c r="K18" s="30"/>
      <c r="L18" s="30"/>
      <c r="M18" s="30"/>
      <c r="N18" s="30"/>
      <c r="O18" s="30"/>
      <c r="P18" s="40"/>
      <c r="Q18" s="30"/>
      <c r="R18" s="30"/>
      <c r="S18" s="30"/>
      <c r="T18" s="30"/>
      <c r="U18" s="30"/>
      <c r="V18" s="30"/>
      <c r="W18" s="40"/>
      <c r="X18" s="30"/>
      <c r="Y18" s="30"/>
      <c r="Z18" s="30"/>
      <c r="AA18" s="30"/>
      <c r="AB18" s="30"/>
      <c r="AC18" s="30"/>
      <c r="AD18" s="40"/>
      <c r="AE18" s="30"/>
      <c r="AF18" s="30"/>
      <c r="AG18" s="30"/>
      <c r="AH18" s="30"/>
      <c r="AI18" s="30"/>
      <c r="AJ18" s="41">
        <f t="shared" si="0"/>
        <v>0</v>
      </c>
    </row>
    <row r="19" spans="1:36" ht="17.25" customHeight="1">
      <c r="A19" s="28">
        <v>14</v>
      </c>
      <c r="B19" s="29" t="s">
        <v>48</v>
      </c>
      <c r="C19" s="30" t="s">
        <v>18</v>
      </c>
      <c r="D19" s="30" t="s">
        <v>44</v>
      </c>
      <c r="E19" s="31" t="s">
        <v>49</v>
      </c>
      <c r="F19" s="30"/>
      <c r="G19" s="30"/>
      <c r="H19" s="30"/>
      <c r="I19" s="40"/>
      <c r="J19" s="30"/>
      <c r="K19" s="30"/>
      <c r="L19" s="30"/>
      <c r="M19" s="30"/>
      <c r="N19" s="30"/>
      <c r="O19" s="30"/>
      <c r="P19" s="40"/>
      <c r="Q19" s="30"/>
      <c r="R19" s="30"/>
      <c r="S19" s="30"/>
      <c r="T19" s="30"/>
      <c r="U19" s="30"/>
      <c r="V19" s="30"/>
      <c r="W19" s="40"/>
      <c r="X19" s="30"/>
      <c r="Y19" s="30"/>
      <c r="Z19" s="30"/>
      <c r="AA19" s="30"/>
      <c r="AB19" s="30"/>
      <c r="AC19" s="30"/>
      <c r="AD19" s="40"/>
      <c r="AE19" s="30"/>
      <c r="AF19" s="30"/>
      <c r="AG19" s="30"/>
      <c r="AH19" s="30"/>
      <c r="AI19" s="30"/>
      <c r="AJ19" s="41">
        <f t="shared" si="0"/>
        <v>0</v>
      </c>
    </row>
    <row r="20" spans="1:36" ht="17.25" customHeight="1">
      <c r="A20" s="28">
        <v>15</v>
      </c>
      <c r="B20" s="29" t="s">
        <v>50</v>
      </c>
      <c r="C20" s="30" t="s">
        <v>18</v>
      </c>
      <c r="D20" s="30" t="s">
        <v>44</v>
      </c>
      <c r="E20" s="31" t="s">
        <v>51</v>
      </c>
      <c r="F20" s="30"/>
      <c r="G20" s="30"/>
      <c r="H20" s="30"/>
      <c r="I20" s="40"/>
      <c r="J20" s="30"/>
      <c r="K20" s="30"/>
      <c r="L20" s="30"/>
      <c r="M20" s="30"/>
      <c r="N20" s="30"/>
      <c r="O20" s="30"/>
      <c r="P20" s="40"/>
      <c r="Q20" s="30"/>
      <c r="R20" s="30"/>
      <c r="S20" s="30"/>
      <c r="T20" s="30"/>
      <c r="U20" s="30"/>
      <c r="V20" s="30"/>
      <c r="W20" s="40"/>
      <c r="X20" s="30"/>
      <c r="Y20" s="30"/>
      <c r="Z20" s="30"/>
      <c r="AA20" s="30"/>
      <c r="AB20" s="30"/>
      <c r="AC20" s="30"/>
      <c r="AD20" s="40"/>
      <c r="AE20" s="30"/>
      <c r="AF20" s="30"/>
      <c r="AG20" s="30"/>
      <c r="AH20" s="30"/>
      <c r="AI20" s="30"/>
      <c r="AJ20" s="41">
        <f t="shared" si="0"/>
        <v>0</v>
      </c>
    </row>
    <row r="21" spans="1:36" ht="17.25" customHeight="1">
      <c r="A21" s="28">
        <v>16</v>
      </c>
      <c r="B21" s="29" t="s">
        <v>52</v>
      </c>
      <c r="C21" s="30" t="s">
        <v>18</v>
      </c>
      <c r="D21" s="30" t="s">
        <v>44</v>
      </c>
      <c r="E21" s="31" t="s">
        <v>53</v>
      </c>
      <c r="F21" s="30"/>
      <c r="G21" s="30"/>
      <c r="H21" s="30"/>
      <c r="I21" s="40"/>
      <c r="J21" s="30"/>
      <c r="K21" s="30"/>
      <c r="L21" s="30"/>
      <c r="M21" s="30"/>
      <c r="N21" s="30"/>
      <c r="O21" s="30"/>
      <c r="P21" s="40"/>
      <c r="Q21" s="30"/>
      <c r="R21" s="30"/>
      <c r="S21" s="30"/>
      <c r="T21" s="30"/>
      <c r="U21" s="30"/>
      <c r="V21" s="30"/>
      <c r="W21" s="40"/>
      <c r="X21" s="30"/>
      <c r="Y21" s="30"/>
      <c r="Z21" s="30"/>
      <c r="AA21" s="30"/>
      <c r="AB21" s="30"/>
      <c r="AC21" s="30"/>
      <c r="AD21" s="40"/>
      <c r="AE21" s="30"/>
      <c r="AF21" s="30"/>
      <c r="AG21" s="30"/>
      <c r="AH21" s="30"/>
      <c r="AI21" s="30"/>
      <c r="AJ21" s="41">
        <f t="shared" si="0"/>
        <v>0</v>
      </c>
    </row>
    <row r="22" spans="1:36" ht="17.25" customHeight="1">
      <c r="A22" s="28">
        <v>17</v>
      </c>
      <c r="B22" s="29" t="s">
        <v>54</v>
      </c>
      <c r="C22" s="30" t="s">
        <v>18</v>
      </c>
      <c r="D22" s="30" t="s">
        <v>44</v>
      </c>
      <c r="E22" s="31" t="s">
        <v>55</v>
      </c>
      <c r="F22" s="30"/>
      <c r="G22" s="30"/>
      <c r="H22" s="30"/>
      <c r="I22" s="40"/>
      <c r="J22" s="30"/>
      <c r="K22" s="30"/>
      <c r="L22" s="30"/>
      <c r="M22" s="30"/>
      <c r="N22" s="30"/>
      <c r="O22" s="30"/>
      <c r="P22" s="40"/>
      <c r="Q22" s="30"/>
      <c r="R22" s="30"/>
      <c r="S22" s="30"/>
      <c r="T22" s="30"/>
      <c r="U22" s="30"/>
      <c r="V22" s="30"/>
      <c r="W22" s="40"/>
      <c r="X22" s="30"/>
      <c r="Y22" s="30"/>
      <c r="Z22" s="30"/>
      <c r="AA22" s="30"/>
      <c r="AB22" s="30"/>
      <c r="AC22" s="30"/>
      <c r="AD22" s="40"/>
      <c r="AE22" s="30"/>
      <c r="AF22" s="30"/>
      <c r="AG22" s="30"/>
      <c r="AH22" s="30"/>
      <c r="AI22" s="30"/>
      <c r="AJ22" s="41">
        <f t="shared" si="0"/>
        <v>0</v>
      </c>
    </row>
    <row r="23" spans="1:36" ht="17.25" customHeight="1">
      <c r="A23" s="28">
        <v>18</v>
      </c>
      <c r="B23" s="29" t="s">
        <v>56</v>
      </c>
      <c r="C23" s="30" t="s">
        <v>18</v>
      </c>
      <c r="D23" s="30" t="s">
        <v>44</v>
      </c>
      <c r="E23" s="31" t="s">
        <v>57</v>
      </c>
      <c r="F23" s="30"/>
      <c r="G23" s="30"/>
      <c r="H23" s="30"/>
      <c r="I23" s="40"/>
      <c r="J23" s="30"/>
      <c r="K23" s="30"/>
      <c r="L23" s="30"/>
      <c r="M23" s="30"/>
      <c r="N23" s="30"/>
      <c r="O23" s="30"/>
      <c r="P23" s="40"/>
      <c r="Q23" s="30"/>
      <c r="R23" s="30"/>
      <c r="S23" s="30"/>
      <c r="T23" s="30"/>
      <c r="U23" s="30"/>
      <c r="V23" s="30"/>
      <c r="W23" s="40"/>
      <c r="X23" s="30"/>
      <c r="Y23" s="30"/>
      <c r="Z23" s="30"/>
      <c r="AA23" s="30"/>
      <c r="AB23" s="30"/>
      <c r="AC23" s="30"/>
      <c r="AD23" s="40"/>
      <c r="AE23" s="30"/>
      <c r="AF23" s="30"/>
      <c r="AG23" s="30"/>
      <c r="AH23" s="30"/>
      <c r="AI23" s="30"/>
      <c r="AJ23" s="41">
        <f t="shared" si="0"/>
        <v>0</v>
      </c>
    </row>
    <row r="24" spans="1:36" ht="17.25" customHeight="1">
      <c r="A24" s="28">
        <v>19</v>
      </c>
      <c r="B24" s="33" t="s">
        <v>58</v>
      </c>
      <c r="C24" s="30" t="s">
        <v>18</v>
      </c>
      <c r="D24" s="30" t="s">
        <v>44</v>
      </c>
      <c r="E24" s="31" t="s">
        <v>59</v>
      </c>
      <c r="F24" s="30"/>
      <c r="G24" s="30"/>
      <c r="H24" s="30"/>
      <c r="I24" s="40"/>
      <c r="J24" s="30"/>
      <c r="K24" s="30"/>
      <c r="L24" s="30"/>
      <c r="M24" s="30"/>
      <c r="N24" s="30"/>
      <c r="O24" s="30"/>
      <c r="P24" s="40"/>
      <c r="Q24" s="30"/>
      <c r="R24" s="30"/>
      <c r="S24" s="30"/>
      <c r="T24" s="30"/>
      <c r="U24" s="30"/>
      <c r="V24" s="30"/>
      <c r="W24" s="40"/>
      <c r="X24" s="30"/>
      <c r="Y24" s="30"/>
      <c r="Z24" s="30"/>
      <c r="AA24" s="30"/>
      <c r="AB24" s="30"/>
      <c r="AC24" s="30"/>
      <c r="AD24" s="40"/>
      <c r="AE24" s="30"/>
      <c r="AF24" s="30"/>
      <c r="AG24" s="30"/>
      <c r="AH24" s="30"/>
      <c r="AI24" s="30"/>
      <c r="AJ24" s="41">
        <f t="shared" si="0"/>
        <v>0</v>
      </c>
    </row>
    <row r="25" spans="1:36" ht="17.25" customHeight="1">
      <c r="A25" s="28">
        <v>20</v>
      </c>
      <c r="B25" s="29" t="s">
        <v>60</v>
      </c>
      <c r="C25" s="30" t="s">
        <v>18</v>
      </c>
      <c r="D25" s="30" t="s">
        <v>61</v>
      </c>
      <c r="E25" s="31" t="s">
        <v>62</v>
      </c>
      <c r="F25" s="30"/>
      <c r="G25" s="30"/>
      <c r="H25" s="30"/>
      <c r="I25" s="40"/>
      <c r="J25" s="30"/>
      <c r="K25" s="30"/>
      <c r="L25" s="30"/>
      <c r="M25" s="30"/>
      <c r="N25" s="30"/>
      <c r="O25" s="30"/>
      <c r="P25" s="40"/>
      <c r="Q25" s="30"/>
      <c r="R25" s="30"/>
      <c r="S25" s="30"/>
      <c r="T25" s="30"/>
      <c r="U25" s="30"/>
      <c r="V25" s="30"/>
      <c r="W25" s="40"/>
      <c r="X25" s="30"/>
      <c r="Y25" s="30"/>
      <c r="Z25" s="30"/>
      <c r="AA25" s="30"/>
      <c r="AB25" s="30"/>
      <c r="AC25" s="30"/>
      <c r="AD25" s="40"/>
      <c r="AE25" s="30"/>
      <c r="AF25" s="30"/>
      <c r="AG25" s="30"/>
      <c r="AH25" s="30"/>
      <c r="AI25" s="30"/>
      <c r="AJ25" s="41">
        <f t="shared" si="0"/>
        <v>0</v>
      </c>
    </row>
    <row r="26" spans="1:36" ht="17.25" customHeight="1">
      <c r="A26" s="28">
        <v>21</v>
      </c>
      <c r="B26" s="29" t="s">
        <v>63</v>
      </c>
      <c r="C26" s="30" t="s">
        <v>18</v>
      </c>
      <c r="D26" s="30" t="s">
        <v>61</v>
      </c>
      <c r="E26" s="31" t="s">
        <v>64</v>
      </c>
      <c r="F26" s="30"/>
      <c r="G26" s="30"/>
      <c r="H26" s="30"/>
      <c r="I26" s="40"/>
      <c r="J26" s="30"/>
      <c r="K26" s="30"/>
      <c r="L26" s="30"/>
      <c r="M26" s="30"/>
      <c r="N26" s="30"/>
      <c r="O26" s="30"/>
      <c r="P26" s="40"/>
      <c r="Q26" s="30"/>
      <c r="R26" s="30"/>
      <c r="S26" s="30"/>
      <c r="T26" s="30"/>
      <c r="U26" s="30"/>
      <c r="V26" s="30"/>
      <c r="W26" s="40"/>
      <c r="X26" s="30"/>
      <c r="Y26" s="30"/>
      <c r="Z26" s="30"/>
      <c r="AA26" s="30"/>
      <c r="AB26" s="30"/>
      <c r="AC26" s="30"/>
      <c r="AD26" s="40"/>
      <c r="AE26" s="30"/>
      <c r="AF26" s="30"/>
      <c r="AG26" s="30"/>
      <c r="AH26" s="30"/>
      <c r="AI26" s="30"/>
      <c r="AJ26" s="41">
        <f t="shared" si="0"/>
        <v>0</v>
      </c>
    </row>
    <row r="27" spans="1:36" ht="17.25" customHeight="1">
      <c r="A27" s="28">
        <v>22</v>
      </c>
      <c r="B27" s="29" t="s">
        <v>65</v>
      </c>
      <c r="C27" s="30" t="s">
        <v>18</v>
      </c>
      <c r="D27" s="30" t="s">
        <v>61</v>
      </c>
      <c r="E27" s="31" t="s">
        <v>66</v>
      </c>
      <c r="F27" s="30"/>
      <c r="G27" s="30"/>
      <c r="H27" s="30"/>
      <c r="I27" s="40"/>
      <c r="J27" s="30"/>
      <c r="K27" s="30"/>
      <c r="L27" s="30"/>
      <c r="M27" s="30"/>
      <c r="N27" s="30"/>
      <c r="O27" s="30"/>
      <c r="P27" s="40"/>
      <c r="Q27" s="30"/>
      <c r="R27" s="30"/>
      <c r="S27" s="30"/>
      <c r="T27" s="30"/>
      <c r="U27" s="30"/>
      <c r="V27" s="30"/>
      <c r="W27" s="40"/>
      <c r="X27" s="30"/>
      <c r="Y27" s="30"/>
      <c r="Z27" s="30"/>
      <c r="AA27" s="30"/>
      <c r="AB27" s="30"/>
      <c r="AC27" s="30"/>
      <c r="AD27" s="40"/>
      <c r="AE27" s="30"/>
      <c r="AF27" s="30"/>
      <c r="AG27" s="30"/>
      <c r="AH27" s="30"/>
      <c r="AI27" s="30"/>
      <c r="AJ27" s="41">
        <f t="shared" si="0"/>
        <v>0</v>
      </c>
    </row>
    <row r="28" spans="1:36" ht="17.25" customHeight="1">
      <c r="A28" s="28">
        <v>23</v>
      </c>
      <c r="B28" s="29" t="s">
        <v>67</v>
      </c>
      <c r="C28" s="30" t="s">
        <v>18</v>
      </c>
      <c r="D28" s="30" t="s">
        <v>61</v>
      </c>
      <c r="E28" s="31" t="s">
        <v>68</v>
      </c>
      <c r="F28" s="30"/>
      <c r="G28" s="30"/>
      <c r="H28" s="30"/>
      <c r="I28" s="40"/>
      <c r="J28" s="30"/>
      <c r="K28" s="30"/>
      <c r="L28" s="30"/>
      <c r="M28" s="30"/>
      <c r="N28" s="30"/>
      <c r="O28" s="30"/>
      <c r="P28" s="40"/>
      <c r="Q28" s="30"/>
      <c r="R28" s="30"/>
      <c r="S28" s="30"/>
      <c r="T28" s="30"/>
      <c r="U28" s="30"/>
      <c r="V28" s="30"/>
      <c r="W28" s="40"/>
      <c r="X28" s="30"/>
      <c r="Y28" s="30"/>
      <c r="Z28" s="30"/>
      <c r="AA28" s="30"/>
      <c r="AB28" s="30"/>
      <c r="AC28" s="30"/>
      <c r="AD28" s="40"/>
      <c r="AE28" s="30"/>
      <c r="AF28" s="30"/>
      <c r="AG28" s="30"/>
      <c r="AH28" s="30"/>
      <c r="AI28" s="30"/>
      <c r="AJ28" s="41">
        <f t="shared" si="0"/>
        <v>0</v>
      </c>
    </row>
    <row r="29" spans="1:36" ht="17.25" customHeight="1">
      <c r="A29" s="28">
        <v>24</v>
      </c>
      <c r="B29" s="29" t="s">
        <v>69</v>
      </c>
      <c r="C29" s="30" t="s">
        <v>18</v>
      </c>
      <c r="D29" s="30" t="s">
        <v>61</v>
      </c>
      <c r="E29" s="31" t="s">
        <v>70</v>
      </c>
      <c r="F29" s="30"/>
      <c r="G29" s="30"/>
      <c r="H29" s="30"/>
      <c r="I29" s="40"/>
      <c r="J29" s="30"/>
      <c r="K29" s="30"/>
      <c r="L29" s="30"/>
      <c r="M29" s="30"/>
      <c r="N29" s="30"/>
      <c r="O29" s="30"/>
      <c r="P29" s="40"/>
      <c r="Q29" s="30"/>
      <c r="R29" s="30"/>
      <c r="S29" s="30"/>
      <c r="T29" s="30"/>
      <c r="U29" s="30"/>
      <c r="V29" s="30"/>
      <c r="W29" s="40"/>
      <c r="X29" s="30"/>
      <c r="Y29" s="30"/>
      <c r="Z29" s="30"/>
      <c r="AA29" s="30"/>
      <c r="AB29" s="30"/>
      <c r="AC29" s="30"/>
      <c r="AD29" s="40"/>
      <c r="AE29" s="30"/>
      <c r="AF29" s="30"/>
      <c r="AG29" s="30"/>
      <c r="AH29" s="30"/>
      <c r="AI29" s="30"/>
      <c r="AJ29" s="41">
        <f t="shared" si="0"/>
        <v>0</v>
      </c>
    </row>
    <row r="30" spans="1:36" ht="17.25" customHeight="1">
      <c r="A30" s="28">
        <v>25</v>
      </c>
      <c r="B30" s="29" t="s">
        <v>71</v>
      </c>
      <c r="C30" s="30" t="s">
        <v>18</v>
      </c>
      <c r="D30" s="30" t="s">
        <v>61</v>
      </c>
      <c r="E30" s="31" t="s">
        <v>72</v>
      </c>
      <c r="F30" s="30"/>
      <c r="G30" s="30"/>
      <c r="H30" s="30"/>
      <c r="I30" s="40"/>
      <c r="J30" s="30"/>
      <c r="K30" s="30"/>
      <c r="L30" s="30"/>
      <c r="M30" s="30"/>
      <c r="N30" s="30"/>
      <c r="O30" s="30"/>
      <c r="P30" s="40"/>
      <c r="Q30" s="30"/>
      <c r="R30" s="30"/>
      <c r="S30" s="30"/>
      <c r="T30" s="30"/>
      <c r="U30" s="30"/>
      <c r="V30" s="30"/>
      <c r="W30" s="40"/>
      <c r="X30" s="30"/>
      <c r="Y30" s="30"/>
      <c r="Z30" s="30"/>
      <c r="AA30" s="30"/>
      <c r="AB30" s="30"/>
      <c r="AC30" s="30"/>
      <c r="AD30" s="40"/>
      <c r="AE30" s="30"/>
      <c r="AF30" s="30"/>
      <c r="AG30" s="30"/>
      <c r="AH30" s="30"/>
      <c r="AI30" s="30"/>
      <c r="AJ30" s="41">
        <f t="shared" si="0"/>
        <v>0</v>
      </c>
    </row>
    <row r="31" spans="1:36" ht="17.25" customHeight="1">
      <c r="A31" s="28">
        <v>26</v>
      </c>
      <c r="B31" s="34" t="s">
        <v>29</v>
      </c>
      <c r="C31" s="30" t="s">
        <v>18</v>
      </c>
      <c r="D31" s="30" t="s">
        <v>61</v>
      </c>
      <c r="E31" s="31" t="s">
        <v>74</v>
      </c>
      <c r="F31" s="30"/>
      <c r="G31" s="30"/>
      <c r="H31" s="30"/>
      <c r="I31" s="40"/>
      <c r="J31" s="30"/>
      <c r="K31" s="30"/>
      <c r="L31" s="30"/>
      <c r="M31" s="30"/>
      <c r="N31" s="30"/>
      <c r="O31" s="30"/>
      <c r="P31" s="40"/>
      <c r="Q31" s="30"/>
      <c r="R31" s="30"/>
      <c r="S31" s="30"/>
      <c r="T31" s="30"/>
      <c r="U31" s="30"/>
      <c r="V31" s="30"/>
      <c r="W31" s="40"/>
      <c r="X31" s="30"/>
      <c r="Y31" s="30"/>
      <c r="Z31" s="30"/>
      <c r="AA31" s="30"/>
      <c r="AB31" s="30"/>
      <c r="AC31" s="30"/>
      <c r="AD31" s="40"/>
      <c r="AE31" s="30"/>
      <c r="AF31" s="30"/>
      <c r="AG31" s="30"/>
      <c r="AH31" s="30"/>
      <c r="AI31" s="30"/>
      <c r="AJ31" s="41">
        <f t="shared" si="0"/>
        <v>0</v>
      </c>
    </row>
    <row r="32" spans="1:36" ht="17.25" customHeight="1">
      <c r="A32" s="28">
        <v>27</v>
      </c>
      <c r="B32" s="29" t="s">
        <v>75</v>
      </c>
      <c r="C32" s="30" t="s">
        <v>18</v>
      </c>
      <c r="D32" s="30" t="s">
        <v>61</v>
      </c>
      <c r="E32" s="31" t="s">
        <v>76</v>
      </c>
      <c r="F32" s="30"/>
      <c r="G32" s="30"/>
      <c r="H32" s="30"/>
      <c r="I32" s="40"/>
      <c r="J32" s="30"/>
      <c r="K32" s="30"/>
      <c r="L32" s="30"/>
      <c r="M32" s="30"/>
      <c r="N32" s="30"/>
      <c r="O32" s="30"/>
      <c r="P32" s="40"/>
      <c r="Q32" s="30"/>
      <c r="R32" s="30"/>
      <c r="S32" s="30"/>
      <c r="T32" s="30"/>
      <c r="U32" s="30"/>
      <c r="V32" s="30"/>
      <c r="W32" s="40"/>
      <c r="X32" s="30"/>
      <c r="Y32" s="30"/>
      <c r="Z32" s="30"/>
      <c r="AA32" s="30"/>
      <c r="AB32" s="30"/>
      <c r="AC32" s="30"/>
      <c r="AD32" s="40"/>
      <c r="AE32" s="30"/>
      <c r="AF32" s="30"/>
      <c r="AG32" s="30"/>
      <c r="AH32" s="30"/>
      <c r="AI32" s="30"/>
      <c r="AJ32" s="41">
        <f t="shared" si="0"/>
        <v>0</v>
      </c>
    </row>
    <row r="33" spans="1:36" ht="17.25" customHeight="1">
      <c r="A33" s="28">
        <v>28</v>
      </c>
      <c r="B33" s="29" t="s">
        <v>77</v>
      </c>
      <c r="C33" s="30" t="s">
        <v>18</v>
      </c>
      <c r="D33" s="30" t="s">
        <v>61</v>
      </c>
      <c r="E33" s="31" t="s">
        <v>78</v>
      </c>
      <c r="F33" s="30"/>
      <c r="G33" s="30"/>
      <c r="H33" s="30"/>
      <c r="I33" s="40"/>
      <c r="J33" s="30"/>
      <c r="K33" s="30"/>
      <c r="L33" s="30"/>
      <c r="M33" s="30"/>
      <c r="N33" s="30"/>
      <c r="O33" s="30"/>
      <c r="P33" s="40"/>
      <c r="Q33" s="30"/>
      <c r="R33" s="30"/>
      <c r="S33" s="30"/>
      <c r="T33" s="30"/>
      <c r="U33" s="30"/>
      <c r="V33" s="30"/>
      <c r="W33" s="40"/>
      <c r="X33" s="30"/>
      <c r="Y33" s="30"/>
      <c r="Z33" s="30"/>
      <c r="AA33" s="30"/>
      <c r="AB33" s="30"/>
      <c r="AC33" s="30"/>
      <c r="AD33" s="40"/>
      <c r="AE33" s="30"/>
      <c r="AF33" s="30"/>
      <c r="AG33" s="30"/>
      <c r="AH33" s="30"/>
      <c r="AI33" s="30"/>
      <c r="AJ33" s="41">
        <f t="shared" si="0"/>
        <v>0</v>
      </c>
    </row>
    <row r="34" spans="1:36" ht="17.25" customHeight="1">
      <c r="A34" s="28">
        <v>29</v>
      </c>
      <c r="B34" s="29" t="s">
        <v>79</v>
      </c>
      <c r="C34" s="30" t="s">
        <v>18</v>
      </c>
      <c r="D34" s="30" t="s">
        <v>61</v>
      </c>
      <c r="E34" s="31" t="s">
        <v>80</v>
      </c>
      <c r="F34" s="30"/>
      <c r="G34" s="30"/>
      <c r="H34" s="30"/>
      <c r="I34" s="40"/>
      <c r="J34" s="30"/>
      <c r="K34" s="30"/>
      <c r="L34" s="30"/>
      <c r="M34" s="30"/>
      <c r="N34" s="30"/>
      <c r="O34" s="30"/>
      <c r="P34" s="40"/>
      <c r="Q34" s="30"/>
      <c r="R34" s="30"/>
      <c r="S34" s="30"/>
      <c r="T34" s="30"/>
      <c r="U34" s="30"/>
      <c r="V34" s="30"/>
      <c r="W34" s="40"/>
      <c r="X34" s="30"/>
      <c r="Y34" s="30"/>
      <c r="Z34" s="30"/>
      <c r="AA34" s="30"/>
      <c r="AB34" s="30"/>
      <c r="AC34" s="30"/>
      <c r="AD34" s="40"/>
      <c r="AE34" s="30"/>
      <c r="AF34" s="30"/>
      <c r="AG34" s="30"/>
      <c r="AH34" s="30"/>
      <c r="AI34" s="30"/>
      <c r="AJ34" s="41">
        <f t="shared" si="0"/>
        <v>0</v>
      </c>
    </row>
    <row r="35" spans="1:36" ht="17.25" customHeight="1">
      <c r="A35" s="28">
        <v>30</v>
      </c>
      <c r="B35" s="29" t="s">
        <v>81</v>
      </c>
      <c r="C35" s="30" t="s">
        <v>18</v>
      </c>
      <c r="D35" s="30" t="s">
        <v>61</v>
      </c>
      <c r="E35" s="31" t="s">
        <v>82</v>
      </c>
      <c r="F35" s="30"/>
      <c r="G35" s="30"/>
      <c r="H35" s="30"/>
      <c r="I35" s="40"/>
      <c r="J35" s="30"/>
      <c r="K35" s="30"/>
      <c r="L35" s="30"/>
      <c r="M35" s="30"/>
      <c r="N35" s="30"/>
      <c r="O35" s="30"/>
      <c r="P35" s="40"/>
      <c r="Q35" s="30"/>
      <c r="R35" s="30"/>
      <c r="S35" s="30"/>
      <c r="T35" s="30"/>
      <c r="U35" s="30"/>
      <c r="V35" s="30"/>
      <c r="W35" s="40"/>
      <c r="X35" s="30"/>
      <c r="Y35" s="30"/>
      <c r="Z35" s="30"/>
      <c r="AA35" s="30"/>
      <c r="AB35" s="30"/>
      <c r="AC35" s="30"/>
      <c r="AD35" s="40"/>
      <c r="AE35" s="30"/>
      <c r="AF35" s="30"/>
      <c r="AG35" s="30"/>
      <c r="AH35" s="30"/>
      <c r="AI35" s="30"/>
      <c r="AJ35" s="41">
        <f t="shared" si="0"/>
        <v>0</v>
      </c>
    </row>
    <row r="36" spans="1:36" ht="17.25" customHeight="1">
      <c r="A36" s="28">
        <v>31</v>
      </c>
      <c r="B36" s="29" t="s">
        <v>83</v>
      </c>
      <c r="C36" s="30" t="s">
        <v>18</v>
      </c>
      <c r="D36" s="30" t="s">
        <v>61</v>
      </c>
      <c r="E36" s="31" t="s">
        <v>84</v>
      </c>
      <c r="F36" s="30"/>
      <c r="G36" s="30"/>
      <c r="H36" s="30"/>
      <c r="I36" s="40"/>
      <c r="J36" s="30"/>
      <c r="K36" s="30"/>
      <c r="L36" s="30"/>
      <c r="M36" s="30"/>
      <c r="N36" s="30"/>
      <c r="O36" s="30"/>
      <c r="P36" s="40"/>
      <c r="Q36" s="30"/>
      <c r="R36" s="30"/>
      <c r="S36" s="30"/>
      <c r="T36" s="30"/>
      <c r="U36" s="30"/>
      <c r="V36" s="30"/>
      <c r="W36" s="40"/>
      <c r="X36" s="30"/>
      <c r="Y36" s="30"/>
      <c r="Z36" s="30"/>
      <c r="AA36" s="30"/>
      <c r="AB36" s="30"/>
      <c r="AC36" s="30"/>
      <c r="AD36" s="40"/>
      <c r="AE36" s="30"/>
      <c r="AF36" s="30"/>
      <c r="AG36" s="30"/>
      <c r="AH36" s="30"/>
      <c r="AI36" s="30"/>
      <c r="AJ36" s="41">
        <f t="shared" si="0"/>
        <v>0</v>
      </c>
    </row>
    <row r="37" spans="1:36" ht="17.25" customHeight="1">
      <c r="A37" s="28">
        <v>32</v>
      </c>
      <c r="B37" s="29" t="s">
        <v>85</v>
      </c>
      <c r="C37" s="30" t="s">
        <v>18</v>
      </c>
      <c r="D37" s="30" t="s">
        <v>61</v>
      </c>
      <c r="E37" s="31" t="s">
        <v>86</v>
      </c>
      <c r="F37" s="30"/>
      <c r="G37" s="30"/>
      <c r="H37" s="30"/>
      <c r="I37" s="40"/>
      <c r="J37" s="30"/>
      <c r="K37" s="30"/>
      <c r="L37" s="30"/>
      <c r="M37" s="30"/>
      <c r="N37" s="30"/>
      <c r="O37" s="30"/>
      <c r="P37" s="40"/>
      <c r="Q37" s="30"/>
      <c r="R37" s="30"/>
      <c r="S37" s="30"/>
      <c r="T37" s="30"/>
      <c r="U37" s="30"/>
      <c r="V37" s="30"/>
      <c r="W37" s="40"/>
      <c r="X37" s="30"/>
      <c r="Y37" s="30"/>
      <c r="Z37" s="30"/>
      <c r="AA37" s="30"/>
      <c r="AB37" s="30"/>
      <c r="AC37" s="30"/>
      <c r="AD37" s="40"/>
      <c r="AE37" s="30"/>
      <c r="AF37" s="30"/>
      <c r="AG37" s="30"/>
      <c r="AH37" s="30"/>
      <c r="AI37" s="30"/>
      <c r="AJ37" s="41">
        <f t="shared" si="0"/>
        <v>0</v>
      </c>
    </row>
    <row r="38" spans="1:36" ht="17.25" customHeight="1">
      <c r="A38" s="28">
        <v>33</v>
      </c>
      <c r="B38" s="29" t="s">
        <v>87</v>
      </c>
      <c r="C38" s="30" t="s">
        <v>18</v>
      </c>
      <c r="D38" s="30" t="s">
        <v>61</v>
      </c>
      <c r="E38" s="31" t="s">
        <v>88</v>
      </c>
      <c r="F38" s="30"/>
      <c r="G38" s="30"/>
      <c r="H38" s="30"/>
      <c r="I38" s="40"/>
      <c r="J38" s="30"/>
      <c r="K38" s="30"/>
      <c r="L38" s="30"/>
      <c r="M38" s="30"/>
      <c r="N38" s="30"/>
      <c r="O38" s="30"/>
      <c r="P38" s="40"/>
      <c r="Q38" s="30"/>
      <c r="R38" s="30"/>
      <c r="S38" s="30"/>
      <c r="T38" s="30"/>
      <c r="U38" s="30"/>
      <c r="V38" s="30"/>
      <c r="W38" s="40"/>
      <c r="X38" s="30"/>
      <c r="Y38" s="30"/>
      <c r="Z38" s="30"/>
      <c r="AA38" s="30"/>
      <c r="AB38" s="30"/>
      <c r="AC38" s="30"/>
      <c r="AD38" s="40"/>
      <c r="AE38" s="30"/>
      <c r="AF38" s="30"/>
      <c r="AG38" s="30"/>
      <c r="AH38" s="30"/>
      <c r="AI38" s="30"/>
      <c r="AJ38" s="41">
        <f t="shared" si="0"/>
        <v>0</v>
      </c>
    </row>
    <row r="39" spans="1:36" ht="17.25" customHeight="1">
      <c r="A39" s="28">
        <v>34</v>
      </c>
      <c r="B39" s="29" t="s">
        <v>89</v>
      </c>
      <c r="C39" s="30" t="s">
        <v>18</v>
      </c>
      <c r="D39" s="30" t="s">
        <v>61</v>
      </c>
      <c r="E39" s="31" t="s">
        <v>90</v>
      </c>
      <c r="F39" s="30"/>
      <c r="G39" s="30"/>
      <c r="H39" s="30"/>
      <c r="I39" s="40"/>
      <c r="J39" s="30"/>
      <c r="K39" s="30"/>
      <c r="L39" s="30"/>
      <c r="M39" s="30"/>
      <c r="N39" s="30"/>
      <c r="O39" s="30"/>
      <c r="P39" s="40"/>
      <c r="Q39" s="30"/>
      <c r="R39" s="30"/>
      <c r="S39" s="30"/>
      <c r="T39" s="30"/>
      <c r="U39" s="30"/>
      <c r="V39" s="30"/>
      <c r="W39" s="40"/>
      <c r="X39" s="30"/>
      <c r="Y39" s="30"/>
      <c r="Z39" s="30"/>
      <c r="AA39" s="30"/>
      <c r="AB39" s="30"/>
      <c r="AC39" s="30"/>
      <c r="AD39" s="40"/>
      <c r="AE39" s="30"/>
      <c r="AF39" s="30"/>
      <c r="AG39" s="30"/>
      <c r="AH39" s="30"/>
      <c r="AI39" s="30"/>
      <c r="AJ39" s="41">
        <f t="shared" si="0"/>
        <v>0</v>
      </c>
    </row>
    <row r="40" spans="1:36" ht="17.25" customHeight="1">
      <c r="A40" s="28">
        <v>35</v>
      </c>
      <c r="B40" s="33" t="s">
        <v>91</v>
      </c>
      <c r="C40" s="30" t="s">
        <v>18</v>
      </c>
      <c r="D40" s="30" t="s">
        <v>61</v>
      </c>
      <c r="E40" s="31" t="s">
        <v>92</v>
      </c>
      <c r="F40" s="30"/>
      <c r="G40" s="30"/>
      <c r="H40" s="30"/>
      <c r="I40" s="40"/>
      <c r="J40" s="30"/>
      <c r="K40" s="30"/>
      <c r="L40" s="30"/>
      <c r="M40" s="30"/>
      <c r="N40" s="30"/>
      <c r="O40" s="30"/>
      <c r="P40" s="40"/>
      <c r="Q40" s="30"/>
      <c r="R40" s="30"/>
      <c r="S40" s="30"/>
      <c r="T40" s="30"/>
      <c r="U40" s="30"/>
      <c r="V40" s="30"/>
      <c r="W40" s="40"/>
      <c r="X40" s="30"/>
      <c r="Y40" s="30"/>
      <c r="Z40" s="30"/>
      <c r="AA40" s="30"/>
      <c r="AB40" s="30"/>
      <c r="AC40" s="30"/>
      <c r="AD40" s="40"/>
      <c r="AE40" s="30"/>
      <c r="AF40" s="30"/>
      <c r="AG40" s="30"/>
      <c r="AH40" s="30"/>
      <c r="AI40" s="30"/>
      <c r="AJ40" s="41">
        <f t="shared" si="0"/>
        <v>0</v>
      </c>
    </row>
    <row r="41" spans="1:36" ht="17.25" customHeight="1">
      <c r="A41" s="28">
        <v>36</v>
      </c>
      <c r="B41" s="29" t="s">
        <v>93</v>
      </c>
      <c r="C41" s="35" t="s">
        <v>18</v>
      </c>
      <c r="D41" s="30" t="s">
        <v>61</v>
      </c>
      <c r="E41" s="31" t="s">
        <v>94</v>
      </c>
      <c r="F41" s="30"/>
      <c r="G41" s="30"/>
      <c r="H41" s="30"/>
      <c r="I41" s="40"/>
      <c r="J41" s="30"/>
      <c r="K41" s="30"/>
      <c r="L41" s="30"/>
      <c r="M41" s="30"/>
      <c r="N41" s="30"/>
      <c r="O41" s="30"/>
      <c r="P41" s="40"/>
      <c r="Q41" s="30"/>
      <c r="R41" s="30"/>
      <c r="S41" s="30"/>
      <c r="T41" s="30"/>
      <c r="U41" s="30"/>
      <c r="V41" s="30"/>
      <c r="W41" s="40"/>
      <c r="X41" s="30"/>
      <c r="Y41" s="30"/>
      <c r="Z41" s="30"/>
      <c r="AA41" s="30"/>
      <c r="AB41" s="30"/>
      <c r="AC41" s="30"/>
      <c r="AD41" s="40"/>
      <c r="AE41" s="30"/>
      <c r="AF41" s="30"/>
      <c r="AG41" s="30"/>
      <c r="AH41" s="30"/>
      <c r="AI41" s="30"/>
      <c r="AJ41" s="41">
        <f t="shared" si="0"/>
        <v>0</v>
      </c>
    </row>
    <row r="42" spans="1:36" ht="17.25" customHeight="1">
      <c r="A42" s="28">
        <v>37</v>
      </c>
      <c r="B42" s="36" t="s">
        <v>95</v>
      </c>
      <c r="C42" s="35" t="s">
        <v>96</v>
      </c>
      <c r="D42" s="35"/>
      <c r="E42" s="35" t="s">
        <v>97</v>
      </c>
      <c r="F42" s="30"/>
      <c r="G42" s="30"/>
      <c r="H42" s="30"/>
      <c r="I42" s="40"/>
      <c r="J42" s="30"/>
      <c r="K42" s="30"/>
      <c r="L42" s="30"/>
      <c r="M42" s="30"/>
      <c r="N42" s="30"/>
      <c r="O42" s="30"/>
      <c r="P42" s="40"/>
      <c r="Q42" s="30"/>
      <c r="R42" s="30"/>
      <c r="S42" s="30"/>
      <c r="T42" s="30"/>
      <c r="U42" s="30"/>
      <c r="V42" s="30"/>
      <c r="W42" s="40"/>
      <c r="X42" s="30"/>
      <c r="Y42" s="30"/>
      <c r="Z42" s="30"/>
      <c r="AA42" s="30"/>
      <c r="AB42" s="30"/>
      <c r="AC42" s="30"/>
      <c r="AD42" s="40"/>
      <c r="AE42" s="30"/>
      <c r="AF42" s="30"/>
      <c r="AG42" s="30"/>
      <c r="AH42" s="30"/>
      <c r="AI42" s="30"/>
      <c r="AJ42" s="41">
        <f t="shared" si="0"/>
        <v>0</v>
      </c>
    </row>
    <row r="43" spans="1:36" ht="17.25" customHeight="1">
      <c r="A43" s="28">
        <v>38</v>
      </c>
      <c r="B43" s="36" t="s">
        <v>98</v>
      </c>
      <c r="C43" s="35" t="s">
        <v>96</v>
      </c>
      <c r="D43" s="35"/>
      <c r="E43" s="35" t="s">
        <v>99</v>
      </c>
      <c r="F43" s="30"/>
      <c r="G43" s="30"/>
      <c r="H43" s="30"/>
      <c r="I43" s="40"/>
      <c r="J43" s="30"/>
      <c r="K43" s="30"/>
      <c r="L43" s="30"/>
      <c r="M43" s="30"/>
      <c r="N43" s="30"/>
      <c r="O43" s="30"/>
      <c r="P43" s="40"/>
      <c r="Q43" s="30"/>
      <c r="R43" s="30"/>
      <c r="S43" s="30"/>
      <c r="T43" s="30"/>
      <c r="U43" s="30"/>
      <c r="V43" s="30"/>
      <c r="W43" s="40"/>
      <c r="X43" s="30"/>
      <c r="Y43" s="30"/>
      <c r="Z43" s="30"/>
      <c r="AA43" s="30"/>
      <c r="AB43" s="30"/>
      <c r="AC43" s="30"/>
      <c r="AD43" s="40"/>
      <c r="AE43" s="30"/>
      <c r="AF43" s="30"/>
      <c r="AG43" s="30"/>
      <c r="AH43" s="30"/>
      <c r="AI43" s="30"/>
      <c r="AJ43" s="41">
        <f t="shared" si="0"/>
        <v>0</v>
      </c>
    </row>
    <row r="44" spans="1:36" ht="17.25" customHeight="1">
      <c r="A44" s="28">
        <v>39</v>
      </c>
      <c r="B44" s="36" t="s">
        <v>100</v>
      </c>
      <c r="C44" s="35" t="s">
        <v>96</v>
      </c>
      <c r="D44" s="35"/>
      <c r="E44" s="35" t="s">
        <v>101</v>
      </c>
      <c r="F44" s="30"/>
      <c r="G44" s="30"/>
      <c r="H44" s="30"/>
      <c r="I44" s="40"/>
      <c r="J44" s="30"/>
      <c r="K44" s="30"/>
      <c r="L44" s="30"/>
      <c r="M44" s="30"/>
      <c r="N44" s="30"/>
      <c r="O44" s="30"/>
      <c r="P44" s="40"/>
      <c r="Q44" s="30"/>
      <c r="R44" s="30"/>
      <c r="S44" s="30"/>
      <c r="T44" s="30"/>
      <c r="U44" s="30"/>
      <c r="V44" s="30"/>
      <c r="W44" s="40"/>
      <c r="X44" s="30"/>
      <c r="Y44" s="30"/>
      <c r="Z44" s="30"/>
      <c r="AA44" s="30"/>
      <c r="AB44" s="30"/>
      <c r="AC44" s="30"/>
      <c r="AD44" s="40"/>
      <c r="AE44" s="30"/>
      <c r="AF44" s="30"/>
      <c r="AG44" s="30"/>
      <c r="AH44" s="30"/>
      <c r="AI44" s="30"/>
      <c r="AJ44" s="41">
        <f t="shared" si="0"/>
        <v>0</v>
      </c>
    </row>
    <row r="45" spans="1:36" ht="17.25" customHeight="1">
      <c r="A45" s="28">
        <v>40</v>
      </c>
      <c r="B45" s="36" t="s">
        <v>102</v>
      </c>
      <c r="C45" s="35" t="s">
        <v>96</v>
      </c>
      <c r="D45" s="35"/>
      <c r="E45" s="35" t="s">
        <v>103</v>
      </c>
      <c r="F45" s="30"/>
      <c r="G45" s="30"/>
      <c r="H45" s="30"/>
      <c r="I45" s="40"/>
      <c r="J45" s="30"/>
      <c r="K45" s="30"/>
      <c r="L45" s="30"/>
      <c r="M45" s="30"/>
      <c r="N45" s="30"/>
      <c r="O45" s="30"/>
      <c r="P45" s="40"/>
      <c r="Q45" s="30"/>
      <c r="R45" s="30"/>
      <c r="S45" s="30"/>
      <c r="T45" s="30"/>
      <c r="U45" s="30"/>
      <c r="V45" s="30"/>
      <c r="W45" s="40"/>
      <c r="X45" s="30"/>
      <c r="Y45" s="30"/>
      <c r="Z45" s="30"/>
      <c r="AA45" s="30"/>
      <c r="AB45" s="30"/>
      <c r="AC45" s="30"/>
      <c r="AD45" s="40"/>
      <c r="AE45" s="30"/>
      <c r="AF45" s="30"/>
      <c r="AG45" s="30"/>
      <c r="AH45" s="30"/>
      <c r="AI45" s="30"/>
      <c r="AJ45" s="41">
        <f t="shared" si="0"/>
        <v>0</v>
      </c>
    </row>
    <row r="46" spans="1:36" s="23" customFormat="1" ht="17.25" customHeight="1">
      <c r="A46" s="28">
        <v>41</v>
      </c>
      <c r="B46" s="36" t="s">
        <v>104</v>
      </c>
      <c r="C46" s="35" t="s">
        <v>105</v>
      </c>
      <c r="D46" s="35"/>
      <c r="E46" s="37" t="s">
        <v>106</v>
      </c>
      <c r="F46" s="30"/>
      <c r="G46" s="30"/>
      <c r="H46" s="30"/>
      <c r="I46" s="40"/>
      <c r="J46" s="30"/>
      <c r="K46" s="30"/>
      <c r="L46" s="30"/>
      <c r="M46" s="30"/>
      <c r="N46" s="30"/>
      <c r="O46" s="30"/>
      <c r="P46" s="40"/>
      <c r="Q46" s="30"/>
      <c r="R46" s="30"/>
      <c r="S46" s="30"/>
      <c r="T46" s="30"/>
      <c r="U46" s="30"/>
      <c r="V46" s="30"/>
      <c r="W46" s="40"/>
      <c r="X46" s="30"/>
      <c r="Y46" s="30"/>
      <c r="Z46" s="30"/>
      <c r="AA46" s="30"/>
      <c r="AB46" s="30"/>
      <c r="AC46" s="30"/>
      <c r="AD46" s="40"/>
      <c r="AE46" s="30"/>
      <c r="AF46" s="30"/>
      <c r="AG46" s="30"/>
      <c r="AH46" s="30"/>
      <c r="AI46" s="30"/>
      <c r="AJ46" s="41">
        <f t="shared" si="0"/>
        <v>0</v>
      </c>
    </row>
    <row r="47" spans="1:36">
      <c r="A47" s="38"/>
      <c r="B47" s="38"/>
      <c r="C47" s="38"/>
      <c r="D47" s="38"/>
      <c r="E47" s="38"/>
      <c r="F47" s="39">
        <f>SUM(F6:F46)</f>
        <v>0</v>
      </c>
      <c r="G47" s="39">
        <f t="shared" ref="G47:AI47" si="1">SUM(G6:G46)</f>
        <v>0</v>
      </c>
      <c r="H47" s="39">
        <f t="shared" si="1"/>
        <v>0</v>
      </c>
      <c r="I47" s="39">
        <f t="shared" si="1"/>
        <v>0</v>
      </c>
      <c r="J47" s="39">
        <f t="shared" si="1"/>
        <v>0</v>
      </c>
      <c r="K47" s="39">
        <f t="shared" si="1"/>
        <v>0</v>
      </c>
      <c r="L47" s="39">
        <f t="shared" si="1"/>
        <v>0</v>
      </c>
      <c r="M47" s="39">
        <f t="shared" si="1"/>
        <v>0</v>
      </c>
      <c r="N47" s="39">
        <f t="shared" si="1"/>
        <v>0</v>
      </c>
      <c r="O47" s="39">
        <f t="shared" si="1"/>
        <v>0</v>
      </c>
      <c r="P47" s="39">
        <f t="shared" si="1"/>
        <v>0</v>
      </c>
      <c r="Q47" s="39">
        <f t="shared" si="1"/>
        <v>0</v>
      </c>
      <c r="R47" s="39">
        <f t="shared" si="1"/>
        <v>0</v>
      </c>
      <c r="S47" s="39">
        <f t="shared" si="1"/>
        <v>0</v>
      </c>
      <c r="T47" s="39">
        <f t="shared" si="1"/>
        <v>0</v>
      </c>
      <c r="U47" s="39">
        <f t="shared" si="1"/>
        <v>0</v>
      </c>
      <c r="V47" s="39">
        <f t="shared" si="1"/>
        <v>0</v>
      </c>
      <c r="W47" s="39">
        <f t="shared" si="1"/>
        <v>0</v>
      </c>
      <c r="X47" s="39">
        <f t="shared" si="1"/>
        <v>0</v>
      </c>
      <c r="Y47" s="39">
        <f t="shared" si="1"/>
        <v>0</v>
      </c>
      <c r="Z47" s="39">
        <f t="shared" si="1"/>
        <v>0</v>
      </c>
      <c r="AA47" s="39">
        <f t="shared" si="1"/>
        <v>0</v>
      </c>
      <c r="AB47" s="39">
        <f t="shared" si="1"/>
        <v>0</v>
      </c>
      <c r="AC47" s="39">
        <f t="shared" si="1"/>
        <v>0</v>
      </c>
      <c r="AD47" s="39">
        <f t="shared" si="1"/>
        <v>0</v>
      </c>
      <c r="AE47" s="39">
        <f t="shared" si="1"/>
        <v>0</v>
      </c>
      <c r="AF47" s="39"/>
      <c r="AG47" s="39"/>
      <c r="AH47" s="39"/>
      <c r="AI47" s="39">
        <f t="shared" si="1"/>
        <v>0</v>
      </c>
      <c r="AJ47" s="39">
        <f t="shared" si="0"/>
        <v>0</v>
      </c>
    </row>
  </sheetData>
  <mergeCells count="4">
    <mergeCell ref="A1:AJ1"/>
    <mergeCell ref="A2:AJ2"/>
    <mergeCell ref="A3:AJ3"/>
    <mergeCell ref="A4:C4"/>
  </mergeCells>
  <conditionalFormatting sqref="B12">
    <cfRule type="duplicateValues" dxfId="40" priority="36"/>
  </conditionalFormatting>
  <conditionalFormatting sqref="B24">
    <cfRule type="duplicateValues" dxfId="39" priority="37"/>
  </conditionalFormatting>
  <conditionalFormatting sqref="B40">
    <cfRule type="duplicateValues" dxfId="38" priority="38"/>
  </conditionalFormatting>
  <conditionalFormatting sqref="E6">
    <cfRule type="duplicateValues" dxfId="37" priority="35"/>
  </conditionalFormatting>
  <conditionalFormatting sqref="E7">
    <cfRule type="duplicateValues" dxfId="36" priority="34"/>
  </conditionalFormatting>
  <conditionalFormatting sqref="E8">
    <cfRule type="duplicateValues" dxfId="35" priority="33"/>
  </conditionalFormatting>
  <conditionalFormatting sqref="E9">
    <cfRule type="duplicateValues" dxfId="34" priority="32"/>
  </conditionalFormatting>
  <conditionalFormatting sqref="E10">
    <cfRule type="duplicateValues" dxfId="33" priority="31"/>
  </conditionalFormatting>
  <conditionalFormatting sqref="E11">
    <cfRule type="duplicateValues" dxfId="32" priority="30"/>
  </conditionalFormatting>
  <conditionalFormatting sqref="E12">
    <cfRule type="duplicateValues" dxfId="31" priority="29"/>
  </conditionalFormatting>
  <conditionalFormatting sqref="E13">
    <cfRule type="duplicateValues" dxfId="30" priority="28"/>
  </conditionalFormatting>
  <conditionalFormatting sqref="E14">
    <cfRule type="duplicateValues" dxfId="29" priority="27"/>
  </conditionalFormatting>
  <conditionalFormatting sqref="E15">
    <cfRule type="duplicateValues" dxfId="28" priority="26"/>
  </conditionalFormatting>
  <conditionalFormatting sqref="E16">
    <cfRule type="duplicateValues" dxfId="27" priority="25"/>
  </conditionalFormatting>
  <conditionalFormatting sqref="E17">
    <cfRule type="duplicateValues" dxfId="26" priority="24"/>
  </conditionalFormatting>
  <conditionalFormatting sqref="E18">
    <cfRule type="duplicateValues" dxfId="25" priority="23"/>
  </conditionalFormatting>
  <conditionalFormatting sqref="E19">
    <cfRule type="duplicateValues" dxfId="24" priority="22"/>
  </conditionalFormatting>
  <conditionalFormatting sqref="E20">
    <cfRule type="duplicateValues" dxfId="23" priority="21"/>
  </conditionalFormatting>
  <conditionalFormatting sqref="E21">
    <cfRule type="duplicateValues" dxfId="22" priority="20"/>
  </conditionalFormatting>
  <conditionalFormatting sqref="E22:E23">
    <cfRule type="duplicateValues" dxfId="21" priority="19"/>
  </conditionalFormatting>
  <conditionalFormatting sqref="E24">
    <cfRule type="duplicateValues" dxfId="20" priority="18"/>
  </conditionalFormatting>
  <conditionalFormatting sqref="E25">
    <cfRule type="duplicateValues" dxfId="19" priority="17"/>
  </conditionalFormatting>
  <conditionalFormatting sqref="E26">
    <cfRule type="duplicateValues" dxfId="18" priority="16"/>
  </conditionalFormatting>
  <conditionalFormatting sqref="E27">
    <cfRule type="duplicateValues" dxfId="17" priority="15"/>
  </conditionalFormatting>
  <conditionalFormatting sqref="E28">
    <cfRule type="duplicateValues" dxfId="16" priority="14"/>
  </conditionalFormatting>
  <conditionalFormatting sqref="E29">
    <cfRule type="duplicateValues" dxfId="15" priority="13"/>
  </conditionalFormatting>
  <conditionalFormatting sqref="E30">
    <cfRule type="duplicateValues" dxfId="14" priority="12"/>
  </conditionalFormatting>
  <conditionalFormatting sqref="E31">
    <cfRule type="duplicateValues" dxfId="13" priority="11"/>
  </conditionalFormatting>
  <conditionalFormatting sqref="E32">
    <cfRule type="duplicateValues" dxfId="12" priority="10"/>
  </conditionalFormatting>
  <conditionalFormatting sqref="E33">
    <cfRule type="duplicateValues" dxfId="11" priority="9"/>
  </conditionalFormatting>
  <conditionalFormatting sqref="E34">
    <cfRule type="duplicateValues" dxfId="10" priority="8"/>
  </conditionalFormatting>
  <conditionalFormatting sqref="E35">
    <cfRule type="duplicateValues" dxfId="9" priority="7"/>
  </conditionalFormatting>
  <conditionalFormatting sqref="E36">
    <cfRule type="duplicateValues" dxfId="8" priority="6"/>
  </conditionalFormatting>
  <conditionalFormatting sqref="E37">
    <cfRule type="duplicateValues" dxfId="7" priority="5"/>
  </conditionalFormatting>
  <conditionalFormatting sqref="E38">
    <cfRule type="duplicateValues" dxfId="6" priority="4"/>
  </conditionalFormatting>
  <conditionalFormatting sqref="E39">
    <cfRule type="duplicateValues" dxfId="5" priority="3"/>
  </conditionalFormatting>
  <conditionalFormatting sqref="E40">
    <cfRule type="duplicateValues" dxfId="4" priority="2"/>
  </conditionalFormatting>
  <conditionalFormatting sqref="E41">
    <cfRule type="duplicateValues" dxfId="3" priority="1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K46"/>
  <sheetViews>
    <sheetView workbookViewId="0">
      <pane ySplit="2" topLeftCell="A3" activePane="bottomLeft" state="frozen"/>
      <selection pane="bottomLeft" activeCell="A3" sqref="A3"/>
    </sheetView>
  </sheetViews>
  <sheetFormatPr defaultColWidth="9.140625" defaultRowHeight="15"/>
  <cols>
    <col min="1" max="1" width="5.5703125" style="1" customWidth="1"/>
    <col min="2" max="2" width="30" style="1" customWidth="1"/>
    <col min="3" max="3" width="12.5703125" style="1" customWidth="1"/>
    <col min="4" max="4" width="10.42578125" style="1" customWidth="1"/>
    <col min="5" max="5" width="13.85546875" style="1" customWidth="1"/>
    <col min="6" max="6" width="10.7109375" style="1" customWidth="1"/>
    <col min="7" max="7" width="15.7109375" style="1" customWidth="1"/>
    <col min="8" max="8" width="10.7109375" style="1" customWidth="1"/>
    <col min="9" max="10" width="15.7109375" style="1" customWidth="1"/>
    <col min="11" max="11" width="9.140625" style="2"/>
    <col min="12" max="16384" width="9.140625" style="1"/>
  </cols>
  <sheetData>
    <row r="1" spans="1:7" ht="18.75">
      <c r="A1" s="100" t="s">
        <v>122</v>
      </c>
      <c r="B1" s="101"/>
      <c r="C1" s="101"/>
      <c r="D1" s="101"/>
      <c r="E1" s="101"/>
      <c r="F1" s="101"/>
      <c r="G1" s="102"/>
    </row>
    <row r="2" spans="1:7" ht="18.75">
      <c r="A2" s="103">
        <v>45781</v>
      </c>
      <c r="B2" s="104"/>
      <c r="C2" s="104"/>
      <c r="D2" s="105"/>
      <c r="E2" s="105"/>
      <c r="F2" s="105"/>
      <c r="G2" s="106"/>
    </row>
    <row r="3" spans="1:7" ht="15.75">
      <c r="A3" s="3"/>
      <c r="B3" s="4" t="s">
        <v>123</v>
      </c>
      <c r="C3" s="5"/>
      <c r="D3" s="107" t="s">
        <v>124</v>
      </c>
      <c r="E3" s="107"/>
      <c r="F3" s="107" t="s">
        <v>125</v>
      </c>
      <c r="G3" s="107"/>
    </row>
    <row r="4" spans="1:7" ht="15.75">
      <c r="A4" s="6" t="s">
        <v>126</v>
      </c>
      <c r="B4" s="7" t="s">
        <v>127</v>
      </c>
      <c r="C4" s="8" t="s">
        <v>4</v>
      </c>
      <c r="D4" s="7" t="s">
        <v>128</v>
      </c>
      <c r="E4" s="8" t="s">
        <v>129</v>
      </c>
      <c r="F4" s="7" t="s">
        <v>128</v>
      </c>
      <c r="G4" s="8" t="s">
        <v>129</v>
      </c>
    </row>
    <row r="5" spans="1:7" ht="15.75">
      <c r="A5" s="9">
        <v>1</v>
      </c>
      <c r="B5" s="10" t="s">
        <v>130</v>
      </c>
      <c r="C5" s="11" t="s">
        <v>18</v>
      </c>
      <c r="D5" s="12"/>
      <c r="E5" s="13"/>
      <c r="F5" s="13"/>
      <c r="G5" s="13"/>
    </row>
    <row r="6" spans="1:7" ht="15.75">
      <c r="A6" s="9">
        <v>2</v>
      </c>
      <c r="B6" s="10" t="s">
        <v>131</v>
      </c>
      <c r="C6" s="11" t="s">
        <v>18</v>
      </c>
      <c r="D6" s="13"/>
      <c r="E6" s="13"/>
      <c r="F6" s="14"/>
      <c r="G6" s="13"/>
    </row>
    <row r="7" spans="1:7" ht="15.75">
      <c r="A7" s="9">
        <v>3</v>
      </c>
      <c r="B7" s="10" t="s">
        <v>132</v>
      </c>
      <c r="C7" s="11" t="s">
        <v>18</v>
      </c>
      <c r="D7" s="13"/>
      <c r="E7" s="13"/>
      <c r="F7" s="13"/>
      <c r="G7" s="13"/>
    </row>
    <row r="8" spans="1:7" ht="15.75">
      <c r="A8" s="9">
        <v>4</v>
      </c>
      <c r="B8" s="10" t="s">
        <v>133</v>
      </c>
      <c r="C8" s="11" t="s">
        <v>18</v>
      </c>
      <c r="D8" s="11"/>
      <c r="E8" s="13"/>
      <c r="F8" s="13"/>
      <c r="G8" s="13"/>
    </row>
    <row r="9" spans="1:7" ht="15.75">
      <c r="A9" s="9">
        <v>5</v>
      </c>
      <c r="B9" s="10" t="s">
        <v>134</v>
      </c>
      <c r="C9" s="11" t="s">
        <v>18</v>
      </c>
      <c r="D9" s="13"/>
      <c r="E9" s="13"/>
      <c r="F9" s="13"/>
      <c r="G9" s="13"/>
    </row>
    <row r="10" spans="1:7" ht="15.75">
      <c r="A10" s="9">
        <v>6</v>
      </c>
      <c r="B10" s="10" t="s">
        <v>135</v>
      </c>
      <c r="C10" s="11" t="s">
        <v>18</v>
      </c>
      <c r="D10" s="13"/>
      <c r="E10" s="13"/>
      <c r="F10" s="13"/>
      <c r="G10" s="13"/>
    </row>
    <row r="11" spans="1:7" ht="15.75">
      <c r="A11" s="9">
        <v>7</v>
      </c>
      <c r="B11" s="10" t="s">
        <v>136</v>
      </c>
      <c r="C11" s="11" t="s">
        <v>18</v>
      </c>
      <c r="D11" s="13"/>
      <c r="E11" s="13"/>
      <c r="F11" s="13"/>
      <c r="G11" s="13"/>
    </row>
    <row r="12" spans="1:7" ht="15.75">
      <c r="A12" s="9">
        <v>8</v>
      </c>
      <c r="B12" s="10" t="s">
        <v>137</v>
      </c>
      <c r="C12" s="11" t="s">
        <v>18</v>
      </c>
      <c r="D12" s="13"/>
      <c r="E12" s="13"/>
      <c r="F12" s="13"/>
      <c r="G12" s="13"/>
    </row>
    <row r="13" spans="1:7" ht="15.75">
      <c r="A13" s="9">
        <v>9</v>
      </c>
      <c r="B13" s="10" t="s">
        <v>138</v>
      </c>
      <c r="C13" s="11" t="s">
        <v>18</v>
      </c>
      <c r="D13" s="13"/>
      <c r="E13" s="13"/>
      <c r="F13" s="13"/>
      <c r="G13" s="13"/>
    </row>
    <row r="14" spans="1:7" ht="15.75">
      <c r="A14" s="9">
        <v>10</v>
      </c>
      <c r="B14" s="10" t="s">
        <v>139</v>
      </c>
      <c r="C14" s="11" t="s">
        <v>18</v>
      </c>
      <c r="D14" s="13"/>
      <c r="E14" s="13"/>
      <c r="F14" s="13"/>
      <c r="G14" s="13"/>
    </row>
    <row r="15" spans="1:7" ht="15.75">
      <c r="A15" s="9">
        <v>11</v>
      </c>
      <c r="B15" s="10" t="s">
        <v>140</v>
      </c>
      <c r="C15" s="11" t="s">
        <v>18</v>
      </c>
      <c r="D15" s="13"/>
      <c r="E15" s="13"/>
      <c r="F15" s="13"/>
      <c r="G15" s="13"/>
    </row>
    <row r="16" spans="1:7" ht="15.75">
      <c r="A16" s="9">
        <v>12</v>
      </c>
      <c r="B16" s="10" t="s">
        <v>141</v>
      </c>
      <c r="C16" s="11" t="s">
        <v>18</v>
      </c>
      <c r="D16" s="13"/>
      <c r="E16" s="13"/>
      <c r="F16" s="13"/>
      <c r="G16" s="13"/>
    </row>
    <row r="17" spans="1:7" ht="15.75">
      <c r="A17" s="9">
        <v>13</v>
      </c>
      <c r="B17" s="10" t="s">
        <v>142</v>
      </c>
      <c r="C17" s="11" t="s">
        <v>18</v>
      </c>
      <c r="D17" s="13"/>
      <c r="E17" s="13"/>
      <c r="F17" s="13"/>
      <c r="G17" s="13"/>
    </row>
    <row r="18" spans="1:7" ht="15.75">
      <c r="A18" s="9">
        <v>14</v>
      </c>
      <c r="B18" s="10" t="s">
        <v>143</v>
      </c>
      <c r="C18" s="11" t="s">
        <v>18</v>
      </c>
      <c r="D18" s="13"/>
      <c r="E18" s="13"/>
      <c r="F18" s="13"/>
      <c r="G18" s="13"/>
    </row>
    <row r="19" spans="1:7" ht="15.75">
      <c r="A19" s="9">
        <v>15</v>
      </c>
      <c r="B19" s="15" t="s">
        <v>144</v>
      </c>
      <c r="C19" s="11" t="s">
        <v>18</v>
      </c>
      <c r="D19" s="13"/>
      <c r="E19" s="13"/>
      <c r="F19" s="13"/>
      <c r="G19" s="13"/>
    </row>
    <row r="20" spans="1:7" ht="15.75">
      <c r="A20" s="9">
        <v>17</v>
      </c>
      <c r="B20" s="10" t="s">
        <v>145</v>
      </c>
      <c r="C20" s="11" t="s">
        <v>18</v>
      </c>
      <c r="D20" s="13"/>
      <c r="E20" s="13"/>
      <c r="F20" s="13"/>
      <c r="G20" s="13"/>
    </row>
    <row r="21" spans="1:7" ht="15.75">
      <c r="A21" s="9">
        <v>19</v>
      </c>
      <c r="B21" s="10" t="s">
        <v>146</v>
      </c>
      <c r="C21" s="11" t="s">
        <v>18</v>
      </c>
      <c r="D21" s="13"/>
      <c r="E21" s="13"/>
      <c r="F21" s="13"/>
      <c r="G21" s="13"/>
    </row>
    <row r="22" spans="1:7" ht="15.75">
      <c r="A22" s="9">
        <v>20</v>
      </c>
      <c r="B22" s="10" t="s">
        <v>147</v>
      </c>
      <c r="C22" s="11" t="s">
        <v>18</v>
      </c>
      <c r="D22" s="13"/>
      <c r="E22" s="13"/>
      <c r="F22" s="13"/>
      <c r="G22" s="13"/>
    </row>
    <row r="23" spans="1:7" ht="15.75">
      <c r="A23" s="9">
        <v>21</v>
      </c>
      <c r="B23" s="10" t="s">
        <v>148</v>
      </c>
      <c r="C23" s="11" t="s">
        <v>18</v>
      </c>
      <c r="D23" s="13"/>
      <c r="E23" s="13"/>
      <c r="F23" s="13"/>
      <c r="G23" s="13"/>
    </row>
    <row r="24" spans="1:7" ht="15.75">
      <c r="A24" s="9">
        <v>22</v>
      </c>
      <c r="B24" s="10" t="s">
        <v>149</v>
      </c>
      <c r="C24" s="11" t="s">
        <v>18</v>
      </c>
      <c r="D24" s="13"/>
      <c r="E24" s="13"/>
      <c r="F24" s="13"/>
      <c r="G24" s="13"/>
    </row>
    <row r="25" spans="1:7" ht="15.75">
      <c r="A25" s="9">
        <v>23</v>
      </c>
      <c r="B25" s="10" t="s">
        <v>150</v>
      </c>
      <c r="C25" s="11" t="s">
        <v>18</v>
      </c>
      <c r="D25" s="13"/>
      <c r="E25" s="13"/>
      <c r="F25" s="13"/>
      <c r="G25" s="13"/>
    </row>
    <row r="26" spans="1:7" ht="15.75">
      <c r="A26" s="9">
        <v>24</v>
      </c>
      <c r="B26" s="10" t="s">
        <v>151</v>
      </c>
      <c r="C26" s="11" t="s">
        <v>18</v>
      </c>
      <c r="D26" s="13"/>
      <c r="E26" s="13"/>
      <c r="F26" s="13"/>
      <c r="G26" s="13"/>
    </row>
    <row r="27" spans="1:7" ht="15.75">
      <c r="A27" s="9">
        <v>25</v>
      </c>
      <c r="B27" s="10" t="s">
        <v>152</v>
      </c>
      <c r="C27" s="11" t="s">
        <v>18</v>
      </c>
      <c r="D27" s="13"/>
      <c r="E27" s="13"/>
      <c r="F27" s="13"/>
      <c r="G27" s="13"/>
    </row>
    <row r="28" spans="1:7" ht="15.75">
      <c r="A28" s="9">
        <v>26</v>
      </c>
      <c r="B28" s="10" t="s">
        <v>153</v>
      </c>
      <c r="C28" s="11" t="s">
        <v>18</v>
      </c>
      <c r="D28" s="13"/>
      <c r="E28" s="13"/>
      <c r="F28" s="13"/>
      <c r="G28" s="13"/>
    </row>
    <row r="29" spans="1:7" ht="15.75">
      <c r="A29" s="9">
        <v>27</v>
      </c>
      <c r="B29" s="10" t="s">
        <v>154</v>
      </c>
      <c r="C29" s="11" t="s">
        <v>18</v>
      </c>
      <c r="D29" s="13"/>
      <c r="E29" s="13"/>
      <c r="F29" s="13"/>
      <c r="G29" s="13"/>
    </row>
    <row r="30" spans="1:7" ht="15.75">
      <c r="A30" s="9">
        <v>28</v>
      </c>
      <c r="B30" s="10" t="s">
        <v>155</v>
      </c>
      <c r="C30" s="11" t="s">
        <v>18</v>
      </c>
      <c r="D30" s="13"/>
      <c r="E30" s="13"/>
      <c r="F30" s="13"/>
      <c r="G30" s="13"/>
    </row>
    <row r="31" spans="1:7" ht="15.75">
      <c r="A31" s="9">
        <v>29</v>
      </c>
      <c r="B31" s="16" t="s">
        <v>93</v>
      </c>
      <c r="C31" s="11" t="s">
        <v>18</v>
      </c>
      <c r="D31" s="13"/>
      <c r="E31" s="13"/>
      <c r="F31" s="13"/>
      <c r="G31" s="13"/>
    </row>
    <row r="32" spans="1:7" ht="15.75">
      <c r="A32" s="9">
        <v>30</v>
      </c>
      <c r="B32" s="16" t="s">
        <v>156</v>
      </c>
      <c r="C32" s="11" t="s">
        <v>18</v>
      </c>
      <c r="D32" s="13"/>
      <c r="E32" s="13"/>
      <c r="F32" s="13"/>
      <c r="G32" s="13"/>
    </row>
    <row r="33" spans="1:7" ht="15.75">
      <c r="A33" s="9">
        <v>31</v>
      </c>
      <c r="B33" s="17" t="s">
        <v>58</v>
      </c>
      <c r="C33" s="11" t="s">
        <v>18</v>
      </c>
      <c r="D33" s="13"/>
      <c r="E33" s="13"/>
      <c r="F33" s="13"/>
      <c r="G33" s="13"/>
    </row>
    <row r="34" spans="1:7" ht="15.75">
      <c r="A34" s="9">
        <v>32</v>
      </c>
      <c r="B34" s="18" t="s">
        <v>157</v>
      </c>
      <c r="C34" s="11" t="s">
        <v>18</v>
      </c>
      <c r="D34" s="13"/>
      <c r="E34" s="13"/>
      <c r="F34" s="13"/>
      <c r="G34" s="13"/>
    </row>
    <row r="35" spans="1:7" ht="15.75">
      <c r="A35" s="9">
        <v>33</v>
      </c>
      <c r="B35" s="18" t="s">
        <v>37</v>
      </c>
      <c r="C35" s="11" t="s">
        <v>18</v>
      </c>
      <c r="D35" s="13"/>
      <c r="E35" s="13"/>
      <c r="F35" s="13"/>
      <c r="G35" s="13"/>
    </row>
    <row r="36" spans="1:7" ht="15.75">
      <c r="A36" s="9">
        <v>34</v>
      </c>
      <c r="B36" s="18" t="s">
        <v>35</v>
      </c>
      <c r="C36" s="11" t="s">
        <v>18</v>
      </c>
      <c r="D36" s="13"/>
      <c r="E36" s="13"/>
      <c r="F36" s="13"/>
      <c r="G36" s="13"/>
    </row>
    <row r="37" spans="1:7" ht="15.75">
      <c r="A37" s="9">
        <v>35</v>
      </c>
      <c r="B37" s="19" t="s">
        <v>104</v>
      </c>
      <c r="C37" s="20" t="s">
        <v>105</v>
      </c>
      <c r="D37" s="13"/>
      <c r="E37" s="13"/>
      <c r="F37" s="13"/>
      <c r="G37" s="13"/>
    </row>
    <row r="38" spans="1:7" ht="15.75">
      <c r="A38" s="9">
        <v>36</v>
      </c>
      <c r="B38" s="19" t="s">
        <v>158</v>
      </c>
      <c r="C38" s="20" t="s">
        <v>96</v>
      </c>
      <c r="D38" s="13"/>
      <c r="E38" s="13"/>
      <c r="F38" s="13"/>
      <c r="G38" s="13"/>
    </row>
    <row r="39" spans="1:7" ht="15.75">
      <c r="A39" s="9">
        <v>37</v>
      </c>
      <c r="B39" s="19" t="s">
        <v>159</v>
      </c>
      <c r="C39" s="20" t="s">
        <v>96</v>
      </c>
      <c r="D39" s="13"/>
      <c r="E39" s="13"/>
      <c r="F39" s="13"/>
      <c r="G39" s="13"/>
    </row>
    <row r="40" spans="1:7" ht="15.75">
      <c r="A40" s="9">
        <v>38</v>
      </c>
      <c r="B40" s="19" t="s">
        <v>160</v>
      </c>
      <c r="C40" s="20" t="s">
        <v>96</v>
      </c>
      <c r="D40" s="13"/>
      <c r="E40" s="13"/>
      <c r="F40" s="13"/>
      <c r="G40" s="13"/>
    </row>
    <row r="41" spans="1:7" ht="15.75">
      <c r="A41" s="9">
        <v>39</v>
      </c>
      <c r="B41" s="19" t="s">
        <v>161</v>
      </c>
      <c r="C41" s="20" t="s">
        <v>96</v>
      </c>
      <c r="D41" s="13"/>
      <c r="E41" s="13"/>
      <c r="F41" s="13"/>
      <c r="G41" s="13"/>
    </row>
    <row r="42" spans="1:7" ht="15.75">
      <c r="A42" s="9">
        <v>40</v>
      </c>
      <c r="B42" s="19" t="s">
        <v>162</v>
      </c>
      <c r="C42" s="20" t="s">
        <v>163</v>
      </c>
      <c r="D42" s="13"/>
      <c r="E42" s="13"/>
      <c r="F42" s="13"/>
      <c r="G42" s="13"/>
    </row>
    <row r="43" spans="1:7" ht="15.75">
      <c r="A43" s="9">
        <v>41</v>
      </c>
      <c r="B43" s="19" t="s">
        <v>164</v>
      </c>
      <c r="C43" s="10" t="s">
        <v>165</v>
      </c>
      <c r="D43" s="13"/>
      <c r="E43" s="13"/>
      <c r="F43" s="13"/>
      <c r="G43" s="13"/>
    </row>
    <row r="44" spans="1:7" ht="15.75">
      <c r="A44" s="9">
        <v>42</v>
      </c>
      <c r="B44" s="19" t="s">
        <v>166</v>
      </c>
      <c r="C44" s="10" t="s">
        <v>165</v>
      </c>
      <c r="D44" s="13"/>
      <c r="E44" s="13"/>
      <c r="F44" s="13"/>
      <c r="G44" s="13"/>
    </row>
    <row r="45" spans="1:7" ht="15.75">
      <c r="A45" s="9">
        <v>43</v>
      </c>
      <c r="B45" s="19" t="s">
        <v>159</v>
      </c>
      <c r="C45" s="10" t="s">
        <v>165</v>
      </c>
      <c r="D45" s="13"/>
      <c r="E45" s="13"/>
      <c r="F45" s="13"/>
      <c r="G45" s="13"/>
    </row>
    <row r="46" spans="1:7" ht="15.75">
      <c r="A46" s="9">
        <v>44</v>
      </c>
      <c r="B46" s="19" t="s">
        <v>167</v>
      </c>
      <c r="C46" s="10" t="s">
        <v>165</v>
      </c>
      <c r="D46" s="14"/>
      <c r="E46" s="14"/>
      <c r="F46" s="14"/>
      <c r="G46" s="14"/>
    </row>
  </sheetData>
  <mergeCells count="4">
    <mergeCell ref="A1:G1"/>
    <mergeCell ref="A2:G2"/>
    <mergeCell ref="D3:E3"/>
    <mergeCell ref="F3:G3"/>
  </mergeCells>
  <conditionalFormatting sqref="B31">
    <cfRule type="duplicateValues" dxfId="2" priority="3"/>
  </conditionalFormatting>
  <conditionalFormatting sqref="B32 B34:B36">
    <cfRule type="duplicateValues" dxfId="1" priority="2"/>
  </conditionalFormatting>
  <conditionalFormatting sqref="B33">
    <cfRule type="duplicateValues" dxfId="0" priority="1"/>
  </conditionalFormatting>
  <printOptions horizontalCentered="1" verticalCentered="1"/>
  <pageMargins left="0.7" right="0.7" top="0.75" bottom="0.75" header="0.3" footer="0.3"/>
  <pageSetup paperSize="9" scale="88" orientation="portrait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TA-DA-Daily</vt:lpstr>
      <vt:lpstr>TA-Monthly</vt:lpstr>
      <vt:lpstr>DA-Monthly</vt:lpstr>
      <vt:lpstr>Attend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 Ahmed Sourov</cp:lastModifiedBy>
  <cp:lastPrinted>2025-04-30T14:13:35Z</cp:lastPrinted>
  <dcterms:created xsi:type="dcterms:W3CDTF">2015-06-05T18:17:00Z</dcterms:created>
  <dcterms:modified xsi:type="dcterms:W3CDTF">2025-10-21T12:08:44Z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2B2EBF9C56784CA9A9CAF0EC83D5B068_12</vt:lpwstr>
  </property>
  <property fmtid="{D5CDD505-2E9C-101B-9397-08002B2CF9AE}" pid="3" name="KSOProductBuildVer">
    <vt:lpwstr>1033-12.2.0.20795</vt:lpwstr>
  </property>
</Properties>
</file>